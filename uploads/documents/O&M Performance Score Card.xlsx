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nu\Desktop\"/>
    </mc:Choice>
  </mc:AlternateContent>
  <xr:revisionPtr revIDLastSave="0" documentId="13_ncr:1_{C7A6CED3-C379-40B3-A443-A9C4947C52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erformance Score 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F48" i="1"/>
  <c r="F43" i="1"/>
  <c r="F38" i="1"/>
  <c r="F33" i="1"/>
  <c r="F28" i="1"/>
  <c r="F23" i="1"/>
  <c r="F18" i="1"/>
  <c r="F13" i="1"/>
  <c r="F8" i="1"/>
  <c r="F59" i="1" l="1"/>
  <c r="F4" i="1"/>
  <c r="F5" i="1" s="1"/>
</calcChain>
</file>

<file path=xl/sharedStrings.xml><?xml version="1.0" encoding="utf-8"?>
<sst xmlns="http://schemas.openxmlformats.org/spreadsheetml/2006/main" count="83" uniqueCount="83">
  <si>
    <t>VENDOR PERFORMANCE SCORE CARD</t>
  </si>
  <si>
    <t>Month                                                                        :</t>
  </si>
  <si>
    <t>Vendor</t>
  </si>
  <si>
    <t>Site Name and Address</t>
  </si>
  <si>
    <t>Service</t>
  </si>
  <si>
    <t xml:space="preserve">Security </t>
  </si>
  <si>
    <t>Not met expectation</t>
  </si>
  <si>
    <t>Site - In-Charge</t>
  </si>
  <si>
    <t>Score%</t>
  </si>
  <si>
    <t>Met Expectation</t>
  </si>
  <si>
    <t xml:space="preserve">Scoring Done by                                                     : </t>
  </si>
  <si>
    <t>Status</t>
  </si>
  <si>
    <t>Exceed Expectation</t>
  </si>
  <si>
    <t xml:space="preserve">Date </t>
  </si>
  <si>
    <t>NA</t>
  </si>
  <si>
    <t>Not applicable</t>
  </si>
  <si>
    <t>Sl.no.</t>
  </si>
  <si>
    <t>Key performance area</t>
  </si>
  <si>
    <t>Performance Criteria</t>
  </si>
  <si>
    <t>Score (0-2)</t>
  </si>
  <si>
    <t>Total score</t>
  </si>
  <si>
    <t>Remarks</t>
  </si>
  <si>
    <t>Resource Management</t>
  </si>
  <si>
    <t>Actual man days deployment &gt;95%</t>
  </si>
  <si>
    <t>Short deployment has been fullfilled in 2 hrs</t>
  </si>
  <si>
    <t>Trained and expereinced resources are deployed</t>
  </si>
  <si>
    <t>Employees are groomed and well mannered</t>
  </si>
  <si>
    <t>Operations/Inventory Management</t>
  </si>
  <si>
    <t>Inventory stock register is maintained and updated</t>
  </si>
  <si>
    <t>equipments are services on regular interval</t>
  </si>
  <si>
    <t>Operations Support</t>
  </si>
  <si>
    <t>SOPs and Do's and Donts are provided for operations</t>
  </si>
  <si>
    <t>employees are provided with Job Cards</t>
  </si>
  <si>
    <t>Site audit has been conducted monthly and report submitted</t>
  </si>
  <si>
    <t>regular employee briefing has been conducted</t>
  </si>
  <si>
    <t>Response and Resolution</t>
  </si>
  <si>
    <t>Management team from regional office visits site frequently</t>
  </si>
  <si>
    <t>Any complaints/service request responded timely</t>
  </si>
  <si>
    <t>All Complaints addressed as per agreed TAT and closed in time</t>
  </si>
  <si>
    <t>RCA has been provided for all major complaints/problems</t>
  </si>
  <si>
    <t>Monthly report of all complaints/service request provided</t>
  </si>
  <si>
    <t>Client Relations Management</t>
  </si>
  <si>
    <t>Sr. management team visit and interact weekly</t>
  </si>
  <si>
    <t xml:space="preserve"> O &amp; M Team make site visit and submit their visit report</t>
  </si>
  <si>
    <t>Value added services are provided regularly</t>
  </si>
  <si>
    <t>Regularly attend all meetings and discussion actively</t>
  </si>
  <si>
    <t>Actively involve in closer of MOM points and also respond</t>
  </si>
  <si>
    <t>Statutory Compliances</t>
  </si>
  <si>
    <t>Valid Contract Labour license has been obtained and maintained</t>
  </si>
  <si>
    <t>All Statutory registers are maintained and updated</t>
  </si>
  <si>
    <t>All employees are paid as per revised Min wages</t>
  </si>
  <si>
    <t>Document Management</t>
  </si>
  <si>
    <t>52 week activity schedule has been prepared and followed</t>
  </si>
  <si>
    <t>Monthly reports are prepared and submitted</t>
  </si>
  <si>
    <t>Initiative/ Best Practices</t>
  </si>
  <si>
    <t>Employees are upgraded with new techniques and methods</t>
  </si>
  <si>
    <t>Regular communications for industry best practices has been shared</t>
  </si>
  <si>
    <t>Cost saving measures has been implemented</t>
  </si>
  <si>
    <t>Management team from branch office have interacted regularly</t>
  </si>
  <si>
    <t>Proactive approach has been shown for emergency situation</t>
  </si>
  <si>
    <t>Training and Development</t>
  </si>
  <si>
    <t>Monthly training has been conducted</t>
  </si>
  <si>
    <t>Employees are provided with training materials</t>
  </si>
  <si>
    <t>Employees have been motivated by R&amp;R</t>
  </si>
  <si>
    <t>Employees are regularly briefed on grooming and communication</t>
  </si>
  <si>
    <t>employees are regularly briefed on ethics and business conduct</t>
  </si>
  <si>
    <t>Invoice Management</t>
  </si>
  <si>
    <t>Accurate invoice has been submitted</t>
  </si>
  <si>
    <t>Invoices are submitted before 2nd of every month</t>
  </si>
  <si>
    <t>All Supportings are submitted properly</t>
  </si>
  <si>
    <t>Outstanding details has been shared monthly</t>
  </si>
  <si>
    <t>All Credit Notes/ NDC provided Monthly</t>
  </si>
  <si>
    <t>TOTAL SCORE</t>
  </si>
  <si>
    <t>Chemicals and consumables has been provided timely</t>
  </si>
  <si>
    <t>All required equipments and tools are available and operational</t>
  </si>
  <si>
    <t>Employees are trained for usage of chemicals and equipments</t>
  </si>
  <si>
    <t>Proper uniforms and Accessaories has been provided</t>
  </si>
  <si>
    <t>Updated escalation matrix has been provided</t>
  </si>
  <si>
    <t>Wages are paid on or before 7th of every month</t>
  </si>
  <si>
    <t>All mployees are having ESIC Card and EPF Number</t>
  </si>
  <si>
    <t>Site specific Logbooks and checklists are prepared and provided</t>
  </si>
  <si>
    <t>All formats and checklists are provided and maintained</t>
  </si>
  <si>
    <t>Weekend and Monthly activity checklists are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</si>
</sst>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_);_(* \(#,##0.0\);_(* &quot;-&quot;??_);_(@_)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Gill Sans"/>
      <family val="2"/>
    </font>
    <font>
      <sz val="11"/>
      <color theme="1"/>
      <name val="Arial"/>
      <family val="2"/>
    </font>
    <font>
      <sz val="14"/>
      <color theme="1"/>
      <name val="Gill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4" fillId="0" borderId="0" xfId="3"/>
    <xf numFmtId="17" fontId="0" fillId="0" borderId="5" xfId="0" applyNumberFormat="1" applyBorder="1" applyAlignment="1">
      <alignment vertical="top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40" xfId="3" applyBorder="1"/>
    <xf numFmtId="0" fontId="4" fillId="0" borderId="6" xfId="3" applyBorder="1"/>
    <xf numFmtId="0" fontId="6" fillId="0" borderId="41" xfId="3" applyFont="1" applyBorder="1"/>
    <xf numFmtId="0" fontId="6" fillId="0" borderId="42" xfId="3" applyFont="1" applyBorder="1"/>
    <xf numFmtId="1" fontId="6" fillId="5" borderId="42" xfId="3" applyNumberFormat="1" applyFont="1" applyFill="1" applyBorder="1" applyAlignment="1">
      <alignment horizontal="center"/>
    </xf>
    <xf numFmtId="0" fontId="6" fillId="5" borderId="42" xfId="3" applyFont="1" applyFill="1" applyBorder="1" applyAlignment="1">
      <alignment horizontal="center"/>
    </xf>
    <xf numFmtId="0" fontId="6" fillId="0" borderId="43" xfId="3" applyFont="1" applyBorder="1"/>
    <xf numFmtId="0" fontId="4" fillId="0" borderId="44" xfId="3" applyBorder="1"/>
    <xf numFmtId="0" fontId="4" fillId="0" borderId="37" xfId="3" applyBorder="1"/>
    <xf numFmtId="0" fontId="4" fillId="0" borderId="38" xfId="3" applyBorder="1"/>
    <xf numFmtId="164" fontId="0" fillId="0" borderId="27" xfId="1" applyNumberFormat="1" applyFont="1" applyBorder="1" applyAlignment="1">
      <alignment horizontal="center" vertical="center" wrapText="1"/>
    </xf>
    <xf numFmtId="164" fontId="0" fillId="0" borderId="20" xfId="1" applyNumberFormat="1" applyFont="1" applyBorder="1" applyAlignment="1">
      <alignment horizontal="center" vertical="center" wrapText="1"/>
    </xf>
    <xf numFmtId="164" fontId="0" fillId="0" borderId="24" xfId="1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4" fontId="2" fillId="0" borderId="4" xfId="1" applyNumberFormat="1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164" fontId="2" fillId="0" borderId="10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9" fontId="0" fillId="3" borderId="5" xfId="2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zoomScaleNormal="100" workbookViewId="0">
      <selection activeCell="D3" sqref="D3"/>
    </sheetView>
  </sheetViews>
  <sheetFormatPr defaultColWidth="9.140625" defaultRowHeight="12.75"/>
  <cols>
    <col min="1" max="1" width="8" style="1" customWidth="1"/>
    <col min="2" max="2" width="16.7109375" style="1" customWidth="1"/>
    <col min="3" max="3" width="9.140625" style="1"/>
    <col min="4" max="4" width="61.42578125" style="1" bestFit="1" customWidth="1"/>
    <col min="5" max="5" width="11.140625" style="1" customWidth="1"/>
    <col min="6" max="6" width="11.5703125" style="1" bestFit="1" customWidth="1"/>
    <col min="7" max="7" width="16.7109375" style="1" customWidth="1"/>
    <col min="8" max="8" width="5.5703125" style="1" customWidth="1"/>
    <col min="9" max="9" width="22.7109375" style="1" customWidth="1"/>
    <col min="10" max="16384" width="9.140625" style="1"/>
  </cols>
  <sheetData>
    <row r="1" spans="1:9" ht="18.75">
      <c r="A1" s="77" t="s">
        <v>0</v>
      </c>
      <c r="B1" s="78"/>
      <c r="C1" s="78"/>
      <c r="D1" s="78"/>
      <c r="E1" s="78"/>
      <c r="F1" s="78"/>
      <c r="G1" s="78"/>
      <c r="H1" s="78"/>
      <c r="I1" s="79"/>
    </row>
    <row r="2" spans="1:9" ht="15">
      <c r="A2" s="65" t="s">
        <v>1</v>
      </c>
      <c r="B2" s="66"/>
      <c r="C2" s="66"/>
      <c r="D2" s="2"/>
      <c r="E2" s="3" t="s">
        <v>2</v>
      </c>
      <c r="F2" s="48"/>
      <c r="G2" s="48"/>
      <c r="H2" s="5"/>
      <c r="I2" s="6"/>
    </row>
    <row r="3" spans="1:9" ht="15">
      <c r="A3" s="65" t="s">
        <v>3</v>
      </c>
      <c r="B3" s="66"/>
      <c r="C3" s="66"/>
      <c r="D3" s="4"/>
      <c r="E3" s="3" t="s">
        <v>4</v>
      </c>
      <c r="F3" s="48" t="s">
        <v>5</v>
      </c>
      <c r="G3" s="48"/>
      <c r="H3" s="7">
        <v>0</v>
      </c>
      <c r="I3" s="8" t="s">
        <v>6</v>
      </c>
    </row>
    <row r="4" spans="1:9" ht="15">
      <c r="A4" s="65" t="s">
        <v>7</v>
      </c>
      <c r="B4" s="66"/>
      <c r="C4" s="66"/>
      <c r="D4" s="4"/>
      <c r="E4" s="3" t="s">
        <v>8</v>
      </c>
      <c r="F4" s="80">
        <f>(SUM(F8:F57)/((50-(COUNTIF(E8:E57,"=NA")))*2))</f>
        <v>0</v>
      </c>
      <c r="G4" s="80"/>
      <c r="H4" s="7">
        <v>1</v>
      </c>
      <c r="I4" s="8" t="s">
        <v>9</v>
      </c>
    </row>
    <row r="5" spans="1:9" ht="15">
      <c r="A5" s="65" t="s">
        <v>10</v>
      </c>
      <c r="B5" s="66"/>
      <c r="C5" s="66"/>
      <c r="D5" s="4"/>
      <c r="E5" s="3" t="s">
        <v>11</v>
      </c>
      <c r="F5" s="67" t="str">
        <f>IF(F4&gt;90, "Good",IF(F4&gt;80,"Satisfactory",IF(F4&gt;70,"Average",IF(F4&lt;70,"Need Improvement"))))</f>
        <v>Need Improvement</v>
      </c>
      <c r="G5" s="67"/>
      <c r="H5" s="7">
        <v>2</v>
      </c>
      <c r="I5" s="8" t="s">
        <v>12</v>
      </c>
    </row>
    <row r="6" spans="1:9" ht="15.75" thickBot="1">
      <c r="A6" s="68"/>
      <c r="B6" s="69"/>
      <c r="C6" s="70"/>
      <c r="D6" s="9"/>
      <c r="E6" s="10" t="s">
        <v>13</v>
      </c>
      <c r="F6" s="71"/>
      <c r="G6" s="72"/>
      <c r="H6" s="11" t="s">
        <v>14</v>
      </c>
      <c r="I6" s="12" t="s">
        <v>15</v>
      </c>
    </row>
    <row r="7" spans="1:9" ht="30.75" thickBot="1">
      <c r="A7" s="13" t="s">
        <v>16</v>
      </c>
      <c r="B7" s="14" t="s">
        <v>17</v>
      </c>
      <c r="C7" s="15"/>
      <c r="D7" s="14" t="s">
        <v>18</v>
      </c>
      <c r="E7" s="14" t="s">
        <v>19</v>
      </c>
      <c r="F7" s="14" t="s">
        <v>20</v>
      </c>
      <c r="G7" s="73" t="s">
        <v>21</v>
      </c>
      <c r="H7" s="73"/>
      <c r="I7" s="74"/>
    </row>
    <row r="8" spans="1:9" ht="19.5" customHeight="1">
      <c r="A8" s="75">
        <v>1</v>
      </c>
      <c r="B8" s="76" t="s">
        <v>22</v>
      </c>
      <c r="C8" s="16">
        <v>1.1000000000000001</v>
      </c>
      <c r="D8" s="17" t="s">
        <v>23</v>
      </c>
      <c r="E8" s="16">
        <v>0</v>
      </c>
      <c r="F8" s="45">
        <f>SUM(E8:E12)</f>
        <v>0</v>
      </c>
      <c r="G8" s="48"/>
      <c r="H8" s="48"/>
      <c r="I8" s="49"/>
    </row>
    <row r="9" spans="1:9" ht="19.5" customHeight="1">
      <c r="A9" s="40"/>
      <c r="B9" s="43"/>
      <c r="C9" s="18">
        <v>1.2</v>
      </c>
      <c r="D9" s="19" t="s">
        <v>24</v>
      </c>
      <c r="E9" s="20">
        <v>0</v>
      </c>
      <c r="F9" s="46"/>
      <c r="G9" s="48"/>
      <c r="H9" s="48"/>
      <c r="I9" s="49"/>
    </row>
    <row r="10" spans="1:9" ht="18.75" customHeight="1">
      <c r="A10" s="40"/>
      <c r="B10" s="43"/>
      <c r="C10" s="18">
        <v>1.3</v>
      </c>
      <c r="D10" s="19" t="s">
        <v>25</v>
      </c>
      <c r="E10" s="20">
        <v>0</v>
      </c>
      <c r="F10" s="46"/>
      <c r="G10" s="48"/>
      <c r="H10" s="48"/>
      <c r="I10" s="49"/>
    </row>
    <row r="11" spans="1:9" ht="20.100000000000001" customHeight="1">
      <c r="A11" s="40"/>
      <c r="B11" s="43"/>
      <c r="C11" s="18">
        <v>1.4</v>
      </c>
      <c r="D11" s="19" t="s">
        <v>76</v>
      </c>
      <c r="E11" s="20">
        <v>0</v>
      </c>
      <c r="F11" s="46"/>
      <c r="G11" s="48"/>
      <c r="H11" s="48"/>
      <c r="I11" s="49"/>
    </row>
    <row r="12" spans="1:9" ht="20.100000000000001" customHeight="1" thickBot="1">
      <c r="A12" s="41"/>
      <c r="B12" s="44"/>
      <c r="C12" s="21">
        <v>1.5</v>
      </c>
      <c r="D12" s="22" t="s">
        <v>26</v>
      </c>
      <c r="E12" s="23">
        <v>0</v>
      </c>
      <c r="F12" s="47"/>
      <c r="G12" s="48"/>
      <c r="H12" s="48"/>
      <c r="I12" s="49"/>
    </row>
    <row r="13" spans="1:9" ht="20.100000000000001" customHeight="1">
      <c r="A13" s="39">
        <v>2</v>
      </c>
      <c r="B13" s="42" t="s">
        <v>27</v>
      </c>
      <c r="C13" s="20">
        <v>2.1</v>
      </c>
      <c r="D13" s="24" t="s">
        <v>73</v>
      </c>
      <c r="E13" s="20">
        <v>0</v>
      </c>
      <c r="F13" s="45">
        <f>SUM(E13:E17)</f>
        <v>0</v>
      </c>
      <c r="G13" s="48"/>
      <c r="H13" s="48"/>
      <c r="I13" s="49"/>
    </row>
    <row r="14" spans="1:9" ht="20.100000000000001" customHeight="1">
      <c r="A14" s="40"/>
      <c r="B14" s="43"/>
      <c r="C14" s="18">
        <v>2.2000000000000002</v>
      </c>
      <c r="D14" s="19" t="s">
        <v>74</v>
      </c>
      <c r="E14" s="20">
        <v>0</v>
      </c>
      <c r="F14" s="46"/>
      <c r="G14" s="48"/>
      <c r="H14" s="48"/>
      <c r="I14" s="49"/>
    </row>
    <row r="15" spans="1:9" ht="34.5" customHeight="1">
      <c r="A15" s="40"/>
      <c r="B15" s="43"/>
      <c r="C15" s="18">
        <v>2.2999999999999998</v>
      </c>
      <c r="D15" s="19" t="s">
        <v>28</v>
      </c>
      <c r="E15" s="20">
        <v>0</v>
      </c>
      <c r="F15" s="46"/>
      <c r="G15" s="48"/>
      <c r="H15" s="48"/>
      <c r="I15" s="49"/>
    </row>
    <row r="16" spans="1:9" ht="20.100000000000001" customHeight="1">
      <c r="A16" s="40"/>
      <c r="B16" s="43"/>
      <c r="C16" s="18">
        <v>2.4</v>
      </c>
      <c r="D16" s="19" t="s">
        <v>75</v>
      </c>
      <c r="E16" s="20">
        <v>0</v>
      </c>
      <c r="F16" s="46"/>
      <c r="G16" s="48"/>
      <c r="H16" s="48"/>
      <c r="I16" s="49"/>
    </row>
    <row r="17" spans="1:9" ht="20.100000000000001" customHeight="1" thickBot="1">
      <c r="A17" s="41"/>
      <c r="B17" s="44"/>
      <c r="C17" s="21">
        <v>2.5</v>
      </c>
      <c r="D17" s="22" t="s">
        <v>29</v>
      </c>
      <c r="E17" s="23">
        <v>0</v>
      </c>
      <c r="F17" s="47"/>
      <c r="G17" s="48"/>
      <c r="H17" s="48"/>
      <c r="I17" s="49"/>
    </row>
    <row r="18" spans="1:9" ht="20.100000000000001" customHeight="1">
      <c r="A18" s="39">
        <v>3</v>
      </c>
      <c r="B18" s="42" t="s">
        <v>30</v>
      </c>
      <c r="C18" s="20">
        <v>3.1</v>
      </c>
      <c r="D18" s="24" t="s">
        <v>31</v>
      </c>
      <c r="E18" s="20">
        <v>0</v>
      </c>
      <c r="F18" s="45">
        <f>SUM(E18:E22)</f>
        <v>0</v>
      </c>
      <c r="G18" s="48"/>
      <c r="H18" s="48"/>
      <c r="I18" s="49"/>
    </row>
    <row r="19" spans="1:9" ht="20.100000000000001" customHeight="1">
      <c r="A19" s="40"/>
      <c r="B19" s="43"/>
      <c r="C19" s="18">
        <v>3.2</v>
      </c>
      <c r="D19" s="19" t="s">
        <v>32</v>
      </c>
      <c r="E19" s="20">
        <v>0</v>
      </c>
      <c r="F19" s="46"/>
      <c r="G19" s="48"/>
      <c r="H19" s="48"/>
      <c r="I19" s="49"/>
    </row>
    <row r="20" spans="1:9" ht="20.100000000000001" customHeight="1">
      <c r="A20" s="40"/>
      <c r="B20" s="43"/>
      <c r="C20" s="25">
        <v>3.3</v>
      </c>
      <c r="D20" s="19" t="s">
        <v>77</v>
      </c>
      <c r="E20" s="20">
        <v>0</v>
      </c>
      <c r="F20" s="46"/>
      <c r="G20" s="48"/>
      <c r="H20" s="48"/>
      <c r="I20" s="49"/>
    </row>
    <row r="21" spans="1:9" ht="20.100000000000001" customHeight="1">
      <c r="A21" s="40"/>
      <c r="B21" s="43"/>
      <c r="C21" s="18">
        <v>3.4</v>
      </c>
      <c r="D21" s="19" t="s">
        <v>33</v>
      </c>
      <c r="E21" s="20">
        <v>0</v>
      </c>
      <c r="F21" s="46"/>
      <c r="G21" s="48"/>
      <c r="H21" s="48"/>
      <c r="I21" s="49"/>
    </row>
    <row r="22" spans="1:9" ht="20.100000000000001" customHeight="1" thickBot="1">
      <c r="A22" s="41"/>
      <c r="B22" s="44"/>
      <c r="C22" s="26">
        <v>3.5</v>
      </c>
      <c r="D22" s="22" t="s">
        <v>34</v>
      </c>
      <c r="E22" s="23">
        <v>0</v>
      </c>
      <c r="F22" s="47"/>
      <c r="G22" s="48"/>
      <c r="H22" s="48"/>
      <c r="I22" s="49"/>
    </row>
    <row r="23" spans="1:9" ht="20.100000000000001" customHeight="1">
      <c r="A23" s="39">
        <v>4</v>
      </c>
      <c r="B23" s="42" t="s">
        <v>35</v>
      </c>
      <c r="C23" s="20">
        <v>4.0999999999999996</v>
      </c>
      <c r="D23" s="24" t="s">
        <v>36</v>
      </c>
      <c r="E23" s="20">
        <v>0</v>
      </c>
      <c r="F23" s="45">
        <f>SUM(E23:E27)</f>
        <v>0</v>
      </c>
      <c r="G23" s="48"/>
      <c r="H23" s="48"/>
      <c r="I23" s="49"/>
    </row>
    <row r="24" spans="1:9" ht="20.100000000000001" customHeight="1">
      <c r="A24" s="40"/>
      <c r="B24" s="43"/>
      <c r="C24" s="18">
        <v>4.2</v>
      </c>
      <c r="D24" s="19" t="s">
        <v>37</v>
      </c>
      <c r="E24" s="20">
        <v>0</v>
      </c>
      <c r="F24" s="46"/>
      <c r="G24" s="48"/>
      <c r="H24" s="48"/>
      <c r="I24" s="49"/>
    </row>
    <row r="25" spans="1:9" ht="20.100000000000001" customHeight="1">
      <c r="A25" s="40"/>
      <c r="B25" s="43"/>
      <c r="C25" s="25">
        <v>4.3</v>
      </c>
      <c r="D25" s="19" t="s">
        <v>38</v>
      </c>
      <c r="E25" s="20">
        <v>0</v>
      </c>
      <c r="F25" s="46"/>
      <c r="G25" s="48"/>
      <c r="H25" s="48"/>
      <c r="I25" s="49"/>
    </row>
    <row r="26" spans="1:9" ht="20.100000000000001" customHeight="1">
      <c r="A26" s="40"/>
      <c r="B26" s="43"/>
      <c r="C26" s="18">
        <v>4.4000000000000004</v>
      </c>
      <c r="D26" s="19" t="s">
        <v>39</v>
      </c>
      <c r="E26" s="20">
        <v>0</v>
      </c>
      <c r="F26" s="46"/>
      <c r="G26" s="48"/>
      <c r="H26" s="48"/>
      <c r="I26" s="49"/>
    </row>
    <row r="27" spans="1:9" ht="20.100000000000001" customHeight="1" thickBot="1">
      <c r="A27" s="41"/>
      <c r="B27" s="44"/>
      <c r="C27" s="26">
        <v>4.5</v>
      </c>
      <c r="D27" s="22" t="s">
        <v>40</v>
      </c>
      <c r="E27" s="23">
        <v>0</v>
      </c>
      <c r="F27" s="47"/>
      <c r="G27" s="48"/>
      <c r="H27" s="48"/>
      <c r="I27" s="49"/>
    </row>
    <row r="28" spans="1:9" ht="20.100000000000001" customHeight="1">
      <c r="A28" s="39">
        <v>5</v>
      </c>
      <c r="B28" s="42" t="s">
        <v>41</v>
      </c>
      <c r="C28" s="20">
        <v>5.0999999999999996</v>
      </c>
      <c r="D28" s="24" t="s">
        <v>42</v>
      </c>
      <c r="E28" s="20">
        <v>0</v>
      </c>
      <c r="F28" s="45">
        <f>SUM(E28:E32)</f>
        <v>0</v>
      </c>
      <c r="G28" s="59"/>
      <c r="H28" s="60"/>
      <c r="I28" s="61"/>
    </row>
    <row r="29" spans="1:9" ht="20.100000000000001" customHeight="1">
      <c r="A29" s="40"/>
      <c r="B29" s="43"/>
      <c r="C29" s="18">
        <v>5.2</v>
      </c>
      <c r="D29" s="19" t="s">
        <v>43</v>
      </c>
      <c r="E29" s="20">
        <v>0</v>
      </c>
      <c r="F29" s="46"/>
      <c r="G29" s="50"/>
      <c r="H29" s="51"/>
      <c r="I29" s="52"/>
    </row>
    <row r="30" spans="1:9" ht="20.100000000000001" customHeight="1">
      <c r="A30" s="40"/>
      <c r="B30" s="43"/>
      <c r="C30" s="25">
        <v>5.3</v>
      </c>
      <c r="D30" s="19" t="s">
        <v>44</v>
      </c>
      <c r="E30" s="20">
        <v>0</v>
      </c>
      <c r="F30" s="46"/>
      <c r="G30" s="50"/>
      <c r="H30" s="51"/>
      <c r="I30" s="52"/>
    </row>
    <row r="31" spans="1:9" ht="20.100000000000001" customHeight="1">
      <c r="A31" s="40"/>
      <c r="B31" s="43"/>
      <c r="C31" s="18">
        <v>5.4</v>
      </c>
      <c r="D31" s="19" t="s">
        <v>45</v>
      </c>
      <c r="E31" s="20">
        <v>0</v>
      </c>
      <c r="F31" s="46"/>
      <c r="G31" s="50"/>
      <c r="H31" s="51"/>
      <c r="I31" s="52"/>
    </row>
    <row r="32" spans="1:9" ht="20.100000000000001" customHeight="1" thickBot="1">
      <c r="A32" s="41"/>
      <c r="B32" s="44"/>
      <c r="C32" s="26">
        <v>5.5</v>
      </c>
      <c r="D32" s="22" t="s">
        <v>46</v>
      </c>
      <c r="E32" s="23">
        <v>0</v>
      </c>
      <c r="F32" s="47"/>
      <c r="G32" s="62"/>
      <c r="H32" s="63"/>
      <c r="I32" s="64"/>
    </row>
    <row r="33" spans="1:9" ht="20.100000000000001" customHeight="1">
      <c r="A33" s="39">
        <v>6</v>
      </c>
      <c r="B33" s="42" t="s">
        <v>47</v>
      </c>
      <c r="C33" s="20">
        <v>6.1</v>
      </c>
      <c r="D33" s="24" t="s">
        <v>48</v>
      </c>
      <c r="E33" s="20">
        <v>0</v>
      </c>
      <c r="F33" s="45">
        <f>SUM(E33:E37)</f>
        <v>0</v>
      </c>
      <c r="G33" s="50"/>
      <c r="H33" s="51"/>
      <c r="I33" s="52"/>
    </row>
    <row r="34" spans="1:9" ht="20.100000000000001" customHeight="1">
      <c r="A34" s="40"/>
      <c r="B34" s="43"/>
      <c r="C34" s="18">
        <v>6.2</v>
      </c>
      <c r="D34" s="19" t="s">
        <v>49</v>
      </c>
      <c r="E34" s="20">
        <v>0</v>
      </c>
      <c r="F34" s="46"/>
      <c r="G34" s="50"/>
      <c r="H34" s="51"/>
      <c r="I34" s="52"/>
    </row>
    <row r="35" spans="1:9" ht="20.100000000000001" customHeight="1">
      <c r="A35" s="40"/>
      <c r="B35" s="43"/>
      <c r="C35" s="25">
        <v>6.3</v>
      </c>
      <c r="D35" s="19" t="s">
        <v>78</v>
      </c>
      <c r="E35" s="20">
        <v>0</v>
      </c>
      <c r="F35" s="46"/>
      <c r="G35" s="50"/>
      <c r="H35" s="51"/>
      <c r="I35" s="52"/>
    </row>
    <row r="36" spans="1:9" ht="20.100000000000001" customHeight="1">
      <c r="A36" s="40"/>
      <c r="B36" s="43"/>
      <c r="C36" s="18">
        <v>6.4</v>
      </c>
      <c r="D36" s="19" t="s">
        <v>79</v>
      </c>
      <c r="E36" s="20">
        <v>0</v>
      </c>
      <c r="F36" s="46"/>
      <c r="G36" s="50"/>
      <c r="H36" s="51"/>
      <c r="I36" s="52"/>
    </row>
    <row r="37" spans="1:9" ht="20.100000000000001" customHeight="1" thickBot="1">
      <c r="A37" s="41"/>
      <c r="B37" s="44"/>
      <c r="C37" s="26">
        <v>6.5</v>
      </c>
      <c r="D37" s="22" t="s">
        <v>50</v>
      </c>
      <c r="E37" s="23">
        <v>0</v>
      </c>
      <c r="F37" s="47"/>
      <c r="G37" s="53"/>
      <c r="H37" s="54"/>
      <c r="I37" s="55"/>
    </row>
    <row r="38" spans="1:9" ht="20.100000000000001" customHeight="1">
      <c r="A38" s="39">
        <v>7</v>
      </c>
      <c r="B38" s="42" t="s">
        <v>51</v>
      </c>
      <c r="C38" s="20">
        <v>7.1</v>
      </c>
      <c r="D38" s="24" t="s">
        <v>80</v>
      </c>
      <c r="E38" s="20">
        <v>0</v>
      </c>
      <c r="F38" s="45">
        <f>SUM(E38:E42)</f>
        <v>0</v>
      </c>
      <c r="G38" s="56"/>
      <c r="H38" s="57"/>
      <c r="I38" s="58"/>
    </row>
    <row r="39" spans="1:9" ht="20.100000000000001" customHeight="1">
      <c r="A39" s="40"/>
      <c r="B39" s="43"/>
      <c r="C39" s="18">
        <v>7.2</v>
      </c>
      <c r="D39" s="19" t="s">
        <v>81</v>
      </c>
      <c r="E39" s="20">
        <v>0</v>
      </c>
      <c r="F39" s="46"/>
      <c r="G39" s="50"/>
      <c r="H39" s="51"/>
      <c r="I39" s="52"/>
    </row>
    <row r="40" spans="1:9" ht="20.100000000000001" customHeight="1">
      <c r="A40" s="40"/>
      <c r="B40" s="43"/>
      <c r="C40" s="18">
        <v>7.3</v>
      </c>
      <c r="D40" s="19" t="s">
        <v>52</v>
      </c>
      <c r="E40" s="20">
        <v>0</v>
      </c>
      <c r="F40" s="46"/>
      <c r="G40" s="50"/>
      <c r="H40" s="51"/>
      <c r="I40" s="52"/>
    </row>
    <row r="41" spans="1:9" ht="20.100000000000001" customHeight="1">
      <c r="A41" s="40"/>
      <c r="B41" s="43"/>
      <c r="C41" s="18">
        <v>7.4</v>
      </c>
      <c r="D41" s="19" t="s">
        <v>82</v>
      </c>
      <c r="E41" s="20">
        <v>0</v>
      </c>
      <c r="F41" s="46"/>
      <c r="G41" s="50"/>
      <c r="H41" s="51"/>
      <c r="I41" s="52"/>
    </row>
    <row r="42" spans="1:9" ht="20.100000000000001" customHeight="1" thickBot="1">
      <c r="A42" s="41"/>
      <c r="B42" s="44"/>
      <c r="C42" s="21">
        <v>7.5</v>
      </c>
      <c r="D42" s="22" t="s">
        <v>53</v>
      </c>
      <c r="E42" s="23">
        <v>0</v>
      </c>
      <c r="F42" s="47"/>
      <c r="G42" s="50"/>
      <c r="H42" s="51"/>
      <c r="I42" s="52"/>
    </row>
    <row r="43" spans="1:9" ht="20.100000000000001" customHeight="1">
      <c r="A43" s="39">
        <v>8</v>
      </c>
      <c r="B43" s="42" t="s">
        <v>54</v>
      </c>
      <c r="C43" s="20">
        <v>8.1</v>
      </c>
      <c r="D43" s="24" t="s">
        <v>55</v>
      </c>
      <c r="E43" s="20">
        <v>0</v>
      </c>
      <c r="F43" s="45">
        <f>SUM(E43:E47)</f>
        <v>0</v>
      </c>
      <c r="G43" s="48"/>
      <c r="H43" s="48"/>
      <c r="I43" s="49"/>
    </row>
    <row r="44" spans="1:9" ht="20.100000000000001" customHeight="1">
      <c r="A44" s="40"/>
      <c r="B44" s="43"/>
      <c r="C44" s="18">
        <v>8.1999999999999993</v>
      </c>
      <c r="D44" s="19" t="s">
        <v>56</v>
      </c>
      <c r="E44" s="20">
        <v>0</v>
      </c>
      <c r="F44" s="46"/>
      <c r="G44" s="48"/>
      <c r="H44" s="48"/>
      <c r="I44" s="49"/>
    </row>
    <row r="45" spans="1:9" ht="20.100000000000001" customHeight="1">
      <c r="A45" s="40"/>
      <c r="B45" s="43"/>
      <c r="C45" s="18">
        <v>8.3000000000000007</v>
      </c>
      <c r="D45" s="19" t="s">
        <v>57</v>
      </c>
      <c r="E45" s="20">
        <v>0</v>
      </c>
      <c r="F45" s="46"/>
      <c r="G45" s="48"/>
      <c r="H45" s="48"/>
      <c r="I45" s="49"/>
    </row>
    <row r="46" spans="1:9" ht="20.100000000000001" customHeight="1">
      <c r="A46" s="40"/>
      <c r="B46" s="43"/>
      <c r="C46" s="18">
        <v>8.4</v>
      </c>
      <c r="D46" s="19" t="s">
        <v>58</v>
      </c>
      <c r="E46" s="20">
        <v>0</v>
      </c>
      <c r="F46" s="46"/>
      <c r="G46" s="48"/>
      <c r="H46" s="48"/>
      <c r="I46" s="49"/>
    </row>
    <row r="47" spans="1:9" ht="20.100000000000001" customHeight="1" thickBot="1">
      <c r="A47" s="41"/>
      <c r="B47" s="44"/>
      <c r="C47" s="27">
        <v>8.5</v>
      </c>
      <c r="D47" s="22" t="s">
        <v>59</v>
      </c>
      <c r="E47" s="23">
        <v>0</v>
      </c>
      <c r="F47" s="47"/>
      <c r="G47" s="48"/>
      <c r="H47" s="48"/>
      <c r="I47" s="49"/>
    </row>
    <row r="48" spans="1:9" ht="20.100000000000001" customHeight="1">
      <c r="A48" s="39">
        <v>9</v>
      </c>
      <c r="B48" s="42" t="s">
        <v>60</v>
      </c>
      <c r="C48" s="20">
        <v>9.1</v>
      </c>
      <c r="D48" s="24" t="s">
        <v>61</v>
      </c>
      <c r="E48" s="20">
        <v>0</v>
      </c>
      <c r="F48" s="45">
        <f>SUM(E48:E52)</f>
        <v>0</v>
      </c>
      <c r="G48" s="48"/>
      <c r="H48" s="48"/>
      <c r="I48" s="49"/>
    </row>
    <row r="49" spans="1:13" ht="20.100000000000001" customHeight="1">
      <c r="A49" s="40"/>
      <c r="B49" s="43"/>
      <c r="C49" s="18">
        <v>9.1999999999999993</v>
      </c>
      <c r="D49" s="19" t="s">
        <v>62</v>
      </c>
      <c r="E49" s="20">
        <v>0</v>
      </c>
      <c r="F49" s="46"/>
      <c r="G49" s="48"/>
      <c r="H49" s="48"/>
      <c r="I49" s="49"/>
    </row>
    <row r="50" spans="1:13" ht="20.100000000000001" customHeight="1">
      <c r="A50" s="40"/>
      <c r="B50" s="43"/>
      <c r="C50" s="18">
        <v>9.3000000000000007</v>
      </c>
      <c r="D50" s="19" t="s">
        <v>63</v>
      </c>
      <c r="E50" s="20">
        <v>0</v>
      </c>
      <c r="F50" s="46"/>
      <c r="G50" s="48"/>
      <c r="H50" s="48"/>
      <c r="I50" s="49"/>
    </row>
    <row r="51" spans="1:13" ht="20.100000000000001" customHeight="1">
      <c r="A51" s="40"/>
      <c r="B51" s="43"/>
      <c r="C51" s="18">
        <v>9.4</v>
      </c>
      <c r="D51" s="19" t="s">
        <v>64</v>
      </c>
      <c r="E51" s="20">
        <v>0</v>
      </c>
      <c r="F51" s="46"/>
      <c r="G51" s="48"/>
      <c r="H51" s="48"/>
      <c r="I51" s="49"/>
      <c r="M51" s="28"/>
    </row>
    <row r="52" spans="1:13" ht="20.100000000000001" customHeight="1" thickBot="1">
      <c r="A52" s="41"/>
      <c r="B52" s="44"/>
      <c r="C52" s="21">
        <v>9.5</v>
      </c>
      <c r="D52" s="22" t="s">
        <v>65</v>
      </c>
      <c r="E52" s="23">
        <v>0</v>
      </c>
      <c r="F52" s="47"/>
      <c r="G52" s="48"/>
      <c r="H52" s="48"/>
      <c r="I52" s="49"/>
    </row>
    <row r="53" spans="1:13" ht="20.100000000000001" customHeight="1">
      <c r="A53" s="39">
        <v>10</v>
      </c>
      <c r="B53" s="42" t="s">
        <v>66</v>
      </c>
      <c r="C53" s="20">
        <v>10.1</v>
      </c>
      <c r="D53" s="24" t="s">
        <v>67</v>
      </c>
      <c r="E53" s="20">
        <v>0</v>
      </c>
      <c r="F53" s="45">
        <f>SUM(E53:E57)</f>
        <v>0</v>
      </c>
      <c r="G53" s="48"/>
      <c r="H53" s="48"/>
      <c r="I53" s="49"/>
    </row>
    <row r="54" spans="1:13" ht="20.100000000000001" customHeight="1">
      <c r="A54" s="40"/>
      <c r="B54" s="43"/>
      <c r="C54" s="18">
        <v>10.199999999999999</v>
      </c>
      <c r="D54" s="19" t="s">
        <v>68</v>
      </c>
      <c r="E54" s="20">
        <v>0</v>
      </c>
      <c r="F54" s="46"/>
      <c r="G54" s="48"/>
      <c r="H54" s="48"/>
      <c r="I54" s="49"/>
    </row>
    <row r="55" spans="1:13" ht="20.100000000000001" customHeight="1">
      <c r="A55" s="40"/>
      <c r="B55" s="43"/>
      <c r="C55" s="18">
        <v>10.3</v>
      </c>
      <c r="D55" s="19" t="s">
        <v>69</v>
      </c>
      <c r="E55" s="20">
        <v>0</v>
      </c>
      <c r="F55" s="46"/>
      <c r="G55" s="48"/>
      <c r="H55" s="48"/>
      <c r="I55" s="49"/>
    </row>
    <row r="56" spans="1:13" ht="20.100000000000001" customHeight="1">
      <c r="A56" s="40"/>
      <c r="B56" s="43"/>
      <c r="C56" s="18">
        <v>10.4</v>
      </c>
      <c r="D56" s="19" t="s">
        <v>70</v>
      </c>
      <c r="E56" s="20">
        <v>0</v>
      </c>
      <c r="F56" s="46"/>
      <c r="G56" s="48"/>
      <c r="H56" s="48"/>
      <c r="I56" s="49"/>
    </row>
    <row r="57" spans="1:13" ht="20.100000000000001" customHeight="1" thickBot="1">
      <c r="A57" s="41"/>
      <c r="B57" s="44"/>
      <c r="C57" s="27">
        <v>10.5</v>
      </c>
      <c r="D57" s="22" t="s">
        <v>71</v>
      </c>
      <c r="E57" s="23">
        <v>0</v>
      </c>
      <c r="F57" s="47"/>
      <c r="G57" s="48"/>
      <c r="H57" s="48"/>
      <c r="I57" s="49"/>
    </row>
    <row r="58" spans="1:13" ht="13.5" thickBot="1">
      <c r="A58" s="29"/>
      <c r="I58" s="30"/>
    </row>
    <row r="59" spans="1:13" ht="18.75" thickBot="1">
      <c r="A59" s="29"/>
      <c r="D59" s="31" t="s">
        <v>72</v>
      </c>
      <c r="E59" s="32"/>
      <c r="F59" s="33">
        <f>SUM(F8:F57)</f>
        <v>0</v>
      </c>
      <c r="G59" s="32"/>
      <c r="H59" s="34"/>
      <c r="I59" s="35"/>
    </row>
    <row r="60" spans="1:13" ht="13.5" thickBot="1">
      <c r="A60" s="36"/>
      <c r="B60" s="37"/>
      <c r="C60" s="37"/>
      <c r="D60" s="37"/>
      <c r="E60" s="37"/>
      <c r="F60" s="37"/>
      <c r="G60" s="37"/>
      <c r="H60" s="37"/>
      <c r="I60" s="38"/>
    </row>
  </sheetData>
  <mergeCells count="52">
    <mergeCell ref="A8:A12"/>
    <mergeCell ref="B8:B12"/>
    <mergeCell ref="F8:F12"/>
    <mergeCell ref="G8:I12"/>
    <mergeCell ref="A1:I1"/>
    <mergeCell ref="A2:C2"/>
    <mergeCell ref="F2:G2"/>
    <mergeCell ref="A3:C3"/>
    <mergeCell ref="F3:G3"/>
    <mergeCell ref="A4:C4"/>
    <mergeCell ref="F4:G4"/>
    <mergeCell ref="A5:C5"/>
    <mergeCell ref="F5:G5"/>
    <mergeCell ref="A6:C6"/>
    <mergeCell ref="F6:G6"/>
    <mergeCell ref="G7:I7"/>
    <mergeCell ref="A13:A17"/>
    <mergeCell ref="B13:B17"/>
    <mergeCell ref="F13:F17"/>
    <mergeCell ref="G13:I17"/>
    <mergeCell ref="A18:A22"/>
    <mergeCell ref="B18:B22"/>
    <mergeCell ref="F18:F22"/>
    <mergeCell ref="G18:I22"/>
    <mergeCell ref="A23:A27"/>
    <mergeCell ref="B23:B27"/>
    <mergeCell ref="F23:F27"/>
    <mergeCell ref="G23:I27"/>
    <mergeCell ref="A28:A32"/>
    <mergeCell ref="B28:B32"/>
    <mergeCell ref="F28:F32"/>
    <mergeCell ref="G28:I32"/>
    <mergeCell ref="A33:A37"/>
    <mergeCell ref="B33:B37"/>
    <mergeCell ref="F33:F37"/>
    <mergeCell ref="G33:I37"/>
    <mergeCell ref="A38:A42"/>
    <mergeCell ref="B38:B42"/>
    <mergeCell ref="F38:F42"/>
    <mergeCell ref="G38:I42"/>
    <mergeCell ref="A53:A57"/>
    <mergeCell ref="B53:B57"/>
    <mergeCell ref="F53:F57"/>
    <mergeCell ref="G53:I57"/>
    <mergeCell ref="A43:A47"/>
    <mergeCell ref="B43:B47"/>
    <mergeCell ref="F43:F47"/>
    <mergeCell ref="G43:I47"/>
    <mergeCell ref="A48:A52"/>
    <mergeCell ref="B48:B52"/>
    <mergeCell ref="F48:F52"/>
    <mergeCell ref="G48:I52"/>
  </mergeCells>
  <dataValidations count="1">
    <dataValidation type="list" allowBlank="1" showInputMessage="1" showErrorMessage="1" sqref="E8:E57" xr:uid="{00000000-0002-0000-0000-000000000000}">
      <formula1>$H$3:$H$6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Score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Venu</cp:lastModifiedBy>
  <dcterms:created xsi:type="dcterms:W3CDTF">2023-12-26T08:15:28Z</dcterms:created>
  <dcterms:modified xsi:type="dcterms:W3CDTF">2026-02-07T06:41:20Z</dcterms:modified>
</cp:coreProperties>
</file>