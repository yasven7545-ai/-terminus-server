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Alarms" sheetId="3" state="visible" r:id="rId3"/>
    <sheet xmlns:r="http://schemas.openxmlformats.org/officeDocument/2006/relationships" name="Inspections" sheetId="4" state="visible" r:id="rId4"/>
    <sheet xmlns:r="http://schemas.openxmlformats.org/officeDocument/2006/relationships" name="Maintenance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Response Team" sheetId="7" state="visible" r:id="rId7"/>
    <sheet xmlns:r="http://schemas.openxmlformats.org/officeDocument/2006/relationships" name="Dril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7E8F9"/>
      <sz val="9"/>
    </font>
    <font>
      <name val="Calibri"/>
      <i val="1"/>
      <color rgb="001B3A47"/>
      <sz val="9"/>
    </font>
    <font>
      <name val="Calibri"/>
      <b val="1"/>
      <color rgb="00FFFFFF"/>
      <sz val="10"/>
    </font>
    <font>
      <name val="Calibri"/>
      <color rgb="00020B12"/>
      <sz val="10"/>
    </font>
    <font>
      <name val="Calibri"/>
      <b val="1"/>
      <color rgb="00FFFFFF"/>
      <sz val="9"/>
    </font>
    <font>
      <name val="Calibri"/>
      <b val="1"/>
      <color rgb="000D9488"/>
      <sz val="12"/>
    </font>
    <font>
      <name val="Calibri"/>
      <b val="1"/>
      <color rgb="0010B981"/>
      <sz val="12"/>
    </font>
    <font>
      <name val="Calibri"/>
      <b val="1"/>
      <color rgb="00EF4444"/>
      <sz val="12"/>
    </font>
    <font>
      <name val="Calibri"/>
      <b val="1"/>
      <color rgb="00F59E0B"/>
      <sz val="12"/>
    </font>
    <font>
      <name val="Calibri"/>
      <b val="1"/>
      <color rgb="0006B6D4"/>
      <sz val="12"/>
    </font>
    <font>
      <name val="Calibri"/>
      <b val="1"/>
      <color rgb="00FFFFFF"/>
      <sz val="16"/>
    </font>
    <font>
      <name val="Calibri"/>
      <i val="1"/>
      <color rgb="0067E8F9"/>
      <sz val="10"/>
    </font>
    <font>
      <name val="Calibri"/>
      <b val="1"/>
      <color rgb="00FFFFFF"/>
      <sz val="11"/>
    </font>
    <font>
      <name val="Calibri"/>
      <b val="1"/>
      <color rgb="00020B12"/>
      <sz val="10"/>
    </font>
  </fonts>
  <fills count="19">
    <fill>
      <patternFill/>
    </fill>
    <fill>
      <patternFill patternType="gray125"/>
    </fill>
    <fill>
      <patternFill patternType="solid">
        <fgColor rgb="00020B12"/>
      </patternFill>
    </fill>
    <fill>
      <patternFill patternType="solid">
        <fgColor rgb="00071520"/>
      </patternFill>
    </fill>
    <fill>
      <patternFill patternType="solid">
        <fgColor rgb="00F0FAFA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0FDF9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ECFDF5"/>
      </patternFill>
    </fill>
    <fill>
      <patternFill patternType="solid">
        <fgColor rgb="000F766E"/>
      </patternFill>
    </fill>
    <fill>
      <patternFill patternType="solid">
        <fgColor rgb="0006B6D4"/>
      </patternFill>
    </fill>
    <fill>
      <patternFill patternType="solid">
        <fgColor rgb="00F97316"/>
      </patternFill>
    </fill>
    <fill>
      <patternFill patternType="solid">
        <fgColor rgb="00EFF6FF"/>
      </patternFill>
    </fill>
    <fill>
      <patternFill patternType="solid">
        <fgColor rgb="00A78BFA"/>
      </patternFill>
    </fill>
    <fill>
      <patternFill patternType="solid">
        <fgColor rgb="001B3A47"/>
      </patternFill>
    </fill>
  </fills>
  <borders count="2">
    <border>
      <left/>
      <right/>
      <top/>
      <bottom/>
      <diagonal/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6" fillId="9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  <xf numFmtId="0" fontId="6" fillId="10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/>
    </xf>
    <xf numFmtId="0" fontId="6" fillId="11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/>
    </xf>
    <xf numFmtId="0" fontId="4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0B1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8" customWidth="1" min="3" max="3"/>
    <col width="22" customWidth="1" min="4" max="4"/>
    <col width="22" customWidth="1" min="5" max="5"/>
  </cols>
  <sheetData>
    <row r="1" ht="44" customHeight="1">
      <c r="A1" s="1" t="inlineStr">
        <is>
          <t>🔥  ONE GOLDEN MILE (OGM) — FIRE FIGHTING MODULE  |  MASTER DATA TEMPLATE</t>
        </is>
      </c>
    </row>
    <row r="2"/>
    <row r="3" ht="20" customHeight="1">
      <c r="A3" s="2" t="inlineStr">
        <is>
          <t xml:space="preserve">  Property: One Golden Mile (OGM)  |  Module: Fire Fighting Safety  |  Template v1.0  |  Generated: 23-Mar-2026</t>
        </is>
      </c>
    </row>
    <row r="5" ht="26" customHeight="1">
      <c r="A5" s="3" t="inlineStr">
        <is>
          <t>SHEET INDEX</t>
        </is>
      </c>
    </row>
    <row r="6">
      <c r="A6" s="4" t="inlineStr">
        <is>
          <t>#</t>
        </is>
      </c>
      <c r="B6" s="4" t="inlineStr">
        <is>
          <t>Sheet Name</t>
        </is>
      </c>
      <c r="C6" s="4" t="inlineStr">
        <is>
          <t>Purpose</t>
        </is>
      </c>
      <c r="D6" s="4" t="inlineStr">
        <is>
          <t>Key Dropdowns</t>
        </is>
      </c>
      <c r="E6" s="4" t="inlineStr">
        <is>
          <t>Notes</t>
        </is>
      </c>
    </row>
    <row r="7" ht="24" customHeight="1">
      <c r="A7" s="5" t="n">
        <v>1</v>
      </c>
      <c r="B7" s="6" t="inlineStr">
        <is>
          <t>Equipment</t>
        </is>
      </c>
      <c r="C7" s="7" t="inlineStr">
        <is>
          <t>Equipment register</t>
        </is>
      </c>
      <c r="D7" s="8" t="inlineStr">
        <is>
          <t>extinguisher|hydrant|hose_reel|sprinkler|pump|panel</t>
        </is>
      </c>
      <c r="E7" s="9" t="inlineStr">
        <is>
          <t>All fire assets with dates &amp; status</t>
        </is>
      </c>
    </row>
    <row r="8" ht="24" customHeight="1">
      <c r="A8" s="5" t="n">
        <v>2</v>
      </c>
      <c r="B8" s="10" t="inlineStr">
        <is>
          <t>Alarms</t>
        </is>
      </c>
      <c r="C8" s="11" t="inlineStr">
        <is>
          <t>Alarm event log</t>
        </is>
      </c>
      <c r="D8" s="8" t="inlineStr">
        <is>
          <t>smoke|heat|manual</t>
        </is>
      </c>
      <c r="E8" s="12" t="inlineStr">
        <is>
          <t>Every alarm trigger with response</t>
        </is>
      </c>
    </row>
    <row r="9" ht="24" customHeight="1">
      <c r="A9" s="5" t="n">
        <v>3</v>
      </c>
      <c r="B9" s="13" t="inlineStr">
        <is>
          <t>Inspections</t>
        </is>
      </c>
      <c r="C9" s="7" t="inlineStr">
        <is>
          <t>Inspection checklist log</t>
        </is>
      </c>
      <c r="D9" s="8" t="inlineStr">
        <is>
          <t>daily|weekly|monthly|annual</t>
        </is>
      </c>
      <c r="E9" s="9" t="inlineStr">
        <is>
          <t>Pass/fail per checklist item</t>
        </is>
      </c>
    </row>
    <row r="10" ht="24" customHeight="1">
      <c r="A10" s="5" t="n">
        <v>4</v>
      </c>
      <c r="B10" s="14" t="inlineStr">
        <is>
          <t>Maintenance</t>
        </is>
      </c>
      <c r="C10" s="11" t="inlineStr">
        <is>
          <t>PM &amp; repair schedule</t>
        </is>
      </c>
      <c r="D10" s="8" t="inlineStr">
        <is>
          <t>PM|repair</t>
        </is>
      </c>
      <c r="E10" s="12" t="inlineStr">
        <is>
          <t>Preventive and corrective tasks</t>
        </is>
      </c>
    </row>
    <row r="11" ht="24" customHeight="1">
      <c r="A11" s="5" t="n">
        <v>5</v>
      </c>
      <c r="B11" s="15" t="inlineStr">
        <is>
          <t>Incidents</t>
        </is>
      </c>
      <c r="C11" s="7" t="inlineStr">
        <is>
          <t>Fire incident register</t>
        </is>
      </c>
      <c r="D11" s="8" t="inlineStr">
        <is>
          <t>low|medium|high|critical</t>
        </is>
      </c>
      <c r="E11" s="9" t="inlineStr">
        <is>
          <t>All events with severity &amp; actions</t>
        </is>
      </c>
    </row>
    <row r="12" ht="24" customHeight="1">
      <c r="A12" s="5" t="n">
        <v>6</v>
      </c>
      <c r="B12" s="16" t="inlineStr">
        <is>
          <t>Response Team</t>
        </is>
      </c>
      <c r="C12" s="11" t="inlineStr">
        <is>
          <t>Emergency team roster</t>
        </is>
      </c>
      <c r="D12" s="8" t="inlineStr">
        <is>
          <t>warden|responder|first_aid|coordinator</t>
        </is>
      </c>
      <c r="E12" s="12" t="inlineStr">
        <is>
          <t>Contacts &amp; zones</t>
        </is>
      </c>
    </row>
    <row r="13" ht="24" customHeight="1">
      <c r="A13" s="5" t="n">
        <v>7</v>
      </c>
      <c r="B13" s="6" t="inlineStr">
        <is>
          <t>Drills</t>
        </is>
      </c>
      <c r="C13" s="7" t="inlineStr">
        <is>
          <t>Drill schedule &amp; scores</t>
        </is>
      </c>
      <c r="D13" s="8" t="inlineStr">
        <is>
          <t>evacuation|fire_response|first_aid</t>
        </is>
      </c>
      <c r="E13" s="9" t="inlineStr">
        <is>
          <t>Drill results</t>
        </is>
      </c>
    </row>
    <row r="15" ht="26" customHeight="1">
      <c r="A15" s="3" t="inlineStr">
        <is>
          <t>HOW TO USE</t>
        </is>
      </c>
    </row>
    <row r="16">
      <c r="A16" s="4" t="inlineStr"/>
      <c r="B16" s="4" t="inlineStr">
        <is>
          <t>Step</t>
        </is>
      </c>
      <c r="C16" s="4" t="inlineStr">
        <is>
          <t>Action</t>
        </is>
      </c>
      <c r="D16" s="4" t="inlineStr">
        <is>
          <t>Details</t>
        </is>
      </c>
    </row>
    <row r="17" ht="28" customHeight="1">
      <c r="B17" s="17" t="inlineStr">
        <is>
          <t>Step 1</t>
        </is>
      </c>
      <c r="C17" s="18" t="inlineStr">
        <is>
          <t>Fill data in the relevant sheet tab</t>
        </is>
      </c>
      <c r="D17" s="9" t="inlineStr">
        <is>
          <t>Yellow rows = input area.</t>
        </is>
      </c>
    </row>
    <row r="18" ht="28" customHeight="1">
      <c r="B18" s="17" t="inlineStr">
        <is>
          <t>Step 2</t>
        </is>
      </c>
      <c r="C18" s="19" t="inlineStr">
        <is>
          <t>Use dropdown values for marked columns</t>
        </is>
      </c>
      <c r="D18" s="12" t="inlineStr">
        <is>
          <t>Prevents import errors.</t>
        </is>
      </c>
    </row>
    <row r="19" ht="28" customHeight="1">
      <c r="B19" s="17" t="inlineStr">
        <is>
          <t>Step 3</t>
        </is>
      </c>
      <c r="C19" s="18" t="inlineStr">
        <is>
          <t>Date format: DD-MMM-YYYY</t>
        </is>
      </c>
      <c r="D19" s="9" t="inlineStr">
        <is>
          <t>Example: 15-Jan-2025</t>
        </is>
      </c>
    </row>
    <row r="20" ht="28" customHeight="1">
      <c r="B20" s="17" t="inlineStr">
        <is>
          <t>Step 4</t>
        </is>
      </c>
      <c r="C20" s="19" t="inlineStr">
        <is>
          <t>Save as .xlsx</t>
        </is>
      </c>
      <c r="D20" s="12" t="inlineStr">
        <is>
          <t>Keep all sheets intact.</t>
        </is>
      </c>
    </row>
    <row r="21" ht="28" customHeight="1">
      <c r="B21" s="17" t="inlineStr">
        <is>
          <t>Step 5</t>
        </is>
      </c>
      <c r="C21" s="18" t="inlineStr">
        <is>
          <t>Upload via OGM Fire → 📊 → Upload tab</t>
        </is>
      </c>
      <c r="D21" s="9" t="inlineStr">
        <is>
          <t>Select your file.</t>
        </is>
      </c>
    </row>
    <row r="22" ht="28" customHeight="1">
      <c r="B22" s="17" t="inlineStr">
        <is>
          <t>Step 6</t>
        </is>
      </c>
      <c r="C22" s="19" t="inlineStr">
        <is>
          <t>Export PDF for compliance</t>
        </is>
      </c>
      <c r="D22" s="12" t="inlineStr">
        <is>
          <t>Use Export PDF button.</t>
        </is>
      </c>
    </row>
  </sheetData>
  <mergeCells count="4">
    <mergeCell ref="A15:E15"/>
    <mergeCell ref="A5:E5"/>
    <mergeCell ref="A1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L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0" customWidth="1" min="4" max="4"/>
    <col width="14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  <col width="16" customWidth="1" min="11" max="11"/>
    <col width="28" customWidth="1" min="12" max="12"/>
  </cols>
  <sheetData>
    <row r="1" ht="38" customHeight="1">
      <c r="A1" s="20" t="inlineStr">
        <is>
          <t>🔥  ONE GOLDEN MILE — FIRE FIGHTING MODULE  |  EQUIPMENT REGISTER</t>
        </is>
      </c>
    </row>
    <row r="2" ht="18" customHeight="1">
      <c r="A2" s="21" t="inlineStr">
        <is>
          <t xml:space="preserve">  Extinguishers · Hydrants · Hose Reels · Sprinklers · Pumps · Panels   |   Generated: 23-Mar-2026   |   Property: One Golden Mile (OGM)</t>
        </is>
      </c>
    </row>
    <row r="3" ht="28" customHeight="1">
      <c r="A3" s="22" t="inlineStr">
        <is>
          <t>INSTRUCTIONS:  * Mandatory   |   Type: extinguisher|hydrant|hose_reel|sprinkler|pump|panel   |   Status: active|faulty|expired   |   Dates: DD-MMM-YYYY</t>
        </is>
      </c>
    </row>
    <row r="4" ht="32" customHeight="1">
      <c r="A4" s="23" t="inlineStr">
        <is>
          <t>Asset Code*</t>
        </is>
      </c>
      <c r="B4" s="23" t="inlineStr">
        <is>
          <t>Asset Type*</t>
        </is>
      </c>
      <c r="C4" s="23" t="inlineStr">
        <is>
          <t>Location / Floor*</t>
        </is>
      </c>
      <c r="D4" s="23" t="inlineStr">
        <is>
          <t>Zone ID*</t>
        </is>
      </c>
      <c r="E4" s="23" t="inlineStr">
        <is>
          <t>Capacity / Size</t>
        </is>
      </c>
      <c r="F4" s="23" t="inlineStr">
        <is>
          <t>Installation Date
(DD-MMM-YYYY)</t>
        </is>
      </c>
      <c r="G4" s="23" t="inlineStr">
        <is>
          <t>Last Inspection
(DD-MMM-YYYY)</t>
        </is>
      </c>
      <c r="H4" s="23" t="inlineStr">
        <is>
          <t>Next Due Date
(DD-MMM-YYYY)</t>
        </is>
      </c>
      <c r="I4" s="23" t="inlineStr">
        <is>
          <t>Status*</t>
        </is>
      </c>
      <c r="J4" s="23" t="inlineStr">
        <is>
          <t>Manufacturer</t>
        </is>
      </c>
      <c r="K4" s="23" t="inlineStr">
        <is>
          <t>Serial Number</t>
        </is>
      </c>
      <c r="L4" s="23" t="inlineStr">
        <is>
          <t>Remarks</t>
        </is>
      </c>
    </row>
    <row r="5">
      <c r="A5" s="24" t="inlineStr">
        <is>
          <t>OGM-EXT-B1-001</t>
        </is>
      </c>
      <c r="B5" s="24" t="inlineStr">
        <is>
          <t>extinguisher</t>
        </is>
      </c>
      <c r="C5" s="11" t="inlineStr">
        <is>
          <t>Basement Car Park</t>
        </is>
      </c>
      <c r="D5" s="24" t="inlineStr">
        <is>
          <t>B1</t>
        </is>
      </c>
      <c r="E5" s="11" t="inlineStr">
        <is>
          <t>9kg ABC</t>
        </is>
      </c>
      <c r="F5" s="11" t="inlineStr">
        <is>
          <t>15-Jan-2022</t>
        </is>
      </c>
      <c r="G5" s="11" t="inlineStr">
        <is>
          <t>10-Jan-2025</t>
        </is>
      </c>
      <c r="H5" s="11" t="inlineStr">
        <is>
          <t>10-Apr-2025</t>
        </is>
      </c>
      <c r="I5" s="24" t="inlineStr">
        <is>
          <t>active</t>
        </is>
      </c>
      <c r="J5" s="24" t="inlineStr">
        <is>
          <t>Ceasefire</t>
        </is>
      </c>
      <c r="K5" s="11" t="inlineStr">
        <is>
          <t>CF-OGM-001</t>
        </is>
      </c>
      <c r="L5" s="11" t="inlineStr">
        <is>
          <t>Near lift lobby</t>
        </is>
      </c>
    </row>
    <row r="6">
      <c r="A6" s="25" t="inlineStr">
        <is>
          <t>OGM-HYD-GF-001</t>
        </is>
      </c>
      <c r="B6" s="25" t="inlineStr">
        <is>
          <t>hydrant</t>
        </is>
      </c>
      <c r="C6" s="7" t="inlineStr">
        <is>
          <t>Ground Floor Lobby</t>
        </is>
      </c>
      <c r="D6" s="25" t="inlineStr">
        <is>
          <t>GF</t>
        </is>
      </c>
      <c r="E6" s="7" t="inlineStr">
        <is>
          <t>65mm</t>
        </is>
      </c>
      <c r="F6" s="7" t="inlineStr">
        <is>
          <t>01-Mar-2020</t>
        </is>
      </c>
      <c r="G6" s="7" t="inlineStr">
        <is>
          <t>05-Feb-2025</t>
        </is>
      </c>
      <c r="H6" s="7" t="inlineStr">
        <is>
          <t>05-May-2025</t>
        </is>
      </c>
      <c r="I6" s="25" t="inlineStr">
        <is>
          <t>active</t>
        </is>
      </c>
      <c r="J6" s="25" t="inlineStr">
        <is>
          <t>Agni</t>
        </is>
      </c>
      <c r="K6" s="7" t="inlineStr">
        <is>
          <t>AG-OGM-002</t>
        </is>
      </c>
      <c r="L6" s="7" t="inlineStr">
        <is>
          <t>Behind reception</t>
        </is>
      </c>
    </row>
    <row r="7">
      <c r="A7" s="24" t="inlineStr">
        <is>
          <t>OGM-SPR-L2-001</t>
        </is>
      </c>
      <c r="B7" s="24" t="inlineStr">
        <is>
          <t>sprinkler</t>
        </is>
      </c>
      <c r="C7" s="11" t="inlineStr">
        <is>
          <t>Level 2 Office</t>
        </is>
      </c>
      <c r="D7" s="24" t="inlineStr">
        <is>
          <t>L2</t>
        </is>
      </c>
      <c r="E7" s="11" t="inlineStr">
        <is>
          <t>K-factor 8.0</t>
        </is>
      </c>
      <c r="F7" s="11" t="inlineStr">
        <is>
          <t>12-Jun-2019</t>
        </is>
      </c>
      <c r="G7" s="11" t="inlineStr">
        <is>
          <t>20-Jan-2025</t>
        </is>
      </c>
      <c r="H7" s="11" t="inlineStr">
        <is>
          <t>20-Apr-2025</t>
        </is>
      </c>
      <c r="I7" s="24" t="inlineStr">
        <is>
          <t>active</t>
        </is>
      </c>
      <c r="J7" s="24" t="inlineStr">
        <is>
          <t>Viking</t>
        </is>
      </c>
      <c r="K7" s="11" t="inlineStr">
        <is>
          <t>VK-OGM-003</t>
        </is>
      </c>
      <c r="L7" s="11" t="inlineStr">
        <is>
          <t>Grid pattern</t>
        </is>
      </c>
    </row>
    <row r="8">
      <c r="A8" s="25" t="inlineStr">
        <is>
          <t>OGM-PMP-BR-001</t>
        </is>
      </c>
      <c r="B8" s="25" t="inlineStr">
        <is>
          <t>pump</t>
        </is>
      </c>
      <c r="C8" s="7" t="inlineStr">
        <is>
          <t>Pump Room Basement</t>
        </is>
      </c>
      <c r="D8" s="25" t="inlineStr">
        <is>
          <t>BR</t>
        </is>
      </c>
      <c r="E8" s="7" t="inlineStr">
        <is>
          <t>1500 LPM</t>
        </is>
      </c>
      <c r="F8" s="7" t="inlineStr">
        <is>
          <t>01-Jan-2018</t>
        </is>
      </c>
      <c r="G8" s="7" t="inlineStr">
        <is>
          <t>15-Mar-2025</t>
        </is>
      </c>
      <c r="H8" s="7" t="inlineStr">
        <is>
          <t>15-Jun-2025</t>
        </is>
      </c>
      <c r="I8" s="25" t="inlineStr">
        <is>
          <t>active</t>
        </is>
      </c>
      <c r="J8" s="25" t="inlineStr">
        <is>
          <t>Kirloskar</t>
        </is>
      </c>
      <c r="K8" s="7" t="inlineStr">
        <is>
          <t>KR-OGM-004</t>
        </is>
      </c>
      <c r="L8" s="7" t="inlineStr">
        <is>
          <t>Jockey pump</t>
        </is>
      </c>
    </row>
    <row r="9">
      <c r="A9" s="24" t="inlineStr">
        <is>
          <t>OGM-PNL-GF-001</t>
        </is>
      </c>
      <c r="B9" s="24" t="inlineStr">
        <is>
          <t>panel</t>
        </is>
      </c>
      <c r="C9" s="11" t="inlineStr">
        <is>
          <t>Security Room GF</t>
        </is>
      </c>
      <c r="D9" s="24" t="inlineStr">
        <is>
          <t>GF</t>
        </is>
      </c>
      <c r="E9" s="11" t="inlineStr">
        <is>
          <t>16 zones</t>
        </is>
      </c>
      <c r="F9" s="11" t="inlineStr">
        <is>
          <t>01-Feb-2019</t>
        </is>
      </c>
      <c r="G9" s="11" t="inlineStr">
        <is>
          <t>22-Feb-2025</t>
        </is>
      </c>
      <c r="H9" s="11" t="inlineStr">
        <is>
          <t>22-May-2025</t>
        </is>
      </c>
      <c r="I9" s="26" t="inlineStr">
        <is>
          <t>faulty</t>
        </is>
      </c>
      <c r="J9" s="24" t="inlineStr">
        <is>
          <t>Honeywell</t>
        </is>
      </c>
      <c r="K9" s="11" t="inlineStr">
        <is>
          <t>HW-OGM-005</t>
        </is>
      </c>
      <c r="L9" s="11" t="inlineStr">
        <is>
          <t>Zone 3 fault</t>
        </is>
      </c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2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27" t="inlineStr"/>
      <c r="B22" s="27" t="inlineStr"/>
      <c r="C22" s="27" t="inlineStr"/>
      <c r="D22" s="27" t="inlineStr"/>
      <c r="E22" s="27" t="inlineStr"/>
      <c r="F22" s="27" t="inlineStr"/>
      <c r="G22" s="27" t="inlineStr"/>
      <c r="H22" s="27" t="inlineStr"/>
      <c r="I22" s="27" t="inlineStr"/>
      <c r="J22" s="27" t="inlineStr"/>
      <c r="K22" s="27" t="inlineStr"/>
      <c r="L22" s="2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>
      <c r="A24" s="27" t="inlineStr"/>
      <c r="B24" s="27" t="inlineStr"/>
      <c r="C24" s="27" t="inlineStr"/>
      <c r="D24" s="27" t="inlineStr"/>
      <c r="E24" s="27" t="inlineStr"/>
      <c r="F24" s="27" t="inlineStr"/>
      <c r="G24" s="27" t="inlineStr"/>
      <c r="H24" s="27" t="inlineStr"/>
      <c r="I24" s="27" t="inlineStr"/>
      <c r="J24" s="27" t="inlineStr"/>
      <c r="K24" s="27" t="inlineStr"/>
      <c r="L24" s="27" t="inlineStr"/>
    </row>
    <row r="27" ht="24" customHeight="1">
      <c r="A27" s="28" t="inlineStr">
        <is>
          <t>SUMMARY</t>
        </is>
      </c>
      <c r="E27" s="29" t="inlineStr">
        <is>
          <t>Total</t>
        </is>
      </c>
      <c r="F27" s="30">
        <f>COUNTA(A5:A100)</f>
        <v/>
      </c>
      <c r="G27" s="31" t="inlineStr">
        <is>
          <t>Active</t>
        </is>
      </c>
      <c r="H27" s="32">
        <f>COUNTIF(I5:I100,"active")</f>
        <v/>
      </c>
      <c r="I27" s="33" t="inlineStr">
        <is>
          <t>Faulty</t>
        </is>
      </c>
      <c r="J27" s="34">
        <f>COUNTIF(I5:I100,"faulty")</f>
        <v/>
      </c>
      <c r="K27" s="35" t="inlineStr">
        <is>
          <t>Expired</t>
        </is>
      </c>
      <c r="L27" s="36">
        <f>COUNTIF(I5:I100,"expired")</f>
        <v/>
      </c>
    </row>
  </sheetData>
  <mergeCells count="4">
    <mergeCell ref="A3:L3"/>
    <mergeCell ref="A2:L2"/>
    <mergeCell ref="A27:D27"/>
    <mergeCell ref="A1:L1"/>
  </mergeCells>
  <dataValidations count="2">
    <dataValidation sqref="B5:B100" showDropDown="0" showInputMessage="1" showErrorMessage="1" allowBlank="1" type="list">
      <formula1>"extinguisher,hydrant,hose_reel,sprinkler,pump,panel"</formula1>
    </dataValidation>
    <dataValidation sqref="I5:I100" showDropDown="0" showInputMessage="1" showErrorMessage="1" allowBlank="1" type="list">
      <formula1>"active,faulty,expired"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8" customWidth="1" min="4" max="4"/>
    <col width="18" customWidth="1" min="5" max="5"/>
    <col width="14" customWidth="1" min="6" max="6"/>
    <col width="14" customWidth="1" min="7" max="7"/>
    <col width="18" customWidth="1" min="8" max="8"/>
    <col width="14" customWidth="1" min="9" max="9"/>
    <col width="18" customWidth="1" min="10" max="10"/>
    <col width="32" customWidth="1" min="11" max="11"/>
  </cols>
  <sheetData>
    <row r="1" ht="38" customHeight="1">
      <c r="A1" s="20" t="inlineStr">
        <is>
          <t>🔥  ONE GOLDEN MILE — FIRE FIGHTING MODULE  |  ALARM LOG</t>
        </is>
      </c>
    </row>
    <row r="2" ht="18" customHeight="1">
      <c r="A2" s="21" t="inlineStr">
        <is>
          <t xml:space="preserve">  Smoke · Heat · Manual Call Point alarm events   |   Generated: 23-Mar-2026   |   Property: One Golden Mile (OGM)</t>
        </is>
      </c>
    </row>
    <row r="3" ht="28" customHeight="1">
      <c r="A3" s="22" t="inlineStr">
        <is>
          <t>INSTRUCTIONS:  * Mandatory   |   Type: smoke|heat|manual   |   Status: active|acknowledged|resolved|false_alarm</t>
        </is>
      </c>
    </row>
    <row r="4" ht="32" customHeight="1">
      <c r="A4" s="37" t="inlineStr">
        <is>
          <t>Zone Name*</t>
        </is>
      </c>
      <c r="B4" s="37" t="inlineStr">
        <is>
          <t>Zone ID*</t>
        </is>
      </c>
      <c r="C4" s="37" t="inlineStr">
        <is>
          <t>Alarm Type*</t>
        </is>
      </c>
      <c r="D4" s="37" t="inlineStr">
        <is>
          <t>Source Device ID</t>
        </is>
      </c>
      <c r="E4" s="37" t="inlineStr">
        <is>
          <t>Triggered Date*
(DD-MMM-YYYY)</t>
        </is>
      </c>
      <c r="F4" s="37" t="inlineStr">
        <is>
          <t>Triggered Time*
(HH:MM)</t>
        </is>
      </c>
      <c r="G4" s="37" t="inlineStr">
        <is>
          <t>Status*</t>
        </is>
      </c>
      <c r="H4" s="37" t="inlineStr">
        <is>
          <t>Acknowledged By</t>
        </is>
      </c>
      <c r="I4" s="37" t="inlineStr">
        <is>
          <t>Ack Time
(HH:MM)</t>
        </is>
      </c>
      <c r="J4" s="37" t="inlineStr">
        <is>
          <t>Resolved Date
(DD-MMM-YYYY)</t>
        </is>
      </c>
      <c r="K4" s="37" t="inlineStr">
        <is>
          <t>Remarks / Root Cause</t>
        </is>
      </c>
    </row>
    <row r="5">
      <c r="A5" s="11" t="inlineStr">
        <is>
          <t>Level 2 East</t>
        </is>
      </c>
      <c r="B5" s="24" t="inlineStr">
        <is>
          <t>L2-E</t>
        </is>
      </c>
      <c r="C5" s="24" t="inlineStr">
        <is>
          <t>smoke</t>
        </is>
      </c>
      <c r="D5" s="11" t="inlineStr">
        <is>
          <t>SD-L2-007</t>
        </is>
      </c>
      <c r="E5" s="24" t="inlineStr">
        <is>
          <t>12-Mar-2025</t>
        </is>
      </c>
      <c r="F5" s="24" t="inlineStr">
        <is>
          <t>14:32</t>
        </is>
      </c>
      <c r="G5" s="24" t="inlineStr">
        <is>
          <t>resolved</t>
        </is>
      </c>
      <c r="H5" s="11" t="inlineStr">
        <is>
          <t>Rajan</t>
        </is>
      </c>
      <c r="I5" s="24" t="inlineStr">
        <is>
          <t>14:35</t>
        </is>
      </c>
      <c r="J5" s="24" t="inlineStr">
        <is>
          <t>12-Mar-2025</t>
        </is>
      </c>
      <c r="K5" s="11" t="inlineStr">
        <is>
          <t>Pantry smoke — false alarm</t>
        </is>
      </c>
    </row>
    <row r="6">
      <c r="A6" s="7" t="inlineStr">
        <is>
          <t>Car Park B1</t>
        </is>
      </c>
      <c r="B6" s="25" t="inlineStr">
        <is>
          <t>B1</t>
        </is>
      </c>
      <c r="C6" s="25" t="inlineStr">
        <is>
          <t>heat</t>
        </is>
      </c>
      <c r="D6" s="7" t="inlineStr">
        <is>
          <t>HD-B1-002</t>
        </is>
      </c>
      <c r="E6" s="25" t="inlineStr">
        <is>
          <t>18-Mar-2025</t>
        </is>
      </c>
      <c r="F6" s="25" t="inlineStr">
        <is>
          <t>09:15</t>
        </is>
      </c>
      <c r="G6" s="25" t="inlineStr">
        <is>
          <t>resolved</t>
        </is>
      </c>
      <c r="H6" s="7" t="inlineStr">
        <is>
          <t>Supervisor</t>
        </is>
      </c>
      <c r="I6" s="25" t="inlineStr">
        <is>
          <t>09:22</t>
        </is>
      </c>
      <c r="J6" s="25" t="inlineStr">
        <is>
          <t>18-Mar-2025</t>
        </is>
      </c>
      <c r="K6" s="7" t="inlineStr">
        <is>
          <t>Electrical short — contained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</sheetData>
  <mergeCells count="3">
    <mergeCell ref="A2:K2"/>
    <mergeCell ref="A1:K1"/>
    <mergeCell ref="A3:K3"/>
  </mergeCells>
  <dataValidations count="2">
    <dataValidation sqref="C5:C200" showDropDown="0" showInputMessage="1" showErrorMessage="1" allowBlank="1" type="list">
      <formula1>"smoke,heat,manual"</formula1>
    </dataValidation>
    <dataValidation sqref="G5:G200" showDropDown="0" showInputMessage="1" showErrorMessage="1" allowBlank="1" type="list">
      <formula1>"active,acknowledged,resolved,false_alarm"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32" customWidth="1" min="14" max="14"/>
  </cols>
  <sheetData>
    <row r="1" ht="38" customHeight="1">
      <c r="A1" s="20" t="inlineStr">
        <is>
          <t>🔥  ONE GOLDEN MILE — FIRE FIGHTING MODULE  |  INSPECTION REGISTER</t>
        </is>
      </c>
    </row>
    <row r="2" ht="18" customHeight="1">
      <c r="A2" s="21" t="inlineStr">
        <is>
          <t xml:space="preserve">  Daily · Weekly · Monthly · Annual checklist records   |   Generated: 23-Mar-2026   |   Property: One Golden Mile (OGM)</t>
        </is>
      </c>
    </row>
    <row r="3" ht="28" customHeight="1">
      <c r="A3" s="22" t="inlineStr">
        <is>
          <t>INSTRUCTIONS:  * Mandatory   |   Type: daily|weekly|monthly|annual   |   Checklist: PASS|FAIL|N/A   |   Status: ok|faulty</t>
        </is>
      </c>
    </row>
    <row r="4" ht="36" customHeight="1">
      <c r="A4" s="38" t="inlineStr">
        <is>
          <t>Inspection Date*
(DD-MMM-YYYY)</t>
        </is>
      </c>
      <c r="B4" s="38" t="inlineStr">
        <is>
          <t>Asset Code*</t>
        </is>
      </c>
      <c r="C4" s="38" t="inlineStr">
        <is>
          <t>Asset Type*</t>
        </is>
      </c>
      <c r="D4" s="38" t="inlineStr">
        <is>
          <t>Location*</t>
        </is>
      </c>
      <c r="E4" s="38" t="inlineStr">
        <is>
          <t>Inspection Type*</t>
        </is>
      </c>
      <c r="F4" s="38" t="inlineStr">
        <is>
          <t>Inspected By*</t>
        </is>
      </c>
      <c r="G4" s="38" t="inlineStr">
        <is>
          <t>Pressure OK?</t>
        </is>
      </c>
      <c r="H4" s="38" t="inlineStr">
        <is>
          <t>Seal / Valve OK?</t>
        </is>
      </c>
      <c r="I4" s="38" t="inlineStr">
        <is>
          <t>No Leakage?</t>
        </is>
      </c>
      <c r="J4" s="38" t="inlineStr">
        <is>
          <t>Accessible?</t>
        </is>
      </c>
      <c r="K4" s="38" t="inlineStr">
        <is>
          <t>Label Legible?</t>
        </is>
      </c>
      <c r="L4" s="38" t="inlineStr">
        <is>
          <t>Within Expiry?</t>
        </is>
      </c>
      <c r="M4" s="38" t="inlineStr">
        <is>
          <t>Overall Status*</t>
        </is>
      </c>
      <c r="N4" s="38" t="inlineStr">
        <is>
          <t>Remarks</t>
        </is>
      </c>
    </row>
    <row r="5">
      <c r="A5" s="24" t="inlineStr">
        <is>
          <t>22-Mar-2025</t>
        </is>
      </c>
      <c r="B5" s="24" t="inlineStr">
        <is>
          <t>OGM-EXT-B1-001</t>
        </is>
      </c>
      <c r="C5" s="24" t="inlineStr">
        <is>
          <t>extinguisher</t>
        </is>
      </c>
      <c r="D5" s="11" t="inlineStr">
        <is>
          <t>B1 Car Park</t>
        </is>
      </c>
      <c r="E5" s="24" t="inlineStr">
        <is>
          <t>daily</t>
        </is>
      </c>
      <c r="F5" s="11" t="inlineStr">
        <is>
          <t>Ravi</t>
        </is>
      </c>
      <c r="G5" s="39" t="inlineStr">
        <is>
          <t>PASS</t>
        </is>
      </c>
      <c r="H5" s="39" t="inlineStr">
        <is>
          <t>PASS</t>
        </is>
      </c>
      <c r="I5" s="39" t="inlineStr">
        <is>
          <t>PASS</t>
        </is>
      </c>
      <c r="J5" s="39" t="inlineStr">
        <is>
          <t>PASS</t>
        </is>
      </c>
      <c r="K5" s="39" t="inlineStr">
        <is>
          <t>PASS</t>
        </is>
      </c>
      <c r="L5" s="39" t="inlineStr">
        <is>
          <t>PASS</t>
        </is>
      </c>
      <c r="M5" s="24" t="inlineStr">
        <is>
          <t>ok</t>
        </is>
      </c>
      <c r="N5" s="11" t="inlineStr">
        <is>
          <t>All clear</t>
        </is>
      </c>
    </row>
    <row r="6">
      <c r="A6" s="25" t="inlineStr">
        <is>
          <t>22-Mar-2025</t>
        </is>
      </c>
      <c r="B6" s="25" t="inlineStr">
        <is>
          <t>OGM-PNL-GF-001</t>
        </is>
      </c>
      <c r="C6" s="25" t="inlineStr">
        <is>
          <t>panel</t>
        </is>
      </c>
      <c r="D6" s="7" t="inlineStr">
        <is>
          <t>Security Room</t>
        </is>
      </c>
      <c r="E6" s="25" t="inlineStr">
        <is>
          <t>monthly</t>
        </is>
      </c>
      <c r="F6" s="7" t="inlineStr">
        <is>
          <t>Supervisor</t>
        </is>
      </c>
      <c r="G6" s="25" t="inlineStr">
        <is>
          <t>N/A</t>
        </is>
      </c>
      <c r="H6" s="39" t="inlineStr">
        <is>
          <t>PASS</t>
        </is>
      </c>
      <c r="I6" s="25" t="inlineStr">
        <is>
          <t>N/A</t>
        </is>
      </c>
      <c r="J6" s="39" t="inlineStr">
        <is>
          <t>PASS</t>
        </is>
      </c>
      <c r="K6" s="39" t="inlineStr">
        <is>
          <t>PASS</t>
        </is>
      </c>
      <c r="L6" s="25" t="inlineStr">
        <is>
          <t>N/A</t>
        </is>
      </c>
      <c r="M6" s="26" t="inlineStr">
        <is>
          <t>faulty</t>
        </is>
      </c>
      <c r="N6" s="7" t="inlineStr">
        <is>
          <t>Zone 3 fault light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7" t="inlineStr"/>
      <c r="N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  <c r="M10" s="27" t="inlineStr"/>
      <c r="N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  <c r="M12" s="27" t="inlineStr"/>
      <c r="N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  <c r="N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  <c r="M16" s="27" t="inlineStr"/>
      <c r="N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27" t="inlineStr"/>
      <c r="M18" s="27" t="inlineStr"/>
      <c r="N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27" t="inlineStr"/>
      <c r="M20" s="27" t="inlineStr"/>
      <c r="N20" s="2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</sheetData>
  <mergeCells count="3">
    <mergeCell ref="A3:N3"/>
    <mergeCell ref="A2:N2"/>
    <mergeCell ref="A1:N1"/>
  </mergeCells>
  <dataValidations count="9">
    <dataValidation sqref="G5:G200" showDropDown="0" showInputMessage="1" showErrorMessage="1" allowBlank="1" type="list">
      <formula1>"PASS,FAIL,N/A"</formula1>
    </dataValidation>
    <dataValidation sqref="H5:H200" showDropDown="0" showInputMessage="1" showErrorMessage="1" allowBlank="1" type="list">
      <formula1>"PASS,FAIL,N/A"</formula1>
    </dataValidation>
    <dataValidation sqref="I5:I200" showDropDown="0" showInputMessage="1" showErrorMessage="1" allowBlank="1" type="list">
      <formula1>"PASS,FAIL,N/A"</formula1>
    </dataValidation>
    <dataValidation sqref="J5:J200" showDropDown="0" showInputMessage="1" showErrorMessage="1" allowBlank="1" type="list">
      <formula1>"PASS,FAIL,N/A"</formula1>
    </dataValidation>
    <dataValidation sqref="K5:K200" showDropDown="0" showInputMessage="1" showErrorMessage="1" allowBlank="1" type="list">
      <formula1>"PASS,FAIL,N/A"</formula1>
    </dataValidation>
    <dataValidation sqref="L5:L200" showDropDown="0" showInputMessage="1" showErrorMessage="1" allowBlank="1" type="list">
      <formula1>"PASS,FAIL,N/A"</formula1>
    </dataValidation>
    <dataValidation sqref="E5:E200" showDropDown="0" showInputMessage="1" showErrorMessage="1" allowBlank="1" type="list">
      <formula1>"daily,weekly,monthly,annual"</formula1>
    </dataValidation>
    <dataValidation sqref="M5:M200" showDropDown="0" showInputMessage="1" showErrorMessage="1" allowBlank="1" type="list">
      <formula1>"ok,faulty"</formula1>
    </dataValidation>
    <dataValidation sqref="C5:C200" showDropDown="0" showInputMessage="1" showErrorMessage="1" allowBlank="1" type="list">
      <formula1>"extinguisher,hydrant,hose_reel,sprinkler,pump,panel"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B6D4"/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0" customWidth="1" min="5" max="5"/>
    <col width="18" customWidth="1" min="6" max="6"/>
    <col width="18" customWidth="1" min="7" max="7"/>
    <col width="18" customWidth="1" min="8" max="8"/>
    <col width="14" customWidth="1" min="9" max="9"/>
    <col width="20" customWidth="1" min="10" max="10"/>
    <col width="12" customWidth="1" min="11" max="11"/>
    <col width="28" customWidth="1" min="12" max="12"/>
  </cols>
  <sheetData>
    <row r="1" ht="38" customHeight="1">
      <c r="A1" s="20" t="inlineStr">
        <is>
          <t>🔥  ONE GOLDEN MILE — FIRE FIGHTING MODULE  |  MAINTENANCE SCHEDULE</t>
        </is>
      </c>
    </row>
    <row r="2" ht="18" customHeight="1">
      <c r="A2" s="21" t="inlineStr">
        <is>
          <t xml:space="preserve">  Preventive Maintenance (PM) and corrective repair tasks   |   Generated: 23-Mar-2026   |   Property: One Golden Mile (OGM)</t>
        </is>
      </c>
    </row>
    <row r="3" ht="28" customHeight="1">
      <c r="A3" s="22" t="inlineStr">
        <is>
          <t>INSTRUCTIONS:  * Mandatory   |   Type: PM|repair   |   Status: Scheduled|In Progress|Completed|Overdue</t>
        </is>
      </c>
    </row>
    <row r="4" ht="36" customHeight="1">
      <c r="A4" s="40" t="inlineStr">
        <is>
          <t>Task Type*</t>
        </is>
      </c>
      <c r="B4" s="40" t="inlineStr">
        <is>
          <t>Asset Code*</t>
        </is>
      </c>
      <c r="C4" s="40" t="inlineStr">
        <is>
          <t>Asset Type</t>
        </is>
      </c>
      <c r="D4" s="40" t="inlineStr">
        <is>
          <t>Location</t>
        </is>
      </c>
      <c r="E4" s="40" t="inlineStr">
        <is>
          <t>Description*</t>
        </is>
      </c>
      <c r="F4" s="40" t="inlineStr">
        <is>
          <t>Scheduled Date*
(DD-MMM-YYYY)</t>
        </is>
      </c>
      <c r="G4" s="40" t="inlineStr">
        <is>
          <t>Completed Date
(DD-MMM-YYYY)</t>
        </is>
      </c>
      <c r="H4" s="40" t="inlineStr">
        <is>
          <t>Assigned To*</t>
        </is>
      </c>
      <c r="I4" s="40" t="inlineStr">
        <is>
          <t>Status*</t>
        </is>
      </c>
      <c r="J4" s="40" t="inlineStr">
        <is>
          <t>Vendor / Agency</t>
        </is>
      </c>
      <c r="K4" s="40" t="inlineStr">
        <is>
          <t>Cost (₹)</t>
        </is>
      </c>
      <c r="L4" s="40" t="inlineStr">
        <is>
          <t>Remarks</t>
        </is>
      </c>
    </row>
    <row r="5">
      <c r="A5" s="24" t="inlineStr">
        <is>
          <t>PM</t>
        </is>
      </c>
      <c r="B5" s="24" t="inlineStr">
        <is>
          <t>OGM-PMP-BR-001</t>
        </is>
      </c>
      <c r="C5" s="24" t="inlineStr">
        <is>
          <t>pump</t>
        </is>
      </c>
      <c r="D5" s="11" t="inlineStr">
        <is>
          <t>Pump Room</t>
        </is>
      </c>
      <c r="E5" s="11" t="inlineStr">
        <is>
          <t>Quarterly PM — lubrication</t>
        </is>
      </c>
      <c r="F5" s="24" t="inlineStr">
        <is>
          <t>30-Mar-2025</t>
        </is>
      </c>
      <c r="G5" s="24" t="inlineStr"/>
      <c r="H5" s="11" t="inlineStr">
        <is>
          <t>Kirloskar AMC</t>
        </is>
      </c>
      <c r="I5" s="24" t="inlineStr">
        <is>
          <t>Scheduled</t>
        </is>
      </c>
      <c r="J5" s="11" t="inlineStr">
        <is>
          <t>Kirloskar Brothers</t>
        </is>
      </c>
      <c r="K5" s="11" t="inlineStr"/>
      <c r="L5" s="11" t="inlineStr">
        <is>
          <t>6-month cycle</t>
        </is>
      </c>
    </row>
    <row r="6">
      <c r="A6" s="25" t="inlineStr">
        <is>
          <t>repair</t>
        </is>
      </c>
      <c r="B6" s="25" t="inlineStr">
        <is>
          <t>OGM-PNL-GF-001</t>
        </is>
      </c>
      <c r="C6" s="25" t="inlineStr">
        <is>
          <t>panel</t>
        </is>
      </c>
      <c r="D6" s="7" t="inlineStr">
        <is>
          <t>Security Room</t>
        </is>
      </c>
      <c r="E6" s="7" t="inlineStr">
        <is>
          <t>Replace Zone 3 module</t>
        </is>
      </c>
      <c r="F6" s="25" t="inlineStr">
        <is>
          <t>25-Mar-2025</t>
        </is>
      </c>
      <c r="G6" s="25" t="inlineStr">
        <is>
          <t>25-Mar-2025</t>
        </is>
      </c>
      <c r="H6" s="7" t="inlineStr">
        <is>
          <t>Honeywell Tech</t>
        </is>
      </c>
      <c r="I6" s="39" t="inlineStr">
        <is>
          <t>Completed</t>
        </is>
      </c>
      <c r="J6" s="7" t="inlineStr">
        <is>
          <t>Honeywell India</t>
        </is>
      </c>
      <c r="K6" s="7" t="inlineStr">
        <is>
          <t>4800</t>
        </is>
      </c>
      <c r="L6" s="7" t="inlineStr">
        <is>
          <t>Zone restored</t>
        </is>
      </c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2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5" ht="24" customHeight="1">
      <c r="A25" s="29" t="inlineStr">
        <is>
          <t>Total</t>
        </is>
      </c>
      <c r="B25" s="30">
        <f>COUNTA(B5:B100)</f>
        <v/>
      </c>
      <c r="C25" s="31" t="inlineStr">
        <is>
          <t>Done</t>
        </is>
      </c>
      <c r="D25" s="32">
        <f>COUNTIF(I5:I100,"Completed")</f>
        <v/>
      </c>
      <c r="E25" s="41" t="inlineStr">
        <is>
          <t>Scheduled</t>
        </is>
      </c>
      <c r="F25" s="42">
        <f>COUNTIF(I5:I100,"Scheduled")</f>
        <v/>
      </c>
      <c r="G25" s="33" t="inlineStr">
        <is>
          <t>Overdue</t>
        </is>
      </c>
      <c r="H25" s="34">
        <f>COUNTIF(I5:I100,"Overdue")</f>
        <v/>
      </c>
      <c r="I25" s="35" t="inlineStr">
        <is>
          <t>Cost ₹</t>
        </is>
      </c>
      <c r="J25" s="36">
        <f>SUM(K5:K100)</f>
        <v/>
      </c>
    </row>
  </sheetData>
  <mergeCells count="3">
    <mergeCell ref="A3:L3"/>
    <mergeCell ref="A2:L2"/>
    <mergeCell ref="A1:L1"/>
  </mergeCells>
  <dataValidations count="3">
    <dataValidation sqref="A5:A200" showDropDown="0" showInputMessage="1" showErrorMessage="1" allowBlank="1" type="list">
      <formula1>"PM,repair"</formula1>
    </dataValidation>
    <dataValidation sqref="C5:C200" showDropDown="0" showInputMessage="1" showErrorMessage="1" allowBlank="1" type="list">
      <formula1>"extinguisher,hydrant,hose_reel,sprinkler,pump,panel"</formula1>
    </dataValidation>
    <dataValidation sqref="I5:I200" showDropDown="0" showInputMessage="1" showErrorMessage="1" allowBlank="1" type="list">
      <formula1>"Scheduled,In Progress,Completed,Overdue"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7316"/>
    <outlinePr summaryBelow="1" summaryRight="1"/>
    <pageSetUpPr/>
  </sheetPr>
  <dimension ref="A1:M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35" customWidth="1" min="5" max="5"/>
    <col width="18" customWidth="1" min="6" max="6"/>
    <col width="14" customWidth="1" min="7" max="7"/>
    <col width="12" customWidth="1" min="8" max="8"/>
    <col width="35" customWidth="1" min="9" max="9"/>
    <col width="12" customWidth="1" min="10" max="10"/>
    <col width="18" customWidth="1" min="11" max="11"/>
    <col width="14" customWidth="1" min="12" max="12"/>
    <col width="28" customWidth="1" min="13" max="13"/>
  </cols>
  <sheetData>
    <row r="1" ht="38" customHeight="1">
      <c r="A1" s="20" t="inlineStr">
        <is>
          <t>🔥  ONE GOLDEN MILE — FIRE FIGHTING MODULE  |  INCIDENT REGISTER</t>
        </is>
      </c>
    </row>
    <row r="2" ht="18" customHeight="1">
      <c r="A2" s="21" t="inlineStr">
        <is>
          <t xml:space="preserve">  All fire events — near misses · activations · emergencies   |   Generated: 23-Mar-2026   |   Property: One Golden Mile (OGM)</t>
        </is>
      </c>
    </row>
    <row r="3" ht="28" customHeight="1">
      <c r="A3" s="22" t="inlineStr">
        <is>
          <t>INSTRUCTIONS:  * Mandatory   |   Severity: low|medium|high|critical   |   Status: Open|In Progress|Closed</t>
        </is>
      </c>
    </row>
    <row r="4" ht="36" customHeight="1">
      <c r="A4" s="43" t="inlineStr">
        <is>
          <t>Incident Date*
(DD-MMM-YYYY)</t>
        </is>
      </c>
      <c r="B4" s="43" t="inlineStr">
        <is>
          <t>Start Time*
(HH:MM)</t>
        </is>
      </c>
      <c r="C4" s="43" t="inlineStr">
        <is>
          <t>Zone Name*</t>
        </is>
      </c>
      <c r="D4" s="43" t="inlineStr">
        <is>
          <t>Severity*</t>
        </is>
      </c>
      <c r="E4" s="43" t="inlineStr">
        <is>
          <t>Description*</t>
        </is>
      </c>
      <c r="F4" s="43" t="inlineStr">
        <is>
          <t>Reported By*</t>
        </is>
      </c>
      <c r="G4" s="43" t="inlineStr">
        <is>
          <t>Alarm Triggered?</t>
        </is>
      </c>
      <c r="H4" s="43" t="inlineStr">
        <is>
          <t>Evacuation?</t>
        </is>
      </c>
      <c r="I4" s="43" t="inlineStr">
        <is>
          <t>Actions Taken</t>
        </is>
      </c>
      <c r="J4" s="43" t="inlineStr">
        <is>
          <t>End Time
(HH:MM)</t>
        </is>
      </c>
      <c r="K4" s="43" t="inlineStr">
        <is>
          <t>End Date
(DD-MMM-YYYY)</t>
        </is>
      </c>
      <c r="L4" s="43" t="inlineStr">
        <is>
          <t>Status*</t>
        </is>
      </c>
      <c r="M4" s="43" t="inlineStr">
        <is>
          <t>Remarks</t>
        </is>
      </c>
    </row>
    <row r="5">
      <c r="A5" s="44" t="inlineStr">
        <is>
          <t>12-Mar-2025</t>
        </is>
      </c>
      <c r="B5" s="44" t="inlineStr">
        <is>
          <t>14:32</t>
        </is>
      </c>
      <c r="C5" s="45" t="inlineStr">
        <is>
          <t>Level 2 East</t>
        </is>
      </c>
      <c r="D5" s="44" t="inlineStr">
        <is>
          <t>low</t>
        </is>
      </c>
      <c r="E5" s="46" t="inlineStr">
        <is>
          <t>Smoke detector — cooking fumes</t>
        </is>
      </c>
      <c r="F5" s="45" t="inlineStr">
        <is>
          <t>Supervisor</t>
        </is>
      </c>
      <c r="G5" s="44" t="inlineStr">
        <is>
          <t>YES</t>
        </is>
      </c>
      <c r="H5" s="44" t="inlineStr">
        <is>
          <t>NO</t>
        </is>
      </c>
      <c r="I5" s="46" t="inlineStr">
        <is>
          <t>Area inspected &amp; ventilated.</t>
        </is>
      </c>
      <c r="J5" s="44" t="inlineStr">
        <is>
          <t>14:50</t>
        </is>
      </c>
      <c r="K5" s="44" t="inlineStr">
        <is>
          <t>12-Mar-2025</t>
        </is>
      </c>
      <c r="L5" s="44" t="inlineStr">
        <is>
          <t>Closed</t>
        </is>
      </c>
      <c r="M5" s="46" t="inlineStr">
        <is>
          <t>False alarm</t>
        </is>
      </c>
    </row>
    <row r="6">
      <c r="A6" s="27" t="inlineStr"/>
      <c r="B6" s="27" t="inlineStr"/>
      <c r="C6" s="27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7" t="inlineStr"/>
      <c r="M6" s="2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  <c r="M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  <c r="M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  <c r="M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  <c r="L18" s="27" t="inlineStr"/>
      <c r="M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  <c r="L20" s="27" t="inlineStr"/>
      <c r="M20" s="27" t="inlineStr"/>
    </row>
  </sheetData>
  <mergeCells count="3">
    <mergeCell ref="A3:M3"/>
    <mergeCell ref="A2:M2"/>
    <mergeCell ref="A1:M1"/>
  </mergeCells>
  <dataValidations count="4">
    <dataValidation sqref="D5:D200" showDropDown="0" showInputMessage="1" showErrorMessage="1" allowBlank="1" type="list">
      <formula1>"low,medium,high,critical"</formula1>
    </dataValidation>
    <dataValidation sqref="G5:G200" showDropDown="0" showInputMessage="1" showErrorMessage="1" allowBlank="1" type="list">
      <formula1>"YES,NO"</formula1>
    </dataValidation>
    <dataValidation sqref="H5:H200" showDropDown="0" showInputMessage="1" showErrorMessage="1" allowBlank="1" type="list">
      <formula1>"YES,NO"</formula1>
    </dataValidation>
    <dataValidation sqref="L5:L200" showDropDown="0" showInputMessage="1" showErrorMessage="1" allowBlank="1" type="list">
      <formula1>"Open,In Progress,Closed"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78BFA"/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6" customWidth="1" min="5" max="5"/>
    <col width="26" customWidth="1" min="6" max="6"/>
    <col width="12" customWidth="1" min="7" max="7"/>
    <col width="10" customWidth="1" min="8" max="8"/>
    <col width="30" customWidth="1" min="9" max="9"/>
  </cols>
  <sheetData>
    <row r="1" ht="38" customHeight="1">
      <c r="A1" s="20" t="inlineStr">
        <is>
          <t>🔥  ONE GOLDEN MILE — FIRE FIGHTING MODULE  |  RESPONSE TEAM REGISTER</t>
        </is>
      </c>
    </row>
    <row r="2" ht="18" customHeight="1">
      <c r="A2" s="21" t="inlineStr">
        <is>
          <t xml:space="preserve">  Fire wardens · First responders · Emergency coordinators   |   Generated: 23-Mar-2026   |   Property: One Golden Mile (OGM)</t>
        </is>
      </c>
    </row>
    <row r="3" ht="28" customHeight="1">
      <c r="A3" s="22" t="inlineStr">
        <is>
          <t>INSTRUCTIONS:  * Mandatory   |   Role: warden|responder|first_aid|coordinator   |   Shift: Day|Night|General|Rotational</t>
        </is>
      </c>
    </row>
    <row r="4" ht="28" customHeight="1">
      <c r="A4" s="47" t="inlineStr">
        <is>
          <t>Full Name*</t>
        </is>
      </c>
      <c r="B4" s="47" t="inlineStr">
        <is>
          <t>Role*</t>
        </is>
      </c>
      <c r="C4" s="47" t="inlineStr">
        <is>
          <t>Assigned Zone*</t>
        </is>
      </c>
      <c r="D4" s="47" t="inlineStr">
        <is>
          <t>Contact Number*</t>
        </is>
      </c>
      <c r="E4" s="47" t="inlineStr">
        <is>
          <t>Alternate Contact</t>
        </is>
      </c>
      <c r="F4" s="47" t="inlineStr">
        <is>
          <t>Email ID</t>
        </is>
      </c>
      <c r="G4" s="47" t="inlineStr">
        <is>
          <t>Shift</t>
        </is>
      </c>
      <c r="H4" s="47" t="inlineStr">
        <is>
          <t>Active?</t>
        </is>
      </c>
      <c r="I4" s="47" t="inlineStr">
        <is>
          <t>Remarks</t>
        </is>
      </c>
    </row>
    <row r="5">
      <c r="A5" s="11" t="inlineStr">
        <is>
          <t>Suresh Reddy</t>
        </is>
      </c>
      <c r="B5" s="11" t="inlineStr">
        <is>
          <t>warden</t>
        </is>
      </c>
      <c r="C5" s="11" t="inlineStr">
        <is>
          <t>B1 Car Park</t>
        </is>
      </c>
      <c r="D5" s="11" t="inlineStr">
        <is>
          <t>9876700001</t>
        </is>
      </c>
      <c r="E5" s="11" t="inlineStr">
        <is>
          <t>9876700002</t>
        </is>
      </c>
      <c r="F5" s="11" t="inlineStr">
        <is>
          <t>suresh.r@ogm.com</t>
        </is>
      </c>
      <c r="G5" s="11" t="inlineStr">
        <is>
          <t>General</t>
        </is>
      </c>
      <c r="H5" s="48" t="inlineStr">
        <is>
          <t>YES</t>
        </is>
      </c>
      <c r="I5" s="11" t="inlineStr">
        <is>
          <t>Lead warden</t>
        </is>
      </c>
    </row>
    <row r="6">
      <c r="A6" s="7" t="inlineStr">
        <is>
          <t>Priya Nair</t>
        </is>
      </c>
      <c r="B6" s="7" t="inlineStr">
        <is>
          <t>first_aid</t>
        </is>
      </c>
      <c r="C6" s="7" t="inlineStr">
        <is>
          <t>Ground Floor</t>
        </is>
      </c>
      <c r="D6" s="7" t="inlineStr">
        <is>
          <t>9876700003</t>
        </is>
      </c>
      <c r="E6" s="7" t="inlineStr"/>
      <c r="F6" s="7" t="inlineStr">
        <is>
          <t>priya.n@ogm.com</t>
        </is>
      </c>
      <c r="G6" s="7" t="inlineStr">
        <is>
          <t>Day</t>
        </is>
      </c>
      <c r="H6" s="48" t="inlineStr">
        <is>
          <t>YES</t>
        </is>
      </c>
      <c r="I6" s="7" t="inlineStr">
        <is>
          <t>BLS certified</t>
        </is>
      </c>
    </row>
    <row r="7">
      <c r="A7" s="11" t="inlineStr">
        <is>
          <t>Ajay Kumar</t>
        </is>
      </c>
      <c r="B7" s="11" t="inlineStr">
        <is>
          <t>responder</t>
        </is>
      </c>
      <c r="C7" s="11" t="inlineStr">
        <is>
          <t>Level 1</t>
        </is>
      </c>
      <c r="D7" s="11" t="inlineStr">
        <is>
          <t>9876700004</t>
        </is>
      </c>
      <c r="E7" s="11" t="inlineStr">
        <is>
          <t>9876700005</t>
        </is>
      </c>
      <c r="F7" s="11" t="inlineStr">
        <is>
          <t>ajay.k@ogm.com</t>
        </is>
      </c>
      <c r="G7" s="11" t="inlineStr">
        <is>
          <t>Night</t>
        </is>
      </c>
      <c r="H7" s="48" t="inlineStr">
        <is>
          <t>YES</t>
        </is>
      </c>
      <c r="I7" s="11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>
      <c r="A22" s="27" t="inlineStr"/>
      <c r="B22" s="27" t="inlineStr"/>
      <c r="C22" s="27" t="inlineStr"/>
      <c r="D22" s="27" t="inlineStr"/>
      <c r="E22" s="27" t="inlineStr"/>
      <c r="F22" s="27" t="inlineStr"/>
      <c r="G22" s="27" t="inlineStr"/>
      <c r="H22" s="27" t="inlineStr"/>
      <c r="I22" s="27" t="inlineStr"/>
    </row>
  </sheetData>
  <mergeCells count="3">
    <mergeCell ref="A1:I1"/>
    <mergeCell ref="A3:I3"/>
    <mergeCell ref="A2:I2"/>
  </mergeCells>
  <dataValidations count="3">
    <dataValidation sqref="B5:B200" showDropDown="0" showInputMessage="1" showErrorMessage="1" allowBlank="1" type="list">
      <formula1>"warden,responder,first_aid,coordinator"</formula1>
    </dataValidation>
    <dataValidation sqref="G5:G200" showDropDown="0" showInputMessage="1" showErrorMessage="1" allowBlank="1" type="list">
      <formula1>"Day,Night,General,Rotational"</formula1>
    </dataValidation>
    <dataValidation sqref="H5:H200" showDropDown="0" showInputMessage="1" showErrorMessage="1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9488"/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4" customWidth="1" min="5" max="5"/>
    <col width="16" customWidth="1" min="6" max="6"/>
    <col width="12" customWidth="1" min="7" max="7"/>
    <col width="14" customWidth="1" min="8" max="8"/>
    <col width="35" customWidth="1" min="9" max="9"/>
    <col width="35" customWidth="1" min="10" max="10"/>
    <col width="28" customWidth="1" min="11" max="11"/>
  </cols>
  <sheetData>
    <row r="1" ht="38" customHeight="1">
      <c r="A1" s="20" t="inlineStr">
        <is>
          <t>🔥  ONE GOLDEN MILE — FIRE FIGHTING MODULE  |  DRILL &amp; TRAINING LOG</t>
        </is>
      </c>
    </row>
    <row r="2" ht="18" customHeight="1">
      <c r="A2" s="21" t="inlineStr">
        <is>
          <t xml:space="preserve">  Evacuation drills · Fire response · First aid training   |   Generated: 23-Mar-2026   |   Property: One Golden Mile (OGM)</t>
        </is>
      </c>
    </row>
    <row r="3" ht="28" customHeight="1">
      <c r="A3" s="22" t="inlineStr">
        <is>
          <t>INSTRUCTIONS:  * Mandatory   |   Type: evacuation|fire_response|first_aid   |   Status: Scheduled|Completed|Cancelled   |   Score: ≥80=Good</t>
        </is>
      </c>
    </row>
    <row r="4" ht="36" customHeight="1">
      <c r="A4" s="23" t="inlineStr">
        <is>
          <t>Drill Date*
(DD-MMM-YYYY)</t>
        </is>
      </c>
      <c r="B4" s="23" t="inlineStr">
        <is>
          <t>Drill Type*</t>
        </is>
      </c>
      <c r="C4" s="23" t="inlineStr">
        <is>
          <t>Conducted By*</t>
        </is>
      </c>
      <c r="D4" s="23" t="inlineStr">
        <is>
          <t>Participants
(Count)</t>
        </is>
      </c>
      <c r="E4" s="23" t="inlineStr">
        <is>
          <t>Duration
(minutes)</t>
        </is>
      </c>
      <c r="F4" s="23" t="inlineStr">
        <is>
          <t>Evacuation Time
(minutes)</t>
        </is>
      </c>
      <c r="G4" s="23" t="inlineStr">
        <is>
          <t>Score
(0-100)</t>
        </is>
      </c>
      <c r="H4" s="23" t="inlineStr">
        <is>
          <t>Status*</t>
        </is>
      </c>
      <c r="I4" s="23" t="inlineStr">
        <is>
          <t>Observations / Gaps</t>
        </is>
      </c>
      <c r="J4" s="23" t="inlineStr">
        <is>
          <t>Corrective Actions</t>
        </is>
      </c>
      <c r="K4" s="23" t="inlineStr">
        <is>
          <t>Remarks</t>
        </is>
      </c>
    </row>
    <row r="5">
      <c r="A5" s="25" t="inlineStr">
        <is>
          <t>15-Jan-2025</t>
        </is>
      </c>
      <c r="B5" s="7" t="inlineStr">
        <is>
          <t>evacuation</t>
        </is>
      </c>
      <c r="C5" s="7" t="inlineStr">
        <is>
          <t>Safety Officer</t>
        </is>
      </c>
      <c r="D5" s="25" t="n">
        <v>120</v>
      </c>
      <c r="E5" s="25" t="n">
        <v>28</v>
      </c>
      <c r="F5" s="25" t="n">
        <v>4</v>
      </c>
      <c r="G5" s="39" t="n">
        <v>84</v>
      </c>
      <c r="H5" s="25" t="inlineStr">
        <is>
          <t>Completed</t>
        </is>
      </c>
      <c r="I5" s="9" t="inlineStr">
        <is>
          <t>All floors evacuated</t>
        </is>
      </c>
      <c r="J5" s="9" t="inlineStr">
        <is>
          <t>Improve stairwell C signage</t>
        </is>
      </c>
      <c r="K5" s="9" t="inlineStr">
        <is>
          <t>Good performance</t>
        </is>
      </c>
    </row>
    <row r="6">
      <c r="A6" s="27" t="inlineStr"/>
      <c r="B6" s="27" t="inlineStr"/>
      <c r="C6" s="27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</row>
    <row r="8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  <c r="K18" s="2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  <c r="K20" s="27" t="inlineStr"/>
    </row>
  </sheetData>
  <mergeCells count="3">
    <mergeCell ref="A2:K2"/>
    <mergeCell ref="A1:K1"/>
    <mergeCell ref="A3:K3"/>
  </mergeCells>
  <dataValidations count="2">
    <dataValidation sqref="B5:B200" showDropDown="0" showInputMessage="1" showErrorMessage="1" allowBlank="1" type="list">
      <formula1>"evacuation,fire_response,first_aid"</formula1>
    </dataValidation>
    <dataValidation sqref="H5:H200" showDropDown="0" showInputMessage="1" showErrorMessage="1" allowBlank="1" type="list">
      <formula1>"Scheduled,Completed,Cancelled"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2026-03-23T08:15:10Z</dcterms:created>
  <dcterms:modified xmlns:dcterms="http://purl.org/dc/terms/" xmlns:xsi="http://www.w3.org/2001/XMLSchema-instance" xsi:type="dcterms:W3CDTF">2026-03-23T08:15:10Z</dcterms:modified>
</cp:coreProperties>
</file>