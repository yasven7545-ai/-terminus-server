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D7B9A3E5-6D88-4C5D-9B59-DAD754F4CA27}" xr6:coauthVersionLast="47" xr6:coauthVersionMax="47" xr10:uidLastSave="{00000000-0000-0000-0000-000000000000}"/>
  <bookViews>
    <workbookView xWindow="-120" yWindow="-120" windowWidth="29040" windowHeight="15840" tabRatio="811" activeTab="2" xr2:uid="{00000000-000D-0000-FFFF-FFFF00000000}"/>
  </bookViews>
  <sheets>
    <sheet name="Consolidated" sheetId="1" r:id="rId1"/>
    <sheet name="Area Deatils" sheetId="2" r:id="rId2"/>
    <sheet name="Emerzhent Manpower" sheetId="3" r:id="rId3"/>
    <sheet name="Manpower - Technical" sheetId="4" r:id="rId4"/>
    <sheet name="AMC Charges" sheetId="5" r:id="rId5"/>
    <sheet name="HK Manpower" sheetId="6" r:id="rId6"/>
    <sheet name="Consumables" sheetId="7" r:id="rId7"/>
    <sheet name="LP Manpower" sheetId="8" r:id="rId8"/>
    <sheet name="Liosaning &amp; Licenses" sheetId="9" r:id="rId9"/>
  </sheets>
  <definedNames>
    <definedName name="_xlnm._FilterDatabase" localSheetId="4" hidden="1">'AMC Charges'!$A$1:$F$23</definedName>
    <definedName name="_xlnm.Print_Area" localSheetId="0">Consolidated!$A$6:$C$18</definedName>
    <definedName name="_xlnm.Print_Area" localSheetId="3">'Manpower - Technical'!$A$1:$K$16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C7" i="1" s="1"/>
  <c r="G10" i="6"/>
  <c r="F11" i="6"/>
  <c r="E11" i="6"/>
  <c r="D11" i="6"/>
  <c r="C11" i="6"/>
  <c r="E3" i="5"/>
  <c r="D3" i="5" s="1"/>
  <c r="E2" i="5"/>
  <c r="G16" i="4"/>
  <c r="F16" i="4"/>
  <c r="E16" i="4"/>
  <c r="D16" i="4"/>
  <c r="C16" i="4"/>
  <c r="C12" i="3"/>
  <c r="C14" i="3" s="1"/>
  <c r="E20" i="2"/>
  <c r="C12" i="9"/>
  <c r="C14" i="1" s="1"/>
  <c r="C9" i="9"/>
  <c r="D15" i="8"/>
  <c r="C15" i="8"/>
  <c r="G14" i="8"/>
  <c r="E14" i="8"/>
  <c r="E13" i="8"/>
  <c r="G13" i="8" s="1"/>
  <c r="E12" i="8"/>
  <c r="G12" i="8" s="1"/>
  <c r="E11" i="8"/>
  <c r="G11" i="8" s="1"/>
  <c r="G10" i="8"/>
  <c r="E9" i="8"/>
  <c r="G9" i="8" s="1"/>
  <c r="E8" i="8"/>
  <c r="G8" i="8" s="1"/>
  <c r="E7" i="8"/>
  <c r="G7" i="8" s="1"/>
  <c r="E6" i="8"/>
  <c r="G6" i="8" s="1"/>
  <c r="E5" i="8"/>
  <c r="G5" i="8" s="1"/>
  <c r="E4" i="8"/>
  <c r="G4" i="8" s="1"/>
  <c r="G3" i="8"/>
  <c r="I10" i="6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G2" i="6"/>
  <c r="I2" i="6" s="1"/>
  <c r="E22" i="5"/>
  <c r="E21" i="5"/>
  <c r="D21" i="5" s="1"/>
  <c r="D20" i="5"/>
  <c r="E20" i="5" s="1"/>
  <c r="D19" i="5"/>
  <c r="E18" i="5"/>
  <c r="D18" i="5" s="1"/>
  <c r="E17" i="5"/>
  <c r="E16" i="5"/>
  <c r="D15" i="5"/>
  <c r="D14" i="5"/>
  <c r="E13" i="5"/>
  <c r="E12" i="5"/>
  <c r="E11" i="5"/>
  <c r="E10" i="5"/>
  <c r="D10" i="5" s="1"/>
  <c r="E9" i="5"/>
  <c r="E8" i="5"/>
  <c r="E7" i="5"/>
  <c r="E6" i="5"/>
  <c r="D6" i="5" s="1"/>
  <c r="E5" i="5"/>
  <c r="E4" i="5"/>
  <c r="D4" i="5"/>
  <c r="J15" i="4"/>
  <c r="H14" i="4"/>
  <c r="J14" i="4" s="1"/>
  <c r="H13" i="4"/>
  <c r="J13" i="4" s="1"/>
  <c r="J11" i="4"/>
  <c r="J10" i="4"/>
  <c r="J9" i="4"/>
  <c r="J8" i="4"/>
  <c r="H6" i="4"/>
  <c r="J6" i="4" s="1"/>
  <c r="H5" i="4"/>
  <c r="J5" i="4" s="1"/>
  <c r="H4" i="4"/>
  <c r="J4" i="4" s="1"/>
  <c r="H3" i="4"/>
  <c r="J3" i="4" s="1"/>
  <c r="D12" i="3"/>
  <c r="C5" i="3"/>
  <c r="C12" i="1"/>
  <c r="C11" i="1"/>
  <c r="D3" i="1"/>
  <c r="D13" i="1" s="1"/>
  <c r="G15" i="8" l="1"/>
  <c r="C9" i="1" s="1"/>
  <c r="D9" i="1" s="1"/>
  <c r="G11" i="6"/>
  <c r="D23" i="5"/>
  <c r="E23" i="5"/>
  <c r="H16" i="4"/>
  <c r="C6" i="1"/>
  <c r="D17" i="1"/>
  <c r="D12" i="1"/>
  <c r="D14" i="1"/>
  <c r="D7" i="1"/>
  <c r="I11" i="6"/>
  <c r="C8" i="1" s="1"/>
  <c r="D8" i="1" s="1"/>
  <c r="D11" i="1"/>
  <c r="E15" i="8"/>
  <c r="D6" i="1" l="1"/>
  <c r="C10" i="1"/>
  <c r="C15" i="1" l="1"/>
  <c r="C16" i="1" s="1"/>
  <c r="D10" i="1"/>
  <c r="D4" i="1" s="1"/>
  <c r="C18" i="1" l="1"/>
  <c r="D16" i="1"/>
</calcChain>
</file>

<file path=xl/sharedStrings.xml><?xml version="1.0" encoding="utf-8"?>
<sst xmlns="http://schemas.openxmlformats.org/spreadsheetml/2006/main" count="263" uniqueCount="203">
  <si>
    <t xml:space="preserve">CAM CHARGES CALCULATION SUMMARY  - OGM </t>
  </si>
  <si>
    <t xml:space="preserve">Total Building Saleable area </t>
  </si>
  <si>
    <t>Area sft</t>
  </si>
  <si>
    <t>CAM Charges INR/ Per sq ft / Month</t>
  </si>
  <si>
    <t>Per sq. ft cost</t>
  </si>
  <si>
    <t>Sl no</t>
  </si>
  <si>
    <t>Description</t>
  </si>
  <si>
    <t xml:space="preserve">Per month </t>
  </si>
  <si>
    <t>Per sft</t>
  </si>
  <si>
    <t xml:space="preserve">Management staff </t>
  </si>
  <si>
    <t>Technical manpower</t>
  </si>
  <si>
    <t>HK Manpower</t>
  </si>
  <si>
    <t xml:space="preserve">LP Manpower -Security Services </t>
  </si>
  <si>
    <t>AMC</t>
  </si>
  <si>
    <t>Consumables</t>
  </si>
  <si>
    <t>Common area Electrical Charges</t>
  </si>
  <si>
    <t>Common area Water charges</t>
  </si>
  <si>
    <t>Liosaning &amp; Licenses</t>
  </si>
  <si>
    <t>A</t>
  </si>
  <si>
    <t>Total CAM budget</t>
  </si>
  <si>
    <t>Contingency, Sinking Fund @2%</t>
  </si>
  <si>
    <t>Fixed Management Fees for Property Management Agency</t>
  </si>
  <si>
    <t>B</t>
  </si>
  <si>
    <t>Including Contingency &amp; Sinking fund Per Sft CAM Charges</t>
  </si>
  <si>
    <t>Note:</t>
  </si>
  <si>
    <t>Contingency,Sinking fund would be retained in the association account in FD</t>
  </si>
  <si>
    <t>Common area water charges may vary depends up on CAM agrement with client &amp; After HMWSSB Connection. Considered tanker price and per day consumption would be - 100 KL</t>
  </si>
  <si>
    <t>Above HK manpower was considered 100% Occupancy</t>
  </si>
  <si>
    <t xml:space="preserve">Common area Electrical charges will vary as per site condition </t>
  </si>
  <si>
    <t>Floor</t>
  </si>
  <si>
    <t>Leaseble Area In sft</t>
  </si>
  <si>
    <t>Ground Floor</t>
  </si>
  <si>
    <t>First floor</t>
  </si>
  <si>
    <t>2nd Floor</t>
  </si>
  <si>
    <t>3rd Floor</t>
  </si>
  <si>
    <t>4th Floor</t>
  </si>
  <si>
    <t>5th Floor</t>
  </si>
  <si>
    <t>6th Floor</t>
  </si>
  <si>
    <t>7th Floor</t>
  </si>
  <si>
    <t>8th Floor</t>
  </si>
  <si>
    <t>9th Floor</t>
  </si>
  <si>
    <t>10th Floor</t>
  </si>
  <si>
    <t>11th Floor</t>
  </si>
  <si>
    <t>12th Floor</t>
  </si>
  <si>
    <t>13th Floor</t>
  </si>
  <si>
    <t>14th Floor</t>
  </si>
  <si>
    <t xml:space="preserve">MANAGMENT STAFF DEPLOYMENT PLAN </t>
  </si>
  <si>
    <t>Designation</t>
  </si>
  <si>
    <t>Total Budgeted</t>
  </si>
  <si>
    <t>Property manager</t>
  </si>
  <si>
    <t xml:space="preserve">Facility Executive </t>
  </si>
  <si>
    <t xml:space="preserve">HK Executive </t>
  </si>
  <si>
    <t>Fire &amp; Saftey executive</t>
  </si>
  <si>
    <t>Asst Finance Manager</t>
  </si>
  <si>
    <t>Security  Manager</t>
  </si>
  <si>
    <t xml:space="preserve">FOE - Front office executive </t>
  </si>
  <si>
    <t>Employee Insurance</t>
  </si>
  <si>
    <t>LS</t>
  </si>
  <si>
    <t>HR Benifits (Bonus)</t>
  </si>
  <si>
    <t>Employee welfare</t>
  </si>
  <si>
    <t>Total Emerzhent</t>
  </si>
  <si>
    <t>A-Shift</t>
  </si>
  <si>
    <t>B-Shift</t>
  </si>
  <si>
    <t>C- Shift</t>
  </si>
  <si>
    <t>Reiliver</t>
  </si>
  <si>
    <t>G- Shift</t>
  </si>
  <si>
    <t>Total</t>
  </si>
  <si>
    <t xml:space="preserve">Costing </t>
  </si>
  <si>
    <t>Total Costing</t>
  </si>
  <si>
    <t xml:space="preserve">Job Description </t>
  </si>
  <si>
    <t>Operation</t>
  </si>
  <si>
    <t>Responsible for overall facility and PM</t>
  </si>
  <si>
    <t>Shift Supervisor</t>
  </si>
  <si>
    <t>Responsible for overall facility and PM, and operations</t>
  </si>
  <si>
    <t xml:space="preserve">MST </t>
  </si>
  <si>
    <t>Take care of the general complaints &amp; Take care of LT room,Transformer room &amp; DG Room.Should be placed in plant room.</t>
  </si>
  <si>
    <t>Plumber</t>
  </si>
  <si>
    <t>Taking care of WTP,Water system &amp; Fire fightting system and plumbing system.</t>
  </si>
  <si>
    <t>BMS</t>
  </si>
  <si>
    <t>BMS Operations</t>
  </si>
  <si>
    <t>Preventive maintainence</t>
  </si>
  <si>
    <t>PM for total building Equipments</t>
  </si>
  <si>
    <t>HVAC Technician</t>
  </si>
  <si>
    <t>Electrician</t>
  </si>
  <si>
    <t>Technical Helper</t>
  </si>
  <si>
    <t>Trainees</t>
  </si>
  <si>
    <t xml:space="preserve">Product up keep </t>
  </si>
  <si>
    <t>Carpenter</t>
  </si>
  <si>
    <t xml:space="preserve">Painter </t>
  </si>
  <si>
    <t>Masion</t>
  </si>
  <si>
    <t xml:space="preserve">Grand Total </t>
  </si>
  <si>
    <t>Qty</t>
  </si>
  <si>
    <t>Cost per month</t>
  </si>
  <si>
    <t>Cost per annum</t>
  </si>
  <si>
    <t xml:space="preserve">Remarks </t>
  </si>
  <si>
    <t xml:space="preserve">STP </t>
  </si>
  <si>
    <t xml:space="preserve">Operational Expenses </t>
  </si>
  <si>
    <t>Elevators</t>
  </si>
  <si>
    <t>DLP</t>
  </si>
  <si>
    <t>Escalators</t>
  </si>
  <si>
    <t>Façade cleaning</t>
  </si>
  <si>
    <t xml:space="preserve">Chillers </t>
  </si>
  <si>
    <t>Secondary system VFD</t>
  </si>
  <si>
    <t>Water test reports</t>
  </si>
  <si>
    <t>PCB Test reports</t>
  </si>
  <si>
    <t>Generator B-check</t>
  </si>
  <si>
    <t>Generator AMC</t>
  </si>
  <si>
    <t>Gardening</t>
  </si>
  <si>
    <t xml:space="preserve">FA System </t>
  </si>
  <si>
    <t xml:space="preserve">Water tanks &amp; Sumps cleaning </t>
  </si>
  <si>
    <t>UPS</t>
  </si>
  <si>
    <t>Pest control</t>
  </si>
  <si>
    <t>eFacility - MMS,Help desk</t>
  </si>
  <si>
    <t>Transformers &amp; Breaker testing</t>
  </si>
  <si>
    <t>Valets for stack parking</t>
  </si>
  <si>
    <t xml:space="preserve">Stack Parking </t>
  </si>
  <si>
    <t>Security Equipments (Boom barrier,DFMD)</t>
  </si>
  <si>
    <t>C-shift</t>
  </si>
  <si>
    <t>G-Shift</t>
  </si>
  <si>
    <t>Cost per person</t>
  </si>
  <si>
    <t>Supervisors</t>
  </si>
  <si>
    <t>HK- Boy/ Maid ( Stair cases )</t>
  </si>
  <si>
    <t>HK- Boy/ Maid All basements</t>
  </si>
  <si>
    <t>HK- Boy/ Maid Ground Floor</t>
  </si>
  <si>
    <t>HK- Boy/ Maid First Floor</t>
  </si>
  <si>
    <t>HK- Boy/ Maid 7th floor to 14 th floor</t>
  </si>
  <si>
    <t>HK- Boy/ Maid Roof top</t>
  </si>
  <si>
    <t>HK- Boy/ Maid Office boy</t>
  </si>
  <si>
    <t>HK- Boy/ Maid Gardner</t>
  </si>
  <si>
    <t>Electrical &amp; Mechanical</t>
  </si>
  <si>
    <t>Light &amp; Bulbs</t>
  </si>
  <si>
    <t>Cables,Wires</t>
  </si>
  <si>
    <t>MCB's,Contactors</t>
  </si>
  <si>
    <t>Breaker spare parts</t>
  </si>
  <si>
    <t>Switches,sockets,modular boxes,insulation tapes</t>
  </si>
  <si>
    <t>Pumps Re-winding,Repairing</t>
  </si>
  <si>
    <t>Air con-ditioning insulation</t>
  </si>
  <si>
    <t>battery's</t>
  </si>
  <si>
    <t>Plumbing and Hardware spares</t>
  </si>
  <si>
    <t>CP &amp; Sanitery spare parts</t>
  </si>
  <si>
    <t>PVC,CPVC parts</t>
  </si>
  <si>
    <t>Solvents,dipseal,teflon tape,GI Dummys</t>
  </si>
  <si>
    <t>GI Fittings</t>
  </si>
  <si>
    <t>Butterfly valves,flanges,Nut &amp;Bolts</t>
  </si>
  <si>
    <t>Salt for regeneration (WTP)</t>
  </si>
  <si>
    <t>Fire &amp; Saftey Material</t>
  </si>
  <si>
    <t>Detectors</t>
  </si>
  <si>
    <t>fire extinguishers refilling</t>
  </si>
  <si>
    <t>CCTV and PA System</t>
  </si>
  <si>
    <t>Carpentery Material</t>
  </si>
  <si>
    <t>Screws</t>
  </si>
  <si>
    <t>Wood material</t>
  </si>
  <si>
    <t>Hinges,Door closers,Door handels,Push bars etc...</t>
  </si>
  <si>
    <t>Civil &amp; Masonary</t>
  </si>
  <si>
    <t>Sand,Cement etc...</t>
  </si>
  <si>
    <t>General Building</t>
  </si>
  <si>
    <t>Facade glass</t>
  </si>
  <si>
    <t>Facade Tiles</t>
  </si>
  <si>
    <t>Marble,granite and tile work</t>
  </si>
  <si>
    <t>House Keeping Equipments</t>
  </si>
  <si>
    <t>Paint material</t>
  </si>
  <si>
    <t>Printing &amp; Stationery</t>
  </si>
  <si>
    <t>Security</t>
  </si>
  <si>
    <t>House Keeping</t>
  </si>
  <si>
    <t>HK Chemicals costing</t>
  </si>
  <si>
    <t>House keeping general Items</t>
  </si>
  <si>
    <t>SECURITY MANPOWER REQUIREMENT</t>
  </si>
  <si>
    <t>S no</t>
  </si>
  <si>
    <t>Location</t>
  </si>
  <si>
    <t>A-shift</t>
  </si>
  <si>
    <t>SO</t>
  </si>
  <si>
    <t>Supervisor</t>
  </si>
  <si>
    <t>SG-Basement -4</t>
  </si>
  <si>
    <t>SG-Basement - 3</t>
  </si>
  <si>
    <t>SG_Basement - 2</t>
  </si>
  <si>
    <t>SG_Basement - 1</t>
  </si>
  <si>
    <t>SG-Relieving</t>
  </si>
  <si>
    <t>SG_ Lobby &amp; GF,FF</t>
  </si>
  <si>
    <t>SG-Gates - Entry &amp; Exit</t>
  </si>
  <si>
    <t>SG_Terrace</t>
  </si>
  <si>
    <t>SG-7 th to 14 th floor</t>
  </si>
  <si>
    <t>SG-CCTV</t>
  </si>
  <si>
    <t>Total for 12 Hrs</t>
  </si>
  <si>
    <t>Liosaning &amp; Licenses Cost</t>
  </si>
  <si>
    <t xml:space="preserve">Monthly </t>
  </si>
  <si>
    <t>Electrical and DG License renewal</t>
  </si>
  <si>
    <t>Dasara Expenses</t>
  </si>
  <si>
    <t>Fire  NOC Third party audit charges</t>
  </si>
  <si>
    <t>CTO /CFO</t>
  </si>
  <si>
    <t>Labour license and registration</t>
  </si>
  <si>
    <t>Environmental and Pollution Control Inspections</t>
  </si>
  <si>
    <t>Health &amp; Saftey audit</t>
  </si>
  <si>
    <t>Fire &amp; Peril Insurance</t>
  </si>
  <si>
    <t>Audit fees</t>
  </si>
  <si>
    <t>Consultancy charges - PF &amp;HR</t>
  </si>
  <si>
    <t>i</t>
  </si>
  <si>
    <t>ii</t>
  </si>
  <si>
    <t>iii</t>
  </si>
  <si>
    <t>iv</t>
  </si>
  <si>
    <t>v</t>
  </si>
  <si>
    <t>vi</t>
  </si>
  <si>
    <t>vii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</si>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</sst>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(* #,##0.00_);_(* \(#,##0.00\);_(* &quot;-&quot;_);_(@_)"/>
    <numFmt numFmtId="167" formatCode="0.0"/>
    <numFmt numFmtId="168" formatCode="_ * #,##0.00_ ;_ * \-#,##0.00_ ;_ * &quot;-&quot;??.00_ ;_ @_ "/>
  </numFmts>
  <fonts count="18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sz val="10"/>
      <color theme="1"/>
      <name val="Bookman Old Style"/>
      <charset val="134"/>
    </font>
    <font>
      <sz val="10"/>
      <name val="Bookman Old Style"/>
      <charset val="134"/>
    </font>
    <font>
      <b/>
      <u/>
      <sz val="12"/>
      <color theme="1"/>
      <name val="Bookman Old Style"/>
      <charset val="134"/>
    </font>
    <font>
      <b/>
      <sz val="11"/>
      <color theme="1"/>
      <name val="Bookman Old Style"/>
      <charset val="134"/>
    </font>
    <font>
      <b/>
      <sz val="11"/>
      <name val="Bookman Old Style"/>
      <charset val="134"/>
    </font>
    <font>
      <sz val="11"/>
      <name val="Bookman Old Style"/>
      <charset val="134"/>
    </font>
    <font>
      <b/>
      <sz val="11"/>
      <color theme="0"/>
      <name val="Bookman Old Style"/>
      <charset val="134"/>
    </font>
    <font>
      <u/>
      <sz val="11"/>
      <color rgb="FF800080"/>
      <name val="Bookman Old Style"/>
      <charset val="134"/>
    </font>
    <font>
      <sz val="9"/>
      <color theme="1"/>
      <name val="Bookman Old Style"/>
      <charset val="134"/>
    </font>
    <font>
      <sz val="10"/>
      <name val="Arial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3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43" fontId="11" fillId="0" borderId="0"/>
  </cellStyleXfs>
  <cellXfs count="109">
    <xf numFmtId="0" fontId="0" fillId="0" borderId="0" xfId="0"/>
    <xf numFmtId="0" fontId="1" fillId="0" borderId="0" xfId="0" applyFont="1"/>
    <xf numFmtId="0" fontId="2" fillId="2" borderId="1" xfId="2" applyFont="1" applyFill="1" applyBorder="1" applyAlignment="1" applyProtection="1">
      <alignment horizontal="center" vertical="center"/>
      <protection hidden="1"/>
    </xf>
    <xf numFmtId="0" fontId="2" fillId="0" borderId="1" xfId="2" applyFont="1" applyBorder="1" applyAlignment="1" applyProtection="1">
      <alignment horizontal="center" vertical="center"/>
      <protection hidden="1"/>
    </xf>
    <xf numFmtId="0" fontId="2" fillId="0" borderId="1" xfId="2" applyFont="1" applyBorder="1" applyAlignment="1" applyProtection="1">
      <alignment vertical="center"/>
      <protection hidden="1"/>
    </xf>
    <xf numFmtId="41" fontId="3" fillId="0" borderId="1" xfId="2" applyNumberFormat="1" applyFont="1" applyBorder="1" applyAlignment="1" applyProtection="1">
      <alignment horizontal="right" vertical="center"/>
      <protection locked="0" hidden="1"/>
    </xf>
    <xf numFmtId="0" fontId="1" fillId="2" borderId="1" xfId="0" applyFont="1" applyFill="1" applyBorder="1"/>
    <xf numFmtId="0" fontId="1" fillId="3" borderId="1" xfId="0" applyFont="1" applyFill="1" applyBorder="1"/>
    <xf numFmtId="41" fontId="1" fillId="0" borderId="1" xfId="1" applyNumberFormat="1" applyFont="1" applyBorder="1"/>
    <xf numFmtId="0" fontId="1" fillId="0" borderId="1" xfId="0" applyFont="1" applyBorder="1"/>
    <xf numFmtId="41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164" fontId="1" fillId="0" borderId="0" xfId="0" applyNumberFormat="1" applyFont="1"/>
    <xf numFmtId="0" fontId="1" fillId="3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6" fillId="3" borderId="0" xfId="4" applyFont="1" applyFill="1" applyAlignment="1">
      <alignment vertical="center" wrapText="1"/>
    </xf>
    <xf numFmtId="0" fontId="7" fillId="3" borderId="0" xfId="4" applyFont="1" applyFill="1" applyAlignment="1">
      <alignment vertical="center" wrapText="1"/>
    </xf>
    <xf numFmtId="0" fontId="8" fillId="3" borderId="0" xfId="4" applyFont="1" applyFill="1" applyAlignment="1">
      <alignment horizontal="center" vertical="center" wrapText="1"/>
    </xf>
    <xf numFmtId="0" fontId="5" fillId="3" borderId="0" xfId="4" applyFont="1" applyFill="1" applyAlignment="1" applyProtection="1">
      <alignment horizontal="center" vertical="center" wrapText="1"/>
      <protection locked="0"/>
    </xf>
    <xf numFmtId="0" fontId="1" fillId="3" borderId="1" xfId="5" applyFont="1" applyFill="1" applyBorder="1" applyAlignment="1">
      <alignment vertical="center" wrapText="1"/>
    </xf>
    <xf numFmtId="3" fontId="7" fillId="3" borderId="1" xfId="5" applyNumberFormat="1" applyFont="1" applyFill="1" applyBorder="1" applyAlignment="1" applyProtection="1">
      <alignment horizontal="center" vertical="center" wrapText="1"/>
      <protection locked="0"/>
    </xf>
    <xf numFmtId="164" fontId="7" fillId="3" borderId="1" xfId="1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Alignment="1">
      <alignment vertical="center" wrapText="1"/>
    </xf>
    <xf numFmtId="0" fontId="7" fillId="3" borderId="1" xfId="4" applyFont="1" applyFill="1" applyBorder="1" applyAlignment="1">
      <alignment vertical="center" wrapText="1"/>
    </xf>
    <xf numFmtId="0" fontId="7" fillId="3" borderId="1" xfId="4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vertical="center" wrapText="1"/>
    </xf>
    <xf numFmtId="3" fontId="7" fillId="3" borderId="1" xfId="4" applyNumberFormat="1" applyFont="1" applyFill="1" applyBorder="1" applyAlignment="1">
      <alignment horizontal="center" vertical="center" wrapText="1"/>
    </xf>
    <xf numFmtId="164" fontId="7" fillId="3" borderId="0" xfId="4" applyNumberFormat="1" applyFont="1" applyFill="1" applyAlignment="1">
      <alignment vertical="center" wrapText="1"/>
    </xf>
    <xf numFmtId="0" fontId="1" fillId="4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right" vertical="center"/>
    </xf>
    <xf numFmtId="41" fontId="1" fillId="4" borderId="1" xfId="2" applyNumberFormat="1" applyFont="1" applyFill="1" applyBorder="1" applyAlignment="1">
      <alignment horizontal="right" vertical="center"/>
    </xf>
    <xf numFmtId="4" fontId="5" fillId="4" borderId="1" xfId="2" applyNumberFormat="1" applyFont="1" applyFill="1" applyBorder="1" applyAlignment="1" applyProtection="1">
      <alignment horizontal="right" vertical="center"/>
      <protection hidden="1"/>
    </xf>
    <xf numFmtId="41" fontId="1" fillId="0" borderId="0" xfId="0" applyNumberFormat="1" applyFont="1"/>
    <xf numFmtId="0" fontId="1" fillId="0" borderId="0" xfId="0" applyFont="1" applyAlignment="1">
      <alignment wrapText="1"/>
    </xf>
    <xf numFmtId="164" fontId="1" fillId="3" borderId="1" xfId="1" applyNumberFormat="1" applyFont="1" applyFill="1" applyBorder="1"/>
    <xf numFmtId="0" fontId="9" fillId="3" borderId="1" xfId="3" applyFont="1" applyFill="1" applyBorder="1"/>
    <xf numFmtId="164" fontId="1" fillId="3" borderId="1" xfId="0" applyNumberFormat="1" applyFont="1" applyFill="1" applyBorder="1"/>
    <xf numFmtId="0" fontId="9" fillId="3" borderId="1" xfId="3" applyFont="1" applyFill="1" applyBorder="1" applyAlignment="1">
      <alignment horizontal="center"/>
    </xf>
    <xf numFmtId="0" fontId="7" fillId="4" borderId="1" xfId="2" applyFont="1" applyFill="1" applyBorder="1" applyAlignment="1" applyProtection="1">
      <alignment vertical="center"/>
      <protection hidden="1"/>
    </xf>
    <xf numFmtId="41" fontId="7" fillId="4" borderId="1" xfId="2" applyNumberFormat="1" applyFont="1" applyFill="1" applyBorder="1" applyAlignment="1" applyProtection="1">
      <alignment vertical="center"/>
      <protection locked="0" hidden="1"/>
    </xf>
    <xf numFmtId="2" fontId="7" fillId="4" borderId="1" xfId="2" applyNumberFormat="1" applyFont="1" applyFill="1" applyBorder="1" applyAlignment="1" applyProtection="1">
      <alignment horizontal="center" vertical="center"/>
      <protection hidden="1"/>
    </xf>
    <xf numFmtId="0" fontId="6" fillId="4" borderId="1" xfId="2" applyFont="1" applyFill="1" applyBorder="1" applyAlignment="1" applyProtection="1">
      <alignment vertical="center"/>
      <protection hidden="1"/>
    </xf>
    <xf numFmtId="166" fontId="6" fillId="4" borderId="1" xfId="2" applyNumberFormat="1" applyFont="1" applyFill="1" applyBorder="1" applyAlignment="1" applyProtection="1">
      <alignment vertical="center"/>
      <protection locked="0" hidden="1"/>
    </xf>
    <xf numFmtId="2" fontId="6" fillId="4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7" xfId="0" applyFont="1" applyBorder="1"/>
    <xf numFmtId="0" fontId="1" fillId="0" borderId="8" xfId="0" applyFont="1" applyBorder="1"/>
    <xf numFmtId="0" fontId="10" fillId="0" borderId="0" xfId="0" applyFont="1"/>
    <xf numFmtId="0" fontId="10" fillId="0" borderId="10" xfId="0" applyFont="1" applyBorder="1"/>
    <xf numFmtId="0" fontId="10" fillId="0" borderId="12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Alignment="1">
      <alignment horizontal="center"/>
    </xf>
    <xf numFmtId="43" fontId="1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1" fontId="2" fillId="0" borderId="1" xfId="1" applyNumberFormat="1" applyFont="1" applyBorder="1"/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3" borderId="1" xfId="2" applyFont="1" applyFill="1" applyBorder="1" applyAlignment="1">
      <alignment horizontal="center" vertical="center"/>
    </xf>
    <xf numFmtId="167" fontId="14" fillId="3" borderId="1" xfId="2" applyNumberFormat="1" applyFont="1" applyFill="1" applyBorder="1" applyAlignment="1" applyProtection="1">
      <alignment horizontal="center" vertical="center"/>
      <protection hidden="1"/>
    </xf>
    <xf numFmtId="4" fontId="14" fillId="3" borderId="1" xfId="2" applyNumberFormat="1" applyFont="1" applyFill="1" applyBorder="1" applyAlignment="1" applyProtection="1">
      <alignment horizontal="center" vertical="center"/>
      <protection hidden="1"/>
    </xf>
    <xf numFmtId="168" fontId="1" fillId="3" borderId="1" xfId="0" applyNumberFormat="1" applyFont="1" applyFill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6" fillId="2" borderId="1" xfId="2" applyFont="1" applyFill="1" applyBorder="1" applyAlignment="1" applyProtection="1">
      <alignment vertical="center"/>
      <protection hidden="1"/>
    </xf>
    <xf numFmtId="41" fontId="16" fillId="2" borderId="1" xfId="2" applyNumberFormat="1" applyFont="1" applyFill="1" applyBorder="1" applyAlignment="1" applyProtection="1">
      <alignment horizontal="right" vertical="center"/>
      <protection locked="0" hidden="1"/>
    </xf>
    <xf numFmtId="0" fontId="17" fillId="4" borderId="1" xfId="2" applyFont="1" applyFill="1" applyBorder="1" applyAlignment="1" applyProtection="1">
      <alignment vertical="center"/>
      <protection hidden="1"/>
    </xf>
    <xf numFmtId="3" fontId="17" fillId="3" borderId="1" xfId="4" applyNumberFormat="1" applyFont="1" applyFill="1" applyBorder="1" applyAlignment="1">
      <alignment horizontal="center" vertical="center" wrapText="1"/>
    </xf>
    <xf numFmtId="0" fontId="17" fillId="3" borderId="1" xfId="4" applyFont="1" applyFill="1" applyBorder="1" applyAlignment="1">
      <alignment horizontal="center" vertical="center" wrapText="1"/>
    </xf>
    <xf numFmtId="167" fontId="14" fillId="4" borderId="1" xfId="2" applyNumberFormat="1" applyFont="1" applyFill="1" applyBorder="1" applyAlignment="1" applyProtection="1">
      <alignment horizontal="center" vertical="center"/>
      <protection hidden="1"/>
    </xf>
    <xf numFmtId="0" fontId="5" fillId="4" borderId="14" xfId="2" applyFont="1" applyFill="1" applyBorder="1" applyAlignment="1">
      <alignment horizontal="right" vertical="center"/>
    </xf>
    <xf numFmtId="0" fontId="0" fillId="0" borderId="3" xfId="0" applyBorder="1"/>
    <xf numFmtId="0" fontId="10" fillId="0" borderId="10" xfId="0" applyFont="1" applyBorder="1" applyAlignment="1">
      <alignment horizontal="left" wrapText="1"/>
    </xf>
    <xf numFmtId="0" fontId="1" fillId="0" borderId="0" xfId="0" applyFont="1"/>
    <xf numFmtId="0" fontId="0" fillId="0" borderId="10" xfId="0" applyBorder="1"/>
    <xf numFmtId="0" fontId="1" fillId="4" borderId="14" xfId="2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4" xfId="4" applyFont="1" applyFill="1" applyBorder="1" applyAlignment="1">
      <alignment horizontal="left" vertical="center" wrapText="1"/>
    </xf>
    <xf numFmtId="14" fontId="5" fillId="7" borderId="14" xfId="4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5" fillId="7" borderId="14" xfId="4" applyFont="1" applyFill="1" applyBorder="1" applyAlignment="1" applyProtection="1">
      <alignment horizontal="left" vertical="center" wrapText="1"/>
      <protection locked="0"/>
    </xf>
    <xf numFmtId="0" fontId="5" fillId="7" borderId="14" xfId="4" applyFont="1" applyFill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4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7">
    <cellStyle name="%" xfId="2" xr:uid="{00000000-0005-0000-0000-000002000000}"/>
    <cellStyle name="Comma" xfId="1" builtinId="3"/>
    <cellStyle name="Comma 2" xfId="6" xr:uid="{00000000-0005-0000-0000-000006000000}"/>
    <cellStyle name="Hyperlink" xfId="3" builtinId="8"/>
    <cellStyle name="Normal" xfId="0" builtinId="0"/>
    <cellStyle name="Normal 2" xfId="4" xr:uid="{00000000-0005-0000-0000-000004000000}"/>
    <cellStyle name="Style 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zoomScale="115" zoomScaleNormal="115" workbookViewId="0">
      <selection activeCell="C15" sqref="C15:C16"/>
    </sheetView>
  </sheetViews>
  <sheetFormatPr defaultColWidth="9" defaultRowHeight="15"/>
  <cols>
    <col min="1" max="1" width="9" style="68" customWidth="1"/>
    <col min="2" max="2" width="67.28515625" style="1" customWidth="1"/>
    <col min="3" max="3" width="15" style="1" customWidth="1"/>
    <col min="4" max="4" width="14.140625" style="1" customWidth="1"/>
    <col min="5" max="5" width="24.42578125" style="1" customWidth="1"/>
    <col min="6" max="7" width="9" style="1" customWidth="1"/>
    <col min="8" max="16384" width="9" style="1"/>
  </cols>
  <sheetData>
    <row r="2" spans="1:7">
      <c r="A2" s="94" t="s">
        <v>0</v>
      </c>
      <c r="B2" s="95"/>
      <c r="C2" s="95"/>
      <c r="D2" s="90"/>
    </row>
    <row r="3" spans="1:7">
      <c r="A3" s="45"/>
      <c r="B3" s="45" t="s">
        <v>1</v>
      </c>
      <c r="C3" s="46" t="s">
        <v>2</v>
      </c>
      <c r="D3" s="47">
        <f>'Area Deatils'!E20</f>
        <v>490749</v>
      </c>
    </row>
    <row r="4" spans="1:7">
      <c r="A4" s="89" t="s">
        <v>3</v>
      </c>
      <c r="B4" s="90"/>
      <c r="C4" s="88" t="s">
        <v>4</v>
      </c>
      <c r="D4" s="48">
        <f>SUM(D6:D14)</f>
        <v>12.056265694547179</v>
      </c>
      <c r="G4" s="49"/>
    </row>
    <row r="5" spans="1:7">
      <c r="A5" s="77" t="s">
        <v>5</v>
      </c>
      <c r="B5" s="77" t="s">
        <v>6</v>
      </c>
      <c r="C5" s="78" t="s">
        <v>7</v>
      </c>
      <c r="D5" s="79" t="s">
        <v>8</v>
      </c>
      <c r="E5" s="50"/>
      <c r="G5" s="49"/>
    </row>
    <row r="6" spans="1:7">
      <c r="A6" s="20">
        <v>1</v>
      </c>
      <c r="B6" s="7" t="s">
        <v>9</v>
      </c>
      <c r="C6" s="51">
        <f>'Emerzhent Manpower'!C14</f>
        <v>475000</v>
      </c>
      <c r="D6" s="80">
        <f>C6/D3</f>
        <v>0.96790823822361327</v>
      </c>
    </row>
    <row r="7" spans="1:7">
      <c r="A7" s="20">
        <v>2</v>
      </c>
      <c r="B7" s="52" t="s">
        <v>10</v>
      </c>
      <c r="C7" s="51">
        <f>'Manpower - Technical'!J16</f>
        <v>588436</v>
      </c>
      <c r="D7" s="80">
        <f>C7/D3</f>
        <v>1.199056951720737</v>
      </c>
    </row>
    <row r="8" spans="1:7">
      <c r="A8" s="20">
        <v>3</v>
      </c>
      <c r="B8" s="52" t="s">
        <v>11</v>
      </c>
      <c r="C8" s="51">
        <f>'HK Manpower'!I11</f>
        <v>904000</v>
      </c>
      <c r="D8" s="80">
        <f>C8/D3</f>
        <v>1.8420822049560976</v>
      </c>
    </row>
    <row r="9" spans="1:7">
      <c r="A9" s="20">
        <v>4</v>
      </c>
      <c r="B9" s="52" t="s">
        <v>12</v>
      </c>
      <c r="C9" s="51">
        <f>'LP Manpower'!G15</f>
        <v>1142500</v>
      </c>
      <c r="D9" s="80">
        <f>C9/D3</f>
        <v>2.3280740256220596</v>
      </c>
    </row>
    <row r="10" spans="1:7">
      <c r="A10" s="20">
        <v>5</v>
      </c>
      <c r="B10" s="52" t="s">
        <v>13</v>
      </c>
      <c r="C10" s="51">
        <f>'AMC Charges'!D23</f>
        <v>1012166.6666666665</v>
      </c>
      <c r="D10" s="80">
        <f>C10/D3</f>
        <v>2.0624935897305274</v>
      </c>
    </row>
    <row r="11" spans="1:7">
      <c r="A11" s="20">
        <v>6</v>
      </c>
      <c r="B11" s="52" t="s">
        <v>14</v>
      </c>
      <c r="C11" s="51">
        <f>Consumables!C39</f>
        <v>360000</v>
      </c>
      <c r="D11" s="80">
        <f>C11/D3</f>
        <v>0.73357255949579114</v>
      </c>
    </row>
    <row r="12" spans="1:7">
      <c r="A12" s="20">
        <v>7</v>
      </c>
      <c r="B12" s="7" t="s">
        <v>15</v>
      </c>
      <c r="C12" s="51">
        <f>490749*2</f>
        <v>981498</v>
      </c>
      <c r="D12" s="80">
        <f>C12/D3</f>
        <v>2</v>
      </c>
    </row>
    <row r="13" spans="1:7">
      <c r="A13" s="20">
        <v>8</v>
      </c>
      <c r="B13" s="7" t="s">
        <v>16</v>
      </c>
      <c r="C13" s="51">
        <v>300000</v>
      </c>
      <c r="D13" s="80">
        <f>C13/D3</f>
        <v>0.61131046624649266</v>
      </c>
    </row>
    <row r="14" spans="1:7">
      <c r="A14" s="20">
        <v>9</v>
      </c>
      <c r="B14" s="52" t="s">
        <v>17</v>
      </c>
      <c r="C14" s="53">
        <f>'Liosaning &amp; Licenses'!C12</f>
        <v>152999.66666666669</v>
      </c>
      <c r="D14" s="80">
        <f>C14/D3</f>
        <v>0.31176765855185989</v>
      </c>
    </row>
    <row r="15" spans="1:7">
      <c r="A15" s="20" t="s">
        <v>18</v>
      </c>
      <c r="B15" s="54" t="s">
        <v>19</v>
      </c>
      <c r="C15" s="53">
        <f>SUM(C6:C14)</f>
        <v>5916600.333333333</v>
      </c>
      <c r="D15" s="20"/>
    </row>
    <row r="16" spans="1:7">
      <c r="A16" s="72">
        <v>10</v>
      </c>
      <c r="B16" s="55" t="s">
        <v>20</v>
      </c>
      <c r="C16" s="56">
        <f>C15*2%</f>
        <v>118332.00666666667</v>
      </c>
      <c r="D16" s="57">
        <f>C16/D3</f>
        <v>0.24112531389094358</v>
      </c>
      <c r="E16" s="50"/>
    </row>
    <row r="17" spans="1:4">
      <c r="A17" s="72">
        <v>11</v>
      </c>
      <c r="B17" s="85" t="s">
        <v>21</v>
      </c>
      <c r="C17" s="56">
        <v>0</v>
      </c>
      <c r="D17" s="57">
        <f>C17/D3</f>
        <v>0</v>
      </c>
    </row>
    <row r="18" spans="1:4" ht="15.95" customHeight="1">
      <c r="A18" s="73" t="s">
        <v>22</v>
      </c>
      <c r="B18" s="58" t="s">
        <v>23</v>
      </c>
      <c r="C18" s="59">
        <f>(C16+C17+C15)/D3</f>
        <v>12.297391008438122</v>
      </c>
      <c r="D18" s="60"/>
    </row>
    <row r="19" spans="1:4">
      <c r="A19" s="74"/>
      <c r="B19" s="61"/>
      <c r="C19" s="61"/>
      <c r="D19" s="62"/>
    </row>
    <row r="20" spans="1:4">
      <c r="A20" s="75" t="s">
        <v>24</v>
      </c>
      <c r="B20" s="63" t="s">
        <v>25</v>
      </c>
      <c r="C20" s="63"/>
      <c r="D20" s="64"/>
    </row>
    <row r="21" spans="1:4" ht="27" customHeight="1">
      <c r="A21" s="75"/>
      <c r="B21" s="91" t="s">
        <v>26</v>
      </c>
      <c r="C21" s="92"/>
      <c r="D21" s="93"/>
    </row>
    <row r="22" spans="1:4">
      <c r="A22" s="75"/>
      <c r="B22" s="63" t="s">
        <v>27</v>
      </c>
      <c r="C22" s="63"/>
      <c r="D22" s="64"/>
    </row>
    <row r="23" spans="1:4">
      <c r="A23" s="76"/>
      <c r="B23" s="65" t="s">
        <v>28</v>
      </c>
      <c r="C23" s="66"/>
      <c r="D23" s="67"/>
    </row>
  </sheetData>
  <mergeCells count="3">
    <mergeCell ref="A4:B4"/>
    <mergeCell ref="B21:D21"/>
    <mergeCell ref="A2:D2"/>
  </mergeCells>
  <hyperlinks>
    <hyperlink ref="B7" location="'Manpower - Technical'!A1" display="Technical manpower" xr:uid="{00000000-0004-0000-0000-000000000000}"/>
    <hyperlink ref="B8" location="'HK Manpower'!A1" display="HK Manpower" xr:uid="{00000000-0004-0000-0000-000001000000}"/>
    <hyperlink ref="B9" location="'LP Manpower'!A1" display="LP Manpower -Security Services " xr:uid="{00000000-0004-0000-0000-000002000000}"/>
    <hyperlink ref="B10" location="'AMC Charges'!A1" display="AMC" xr:uid="{00000000-0004-0000-0000-000003000000}"/>
    <hyperlink ref="B11" location="Consumables!A1" display="Consumables" xr:uid="{00000000-0004-0000-0000-000004000000}"/>
    <hyperlink ref="B14" location="'Liosaning &amp; Licenses'!A1" display="Liosaning &amp; Licenses" xr:uid="{00000000-0004-0000-0000-000005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E20"/>
  <sheetViews>
    <sheetView workbookViewId="0">
      <selection activeCell="E21" sqref="E21"/>
    </sheetView>
  </sheetViews>
  <sheetFormatPr defaultColWidth="8.85546875" defaultRowHeight="15"/>
  <cols>
    <col min="1" max="3" width="8.85546875" style="1" customWidth="1"/>
    <col min="4" max="4" width="11.5703125" style="1" customWidth="1"/>
    <col min="5" max="5" width="20.5703125" style="70" bestFit="1" customWidth="1"/>
    <col min="6" max="7" width="8.85546875" style="1" customWidth="1"/>
    <col min="8" max="16384" width="8.85546875" style="1"/>
  </cols>
  <sheetData>
    <row r="4" spans="4:5">
      <c r="D4" s="6" t="s">
        <v>29</v>
      </c>
      <c r="E4" s="11" t="s">
        <v>30</v>
      </c>
    </row>
    <row r="5" spans="4:5">
      <c r="D5" s="9" t="s">
        <v>31</v>
      </c>
      <c r="E5" s="13">
        <v>22884</v>
      </c>
    </row>
    <row r="6" spans="4:5">
      <c r="D6" s="9" t="s">
        <v>32</v>
      </c>
      <c r="E6" s="13">
        <v>33639</v>
      </c>
    </row>
    <row r="7" spans="4:5">
      <c r="D7" s="9" t="s">
        <v>33</v>
      </c>
      <c r="E7" s="13">
        <v>34218</v>
      </c>
    </row>
    <row r="8" spans="4:5">
      <c r="D8" s="9" t="s">
        <v>34</v>
      </c>
      <c r="E8" s="13">
        <v>34218</v>
      </c>
    </row>
    <row r="9" spans="4:5">
      <c r="D9" s="9" t="s">
        <v>35</v>
      </c>
      <c r="E9" s="13">
        <v>30682</v>
      </c>
    </row>
    <row r="10" spans="4:5">
      <c r="D10" s="9" t="s">
        <v>36</v>
      </c>
      <c r="E10" s="13">
        <v>34218</v>
      </c>
    </row>
    <row r="11" spans="4:5">
      <c r="D11" s="9" t="s">
        <v>37</v>
      </c>
      <c r="E11" s="13">
        <v>34218</v>
      </c>
    </row>
    <row r="12" spans="4:5">
      <c r="D12" s="9" t="s">
        <v>38</v>
      </c>
      <c r="E12" s="13">
        <v>34218</v>
      </c>
    </row>
    <row r="13" spans="4:5">
      <c r="D13" s="9" t="s">
        <v>39</v>
      </c>
      <c r="E13" s="13">
        <v>30682</v>
      </c>
    </row>
    <row r="14" spans="4:5">
      <c r="D14" s="9" t="s">
        <v>40</v>
      </c>
      <c r="E14" s="13">
        <v>34218</v>
      </c>
    </row>
    <row r="15" spans="4:5">
      <c r="D15" s="9" t="s">
        <v>41</v>
      </c>
      <c r="E15" s="13">
        <v>34218</v>
      </c>
    </row>
    <row r="16" spans="4:5">
      <c r="D16" s="9" t="s">
        <v>42</v>
      </c>
      <c r="E16" s="13">
        <v>34218</v>
      </c>
    </row>
    <row r="17" spans="4:5">
      <c r="D17" s="9" t="s">
        <v>43</v>
      </c>
      <c r="E17" s="13">
        <v>30682</v>
      </c>
    </row>
    <row r="18" spans="4:5">
      <c r="D18" s="9" t="s">
        <v>44</v>
      </c>
      <c r="E18" s="13">
        <v>34218</v>
      </c>
    </row>
    <row r="19" spans="4:5">
      <c r="D19" s="9" t="s">
        <v>45</v>
      </c>
      <c r="E19" s="13">
        <v>34218</v>
      </c>
    </row>
    <row r="20" spans="4:5">
      <c r="D20" s="9"/>
      <c r="E20" s="69">
        <f>SUM(E5:E19)</f>
        <v>490749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E25" sqref="E25"/>
    </sheetView>
  </sheetViews>
  <sheetFormatPr defaultColWidth="9.140625" defaultRowHeight="15"/>
  <cols>
    <col min="1" max="1" width="31.42578125" style="33" customWidth="1"/>
    <col min="2" max="2" width="11.140625" style="33" customWidth="1"/>
    <col min="3" max="3" width="21.140625" style="33" customWidth="1"/>
    <col min="4" max="4" width="12.85546875" style="33" hidden="1" customWidth="1"/>
    <col min="5" max="5" width="12.140625" style="33" customWidth="1"/>
    <col min="6" max="7" width="9.140625" style="33" customWidth="1"/>
    <col min="8" max="8" width="40.85546875" style="33" customWidth="1"/>
    <col min="9" max="10" width="9.140625" style="33" customWidth="1"/>
    <col min="11" max="16384" width="9.140625" style="33"/>
  </cols>
  <sheetData>
    <row r="1" spans="1:5" s="32" customFormat="1" ht="16.350000000000001" customHeight="1">
      <c r="A1" s="96" t="s">
        <v>46</v>
      </c>
      <c r="B1" s="95"/>
      <c r="C1" s="90"/>
      <c r="D1" s="34"/>
    </row>
    <row r="2" spans="1:5">
      <c r="A2" s="99" t="s">
        <v>47</v>
      </c>
      <c r="B2" s="100" t="s">
        <v>48</v>
      </c>
      <c r="C2" s="97"/>
      <c r="D2" s="35"/>
    </row>
    <row r="3" spans="1:5">
      <c r="A3" s="98"/>
      <c r="B3" s="98"/>
      <c r="C3" s="98"/>
      <c r="D3" s="35"/>
    </row>
    <row r="4" spans="1:5">
      <c r="A4" s="36" t="s">
        <v>49</v>
      </c>
      <c r="B4" s="37">
        <v>1</v>
      </c>
      <c r="C4" s="38">
        <v>100000</v>
      </c>
      <c r="D4" s="39"/>
    </row>
    <row r="5" spans="1:5">
      <c r="A5" s="36" t="s">
        <v>50</v>
      </c>
      <c r="B5" s="37">
        <v>2</v>
      </c>
      <c r="C5" s="38">
        <f>50000*2</f>
        <v>100000</v>
      </c>
      <c r="D5" s="39"/>
    </row>
    <row r="6" spans="1:5">
      <c r="A6" s="36" t="s">
        <v>51</v>
      </c>
      <c r="B6" s="37">
        <v>1</v>
      </c>
      <c r="C6" s="38">
        <v>40000</v>
      </c>
      <c r="D6" s="39"/>
    </row>
    <row r="7" spans="1:5">
      <c r="A7" s="36" t="s">
        <v>52</v>
      </c>
      <c r="B7" s="37">
        <v>1</v>
      </c>
      <c r="C7" s="38">
        <v>40000</v>
      </c>
      <c r="D7" s="39"/>
    </row>
    <row r="8" spans="1:5">
      <c r="A8" s="36" t="s">
        <v>53</v>
      </c>
      <c r="B8" s="37">
        <v>1</v>
      </c>
      <c r="C8" s="38">
        <v>50000</v>
      </c>
      <c r="D8" s="39"/>
    </row>
    <row r="9" spans="1:5">
      <c r="A9" s="36" t="s">
        <v>54</v>
      </c>
      <c r="B9" s="37">
        <v>1</v>
      </c>
      <c r="C9" s="38">
        <v>50000</v>
      </c>
      <c r="D9" s="39"/>
    </row>
    <row r="10" spans="1:5" ht="30" customHeight="1">
      <c r="A10" s="40" t="s">
        <v>55</v>
      </c>
      <c r="B10" s="41">
        <v>1</v>
      </c>
      <c r="C10" s="42">
        <v>30000</v>
      </c>
      <c r="D10" s="39"/>
    </row>
    <row r="11" spans="1:5">
      <c r="A11" s="40" t="s">
        <v>56</v>
      </c>
      <c r="B11" s="86" t="s">
        <v>57</v>
      </c>
      <c r="C11" s="38">
        <v>10000</v>
      </c>
    </row>
    <row r="12" spans="1:5">
      <c r="A12" s="40" t="s">
        <v>58</v>
      </c>
      <c r="B12" s="43"/>
      <c r="C12" s="38">
        <f>SUM(C4:C11)/12</f>
        <v>35000</v>
      </c>
      <c r="D12" s="44">
        <f>SUM(C4:C9)</f>
        <v>380000</v>
      </c>
      <c r="E12" s="44"/>
    </row>
    <row r="13" spans="1:5">
      <c r="A13" s="40" t="s">
        <v>59</v>
      </c>
      <c r="B13" s="87" t="s">
        <v>57</v>
      </c>
      <c r="C13" s="38">
        <v>20000</v>
      </c>
    </row>
    <row r="14" spans="1:5">
      <c r="A14" s="40" t="s">
        <v>60</v>
      </c>
      <c r="B14" s="40"/>
      <c r="C14" s="38">
        <f>SUM(C4:C13)</f>
        <v>475000</v>
      </c>
    </row>
    <row r="15" spans="1:5">
      <c r="A15" s="40"/>
      <c r="B15" s="40"/>
      <c r="C15" s="41"/>
    </row>
  </sheetData>
  <mergeCells count="4">
    <mergeCell ref="A1:C1"/>
    <mergeCell ref="C2:C3"/>
    <mergeCell ref="A2:A3"/>
    <mergeCell ref="B2:B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zoomScale="85" zoomScaleNormal="85" workbookViewId="0">
      <selection activeCell="J17" sqref="J17"/>
    </sheetView>
  </sheetViews>
  <sheetFormatPr defaultColWidth="9" defaultRowHeight="15"/>
  <cols>
    <col min="1" max="1" width="6.85546875" style="1" bestFit="1" customWidth="1"/>
    <col min="2" max="2" width="28.5703125" style="1" bestFit="1" customWidth="1"/>
    <col min="3" max="4" width="9" style="1" bestFit="1" customWidth="1"/>
    <col min="5" max="5" width="9.7109375" style="1" bestFit="1" customWidth="1"/>
    <col min="6" max="6" width="10" style="1" bestFit="1" customWidth="1"/>
    <col min="7" max="7" width="9.85546875" style="1" bestFit="1" customWidth="1"/>
    <col min="8" max="8" width="7.140625" style="1" bestFit="1" customWidth="1"/>
    <col min="9" max="9" width="10.42578125" style="1" bestFit="1" customWidth="1"/>
    <col min="10" max="10" width="16.42578125" style="1" bestFit="1" customWidth="1"/>
    <col min="11" max="11" width="48.7109375" style="1" bestFit="1" customWidth="1"/>
    <col min="12" max="13" width="9" style="1" customWidth="1"/>
    <col min="14" max="16384" width="9" style="1"/>
  </cols>
  <sheetData>
    <row r="1" spans="1:11">
      <c r="A1" s="26" t="s">
        <v>5</v>
      </c>
      <c r="B1" s="26" t="s">
        <v>6</v>
      </c>
      <c r="C1" s="26" t="s">
        <v>61</v>
      </c>
      <c r="D1" s="26" t="s">
        <v>62</v>
      </c>
      <c r="E1" s="26" t="s">
        <v>63</v>
      </c>
      <c r="F1" s="26" t="s">
        <v>64</v>
      </c>
      <c r="G1" s="26" t="s">
        <v>65</v>
      </c>
      <c r="H1" s="26" t="s">
        <v>66</v>
      </c>
      <c r="I1" s="26" t="s">
        <v>67</v>
      </c>
      <c r="J1" s="26" t="s">
        <v>68</v>
      </c>
      <c r="K1" s="26" t="s">
        <v>69</v>
      </c>
    </row>
    <row r="2" spans="1:11">
      <c r="A2" s="9"/>
      <c r="B2" s="6" t="s">
        <v>70</v>
      </c>
      <c r="C2" s="23">
        <v>0</v>
      </c>
      <c r="D2" s="23">
        <v>0</v>
      </c>
      <c r="E2" s="23">
        <v>0</v>
      </c>
      <c r="F2" s="23">
        <v>0</v>
      </c>
      <c r="G2" s="23"/>
      <c r="H2" s="23"/>
      <c r="I2" s="23"/>
      <c r="J2" s="28"/>
      <c r="K2" s="9" t="s">
        <v>71</v>
      </c>
    </row>
    <row r="3" spans="1:11" ht="30" customHeight="1">
      <c r="A3" s="9">
        <v>1</v>
      </c>
      <c r="B3" s="9" t="s">
        <v>72</v>
      </c>
      <c r="C3" s="23">
        <v>1</v>
      </c>
      <c r="D3" s="23">
        <v>1</v>
      </c>
      <c r="E3" s="23">
        <v>1</v>
      </c>
      <c r="F3" s="23">
        <v>1</v>
      </c>
      <c r="G3" s="23"/>
      <c r="H3" s="23">
        <f>SUM(C3:G3)</f>
        <v>4</v>
      </c>
      <c r="I3" s="23">
        <v>34344</v>
      </c>
      <c r="J3" s="28">
        <f>H3*I3</f>
        <v>137376</v>
      </c>
      <c r="K3" s="29" t="s">
        <v>73</v>
      </c>
    </row>
    <row r="4" spans="1:11" ht="45" customHeight="1">
      <c r="A4" s="9">
        <v>2</v>
      </c>
      <c r="B4" s="9" t="s">
        <v>74</v>
      </c>
      <c r="C4" s="23">
        <v>1</v>
      </c>
      <c r="D4" s="23">
        <v>1</v>
      </c>
      <c r="E4" s="23">
        <v>1</v>
      </c>
      <c r="F4" s="23">
        <v>1</v>
      </c>
      <c r="G4" s="20"/>
      <c r="H4" s="20">
        <f>SUM(C4:G4)</f>
        <v>4</v>
      </c>
      <c r="I4" s="20">
        <v>31000</v>
      </c>
      <c r="J4" s="20">
        <f>H4*I4</f>
        <v>124000</v>
      </c>
      <c r="K4" s="29" t="s">
        <v>75</v>
      </c>
    </row>
    <row r="5" spans="1:11" ht="30" customHeight="1">
      <c r="A5" s="9">
        <v>3</v>
      </c>
      <c r="B5" s="9" t="s">
        <v>76</v>
      </c>
      <c r="C5" s="23">
        <v>1</v>
      </c>
      <c r="D5" s="23">
        <v>1</v>
      </c>
      <c r="E5" s="23">
        <v>1</v>
      </c>
      <c r="F5" s="23">
        <v>1</v>
      </c>
      <c r="G5" s="23"/>
      <c r="H5" s="23">
        <f>SUM(C5:G5)</f>
        <v>4</v>
      </c>
      <c r="I5" s="23">
        <v>27794</v>
      </c>
      <c r="J5" s="28">
        <f>H5*I5</f>
        <v>111176</v>
      </c>
      <c r="K5" s="29" t="s">
        <v>77</v>
      </c>
    </row>
    <row r="6" spans="1:11">
      <c r="A6" s="9">
        <v>4</v>
      </c>
      <c r="B6" s="9" t="s">
        <v>78</v>
      </c>
      <c r="C6" s="23">
        <v>1</v>
      </c>
      <c r="D6" s="23">
        <v>1</v>
      </c>
      <c r="E6" s="23">
        <v>1</v>
      </c>
      <c r="F6" s="23">
        <v>0</v>
      </c>
      <c r="G6" s="23"/>
      <c r="H6" s="23">
        <f>SUM(C6:G6)</f>
        <v>3</v>
      </c>
      <c r="I6" s="23">
        <v>27794</v>
      </c>
      <c r="J6" s="28">
        <f>H6*I6</f>
        <v>83382</v>
      </c>
      <c r="K6" s="9" t="s">
        <v>79</v>
      </c>
    </row>
    <row r="7" spans="1:11">
      <c r="A7" s="9"/>
      <c r="B7" s="6" t="s">
        <v>80</v>
      </c>
      <c r="C7" s="101"/>
      <c r="D7" s="95"/>
      <c r="E7" s="95"/>
      <c r="F7" s="95"/>
      <c r="G7" s="90"/>
      <c r="H7" s="23"/>
      <c r="I7" s="23"/>
      <c r="J7" s="28"/>
    </row>
    <row r="8" spans="1:11">
      <c r="A8" s="9">
        <v>5</v>
      </c>
      <c r="B8" s="7" t="s">
        <v>76</v>
      </c>
      <c r="C8" s="23"/>
      <c r="D8" s="23"/>
      <c r="E8" s="23"/>
      <c r="F8" s="23"/>
      <c r="G8" s="23">
        <v>1</v>
      </c>
      <c r="H8" s="30">
        <v>0</v>
      </c>
      <c r="I8" s="23">
        <v>27794</v>
      </c>
      <c r="J8" s="28">
        <f>H8*I8</f>
        <v>0</v>
      </c>
      <c r="K8" s="102" t="s">
        <v>81</v>
      </c>
    </row>
    <row r="9" spans="1:11">
      <c r="A9" s="9">
        <v>6</v>
      </c>
      <c r="B9" s="7" t="s">
        <v>82</v>
      </c>
      <c r="C9" s="23"/>
      <c r="D9" s="23"/>
      <c r="E9" s="23"/>
      <c r="F9" s="23"/>
      <c r="G9" s="23">
        <v>1</v>
      </c>
      <c r="H9" s="23">
        <v>1</v>
      </c>
      <c r="I9" s="23">
        <v>27794</v>
      </c>
      <c r="J9" s="28">
        <f>H9*I9</f>
        <v>27794</v>
      </c>
      <c r="K9" s="103"/>
    </row>
    <row r="10" spans="1:11">
      <c r="A10" s="9">
        <v>7</v>
      </c>
      <c r="B10" s="7" t="s">
        <v>83</v>
      </c>
      <c r="C10" s="23"/>
      <c r="D10" s="23"/>
      <c r="E10" s="23"/>
      <c r="F10" s="23"/>
      <c r="G10" s="23">
        <v>2</v>
      </c>
      <c r="H10" s="23">
        <v>2</v>
      </c>
      <c r="I10" s="23">
        <v>27794</v>
      </c>
      <c r="J10" s="28">
        <f>H10*I10</f>
        <v>55588</v>
      </c>
      <c r="K10" s="104"/>
    </row>
    <row r="11" spans="1:11">
      <c r="A11" s="9">
        <v>8</v>
      </c>
      <c r="B11" s="7" t="s">
        <v>84</v>
      </c>
      <c r="C11" s="23"/>
      <c r="D11" s="23"/>
      <c r="E11" s="23"/>
      <c r="F11" s="23"/>
      <c r="G11" s="23">
        <v>1</v>
      </c>
      <c r="H11" s="30">
        <v>1</v>
      </c>
      <c r="I11" s="23">
        <v>23000</v>
      </c>
      <c r="J11" s="28">
        <f>H11*I11</f>
        <v>23000</v>
      </c>
      <c r="K11" s="9" t="s">
        <v>85</v>
      </c>
    </row>
    <row r="12" spans="1:11">
      <c r="A12" s="9"/>
      <c r="B12" s="6" t="s">
        <v>86</v>
      </c>
      <c r="C12" s="23"/>
      <c r="D12" s="23"/>
      <c r="E12" s="23"/>
      <c r="F12" s="23"/>
      <c r="G12" s="23"/>
      <c r="H12" s="23"/>
      <c r="I12" s="23"/>
      <c r="J12" s="28"/>
      <c r="K12" s="9"/>
    </row>
    <row r="13" spans="1:11">
      <c r="A13" s="9">
        <v>9</v>
      </c>
      <c r="B13" s="9" t="s">
        <v>87</v>
      </c>
      <c r="C13" s="23"/>
      <c r="D13" s="23"/>
      <c r="E13" s="23"/>
      <c r="F13" s="23"/>
      <c r="G13" s="23">
        <v>1</v>
      </c>
      <c r="H13" s="23">
        <f>SUM(C13:G13)</f>
        <v>1</v>
      </c>
      <c r="I13" s="23">
        <v>26120</v>
      </c>
      <c r="J13" s="28">
        <f>H13*I13</f>
        <v>26120</v>
      </c>
      <c r="K13" s="9"/>
    </row>
    <row r="14" spans="1:11">
      <c r="A14" s="9">
        <v>10</v>
      </c>
      <c r="B14" s="9" t="s">
        <v>88</v>
      </c>
      <c r="C14" s="23"/>
      <c r="D14" s="23"/>
      <c r="E14" s="23"/>
      <c r="F14" s="23"/>
      <c r="G14" s="23">
        <v>0</v>
      </c>
      <c r="H14" s="30">
        <f>SUM(C14:G14)</f>
        <v>0</v>
      </c>
      <c r="I14" s="23">
        <v>26109</v>
      </c>
      <c r="J14" s="28">
        <f>H14*I14</f>
        <v>0</v>
      </c>
      <c r="K14" s="9"/>
    </row>
    <row r="15" spans="1:11">
      <c r="A15" s="9">
        <v>11</v>
      </c>
      <c r="B15" s="9" t="s">
        <v>89</v>
      </c>
      <c r="C15" s="23"/>
      <c r="D15" s="23"/>
      <c r="E15" s="23"/>
      <c r="F15" s="23"/>
      <c r="G15" s="23">
        <v>0</v>
      </c>
      <c r="H15" s="30">
        <v>0</v>
      </c>
      <c r="I15" s="23">
        <v>26120</v>
      </c>
      <c r="J15" s="28">
        <f>H15*I15</f>
        <v>0</v>
      </c>
      <c r="K15" s="9"/>
    </row>
    <row r="16" spans="1:11">
      <c r="A16" s="6"/>
      <c r="B16" s="6" t="s">
        <v>90</v>
      </c>
      <c r="C16" s="27">
        <f>SUM(C2:C14)</f>
        <v>4</v>
      </c>
      <c r="D16" s="27">
        <f>SUM(D2:D14)</f>
        <v>4</v>
      </c>
      <c r="E16" s="27">
        <f>SUM(E2:E14)</f>
        <v>4</v>
      </c>
      <c r="F16" s="27">
        <f>SUM(F2:F14)</f>
        <v>3</v>
      </c>
      <c r="G16" s="27">
        <f>SUM(G2:G15)</f>
        <v>6</v>
      </c>
      <c r="H16" s="27">
        <f>SUM(C16:G16)</f>
        <v>21</v>
      </c>
      <c r="I16" s="27"/>
      <c r="J16" s="31">
        <f>SUM(J3:J15)</f>
        <v>588436</v>
      </c>
      <c r="K16" s="9"/>
    </row>
  </sheetData>
  <mergeCells count="2">
    <mergeCell ref="C7:G7"/>
    <mergeCell ref="K8:K10"/>
  </mergeCells>
  <pageMargins left="0.7" right="0.7" top="0.75" bottom="0.75" header="0.3" footer="0.3"/>
  <pageSetup scale="71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sqref="A1:XFD1"/>
    </sheetView>
  </sheetViews>
  <sheetFormatPr defaultColWidth="9" defaultRowHeight="15"/>
  <cols>
    <col min="1" max="1" width="6.7109375" style="1" bestFit="1" customWidth="1"/>
    <col min="2" max="2" width="48.42578125" style="1" bestFit="1" customWidth="1"/>
    <col min="3" max="3" width="5.140625" style="1" bestFit="1" customWidth="1"/>
    <col min="4" max="4" width="18" style="1" bestFit="1" customWidth="1"/>
    <col min="5" max="5" width="18.7109375" style="1" bestFit="1" customWidth="1"/>
    <col min="6" max="6" width="25.85546875" style="1" bestFit="1" customWidth="1"/>
    <col min="7" max="8" width="9" style="1" customWidth="1"/>
    <col min="9" max="16384" width="9" style="1"/>
  </cols>
  <sheetData>
    <row r="1" spans="1:6">
      <c r="A1" s="6" t="s">
        <v>5</v>
      </c>
      <c r="B1" s="6" t="s">
        <v>6</v>
      </c>
      <c r="C1" s="6" t="s">
        <v>91</v>
      </c>
      <c r="D1" s="6" t="s">
        <v>92</v>
      </c>
      <c r="E1" s="6" t="s">
        <v>93</v>
      </c>
      <c r="F1" s="6" t="s">
        <v>94</v>
      </c>
    </row>
    <row r="2" spans="1:6">
      <c r="A2" s="23">
        <v>1</v>
      </c>
      <c r="B2" s="9" t="s">
        <v>95</v>
      </c>
      <c r="C2" s="23">
        <v>1</v>
      </c>
      <c r="D2" s="21">
        <v>75000</v>
      </c>
      <c r="E2" s="21">
        <f>D2*12</f>
        <v>900000</v>
      </c>
      <c r="F2" s="81" t="s">
        <v>96</v>
      </c>
    </row>
    <row r="3" spans="1:6">
      <c r="A3" s="23">
        <v>2</v>
      </c>
      <c r="B3" s="9" t="s">
        <v>97</v>
      </c>
      <c r="C3" s="23">
        <v>10</v>
      </c>
      <c r="D3" s="21">
        <f>E3/10</f>
        <v>175000</v>
      </c>
      <c r="E3" s="21">
        <f>175000*10</f>
        <v>1750000</v>
      </c>
      <c r="F3" s="81" t="s">
        <v>98</v>
      </c>
    </row>
    <row r="4" spans="1:6">
      <c r="A4" s="23">
        <v>3</v>
      </c>
      <c r="B4" s="9" t="s">
        <v>99</v>
      </c>
      <c r="C4" s="23">
        <v>2</v>
      </c>
      <c r="D4" s="21">
        <f>E4/12</f>
        <v>25000</v>
      </c>
      <c r="E4" s="21">
        <f>150000*2</f>
        <v>300000</v>
      </c>
      <c r="F4" s="81" t="s">
        <v>98</v>
      </c>
    </row>
    <row r="5" spans="1:6">
      <c r="A5" s="23">
        <v>4</v>
      </c>
      <c r="B5" s="9" t="s">
        <v>100</v>
      </c>
      <c r="C5" s="23" t="s">
        <v>57</v>
      </c>
      <c r="D5" s="21">
        <v>70000</v>
      </c>
      <c r="E5" s="21">
        <f>D5*12</f>
        <v>840000</v>
      </c>
      <c r="F5" s="81" t="s">
        <v>96</v>
      </c>
    </row>
    <row r="6" spans="1:6">
      <c r="A6" s="23">
        <v>5</v>
      </c>
      <c r="B6" s="9" t="s">
        <v>101</v>
      </c>
      <c r="C6" s="23">
        <v>3</v>
      </c>
      <c r="D6" s="21">
        <f>E6/12</f>
        <v>118750</v>
      </c>
      <c r="E6" s="21">
        <f>3*500*950</f>
        <v>1425000</v>
      </c>
      <c r="F6" s="81" t="s">
        <v>98</v>
      </c>
    </row>
    <row r="7" spans="1:6">
      <c r="A7" s="23">
        <v>6</v>
      </c>
      <c r="B7" s="9" t="s">
        <v>102</v>
      </c>
      <c r="C7" s="23" t="s">
        <v>57</v>
      </c>
      <c r="D7" s="21">
        <v>40000</v>
      </c>
      <c r="E7" s="24">
        <f>D7*12</f>
        <v>480000</v>
      </c>
      <c r="F7" s="81" t="s">
        <v>98</v>
      </c>
    </row>
    <row r="8" spans="1:6">
      <c r="A8" s="23">
        <v>7</v>
      </c>
      <c r="B8" s="9" t="s">
        <v>103</v>
      </c>
      <c r="C8" s="23"/>
      <c r="D8" s="21">
        <v>8000</v>
      </c>
      <c r="E8" s="21">
        <f>D8*12</f>
        <v>96000</v>
      </c>
      <c r="F8" s="81" t="s">
        <v>96</v>
      </c>
    </row>
    <row r="9" spans="1:6">
      <c r="A9" s="23">
        <v>8</v>
      </c>
      <c r="B9" s="9" t="s">
        <v>104</v>
      </c>
      <c r="C9" s="23"/>
      <c r="D9" s="21">
        <v>8000</v>
      </c>
      <c r="E9" s="21">
        <f>D9*12</f>
        <v>96000</v>
      </c>
      <c r="F9" s="81" t="s">
        <v>96</v>
      </c>
    </row>
    <row r="10" spans="1:6">
      <c r="A10" s="23">
        <v>9</v>
      </c>
      <c r="B10" s="9" t="s">
        <v>105</v>
      </c>
      <c r="C10" s="23">
        <v>2</v>
      </c>
      <c r="D10" s="21">
        <f>E10/12</f>
        <v>16666.666666666668</v>
      </c>
      <c r="E10" s="21">
        <f>100000*2</f>
        <v>200000</v>
      </c>
      <c r="F10" s="81" t="s">
        <v>96</v>
      </c>
    </row>
    <row r="11" spans="1:6">
      <c r="A11" s="23">
        <v>10</v>
      </c>
      <c r="B11" s="9" t="s">
        <v>106</v>
      </c>
      <c r="C11" s="23"/>
      <c r="D11" s="21">
        <v>18000</v>
      </c>
      <c r="E11" s="21">
        <f>D11*12</f>
        <v>216000</v>
      </c>
      <c r="F11" s="81" t="s">
        <v>98</v>
      </c>
    </row>
    <row r="12" spans="1:6">
      <c r="A12" s="23">
        <v>11</v>
      </c>
      <c r="B12" s="9" t="s">
        <v>107</v>
      </c>
      <c r="C12" s="23"/>
      <c r="D12" s="21">
        <v>35000</v>
      </c>
      <c r="E12" s="21">
        <f>D12*12</f>
        <v>420000</v>
      </c>
      <c r="F12" s="81" t="s">
        <v>96</v>
      </c>
    </row>
    <row r="13" spans="1:6">
      <c r="A13" s="23">
        <v>12</v>
      </c>
      <c r="B13" s="9" t="s">
        <v>108</v>
      </c>
      <c r="C13" s="23"/>
      <c r="D13" s="21">
        <v>50000</v>
      </c>
      <c r="E13" s="21">
        <f>D13*12</f>
        <v>600000</v>
      </c>
      <c r="F13" s="81" t="s">
        <v>98</v>
      </c>
    </row>
    <row r="14" spans="1:6">
      <c r="A14" s="23">
        <v>13</v>
      </c>
      <c r="B14" s="9" t="s">
        <v>109</v>
      </c>
      <c r="C14" s="23"/>
      <c r="D14" s="21">
        <f>E14/12</f>
        <v>16666.666666666668</v>
      </c>
      <c r="E14" s="21">
        <v>200000</v>
      </c>
      <c r="F14" s="81" t="s">
        <v>96</v>
      </c>
    </row>
    <row r="15" spans="1:6">
      <c r="A15" s="23">
        <v>14</v>
      </c>
      <c r="B15" s="9" t="s">
        <v>110</v>
      </c>
      <c r="C15" s="23">
        <v>3</v>
      </c>
      <c r="D15" s="21">
        <f>E15/12</f>
        <v>6250</v>
      </c>
      <c r="E15" s="21">
        <v>75000</v>
      </c>
      <c r="F15" s="81" t="s">
        <v>98</v>
      </c>
    </row>
    <row r="16" spans="1:6">
      <c r="A16" s="23">
        <v>15</v>
      </c>
      <c r="B16" s="9" t="s">
        <v>78</v>
      </c>
      <c r="C16" s="23"/>
      <c r="D16" s="21">
        <v>10000</v>
      </c>
      <c r="E16" s="21">
        <f>D16*12</f>
        <v>120000</v>
      </c>
      <c r="F16" s="81" t="s">
        <v>98</v>
      </c>
    </row>
    <row r="17" spans="1:6">
      <c r="A17" s="23">
        <v>16</v>
      </c>
      <c r="B17" s="9" t="s">
        <v>111</v>
      </c>
      <c r="C17" s="23">
        <v>1</v>
      </c>
      <c r="D17" s="21">
        <v>45000</v>
      </c>
      <c r="E17" s="21">
        <f>D17*12</f>
        <v>540000</v>
      </c>
      <c r="F17" s="81" t="s">
        <v>96</v>
      </c>
    </row>
    <row r="18" spans="1:6">
      <c r="A18" s="23">
        <v>17</v>
      </c>
      <c r="B18" s="9" t="s">
        <v>112</v>
      </c>
      <c r="C18" s="23"/>
      <c r="D18" s="21">
        <f>E18/12</f>
        <v>66500</v>
      </c>
      <c r="E18" s="21">
        <f>198000+150000+450000</f>
        <v>798000</v>
      </c>
      <c r="F18" s="81" t="s">
        <v>96</v>
      </c>
    </row>
    <row r="19" spans="1:6">
      <c r="A19" s="23">
        <v>18</v>
      </c>
      <c r="B19" s="9" t="s">
        <v>113</v>
      </c>
      <c r="C19" s="23">
        <v>2</v>
      </c>
      <c r="D19" s="21">
        <f>E19/12</f>
        <v>16666.666666666668</v>
      </c>
      <c r="E19" s="21">
        <v>200000</v>
      </c>
      <c r="F19" s="81" t="s">
        <v>96</v>
      </c>
    </row>
    <row r="20" spans="1:6">
      <c r="A20" s="23">
        <v>19</v>
      </c>
      <c r="B20" s="9" t="s">
        <v>114</v>
      </c>
      <c r="C20" s="23">
        <v>6</v>
      </c>
      <c r="D20" s="21">
        <f>25000*C20</f>
        <v>150000</v>
      </c>
      <c r="E20" s="21">
        <f>D20*12</f>
        <v>1800000</v>
      </c>
      <c r="F20" s="81" t="s">
        <v>96</v>
      </c>
    </row>
    <row r="21" spans="1:6">
      <c r="A21" s="23">
        <v>20</v>
      </c>
      <c r="B21" s="9" t="s">
        <v>115</v>
      </c>
      <c r="C21" s="23">
        <v>140</v>
      </c>
      <c r="D21" s="21">
        <f>E21/12</f>
        <v>46666.666666666664</v>
      </c>
      <c r="E21" s="21">
        <f>C21*4000</f>
        <v>560000</v>
      </c>
      <c r="F21" s="81" t="s">
        <v>98</v>
      </c>
    </row>
    <row r="22" spans="1:6">
      <c r="A22" s="23">
        <v>21</v>
      </c>
      <c r="B22" s="9" t="s">
        <v>116</v>
      </c>
      <c r="C22" s="23">
        <v>3</v>
      </c>
      <c r="D22" s="21">
        <v>15000</v>
      </c>
      <c r="E22" s="21">
        <f>D22*12</f>
        <v>180000</v>
      </c>
      <c r="F22" s="81" t="s">
        <v>96</v>
      </c>
    </row>
    <row r="23" spans="1:6">
      <c r="A23" s="9"/>
      <c r="B23" s="9"/>
      <c r="C23" s="9"/>
      <c r="D23" s="25">
        <f>SUM(D2:D22)</f>
        <v>1012166.6666666665</v>
      </c>
      <c r="E23" s="25">
        <f>SUM(E2:E22)</f>
        <v>11796000</v>
      </c>
      <c r="F2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F22" sqref="F22"/>
    </sheetView>
  </sheetViews>
  <sheetFormatPr defaultColWidth="9" defaultRowHeight="15"/>
  <cols>
    <col min="1" max="1" width="6.7109375" style="1" bestFit="1" customWidth="1"/>
    <col min="2" max="2" width="42.42578125" style="1" bestFit="1" customWidth="1"/>
    <col min="3" max="3" width="8.7109375" style="1" bestFit="1" customWidth="1"/>
    <col min="4" max="4" width="8.85546875" style="1" bestFit="1" customWidth="1"/>
    <col min="5" max="5" width="8.5703125" style="1" bestFit="1" customWidth="1"/>
    <col min="6" max="6" width="9" style="1" bestFit="1" customWidth="1"/>
    <col min="7" max="7" width="6.5703125" style="1" bestFit="1" customWidth="1"/>
    <col min="8" max="8" width="18.28515625" style="1" bestFit="1" customWidth="1"/>
    <col min="9" max="9" width="15.42578125" style="1" bestFit="1" customWidth="1"/>
    <col min="10" max="11" width="9" style="1" customWidth="1"/>
    <col min="12" max="16384" width="9" style="1"/>
  </cols>
  <sheetData>
    <row r="1" spans="1:9">
      <c r="A1" s="6" t="s">
        <v>5</v>
      </c>
      <c r="B1" s="6" t="s">
        <v>6</v>
      </c>
      <c r="C1" s="11" t="s">
        <v>61</v>
      </c>
      <c r="D1" s="11" t="s">
        <v>62</v>
      </c>
      <c r="E1" s="11" t="s">
        <v>117</v>
      </c>
      <c r="F1" s="11" t="s">
        <v>118</v>
      </c>
      <c r="G1" s="11" t="s">
        <v>66</v>
      </c>
      <c r="H1" s="11" t="s">
        <v>119</v>
      </c>
      <c r="I1" s="11" t="s">
        <v>68</v>
      </c>
    </row>
    <row r="2" spans="1:9">
      <c r="A2" s="9">
        <v>1</v>
      </c>
      <c r="B2" s="9" t="s">
        <v>120</v>
      </c>
      <c r="C2" s="13">
        <v>1</v>
      </c>
      <c r="D2" s="13">
        <v>1</v>
      </c>
      <c r="E2" s="13">
        <v>1</v>
      </c>
      <c r="F2" s="13"/>
      <c r="G2" s="13">
        <f t="shared" ref="G2:G10" si="0">SUM(C2:F2)</f>
        <v>3</v>
      </c>
      <c r="H2" s="21">
        <v>30000</v>
      </c>
      <c r="I2" s="21">
        <f t="shared" ref="I2:I10" si="1">H2*G2</f>
        <v>90000</v>
      </c>
    </row>
    <row r="3" spans="1:9">
      <c r="A3" s="9">
        <v>2</v>
      </c>
      <c r="B3" s="81" t="s">
        <v>121</v>
      </c>
      <c r="C3" s="13">
        <v>1</v>
      </c>
      <c r="D3" s="13">
        <v>1</v>
      </c>
      <c r="E3" s="13">
        <v>0</v>
      </c>
      <c r="F3" s="13">
        <v>0</v>
      </c>
      <c r="G3" s="13">
        <f t="shared" si="0"/>
        <v>2</v>
      </c>
      <c r="H3" s="21">
        <v>22000</v>
      </c>
      <c r="I3" s="21">
        <f t="shared" si="1"/>
        <v>44000</v>
      </c>
    </row>
    <row r="4" spans="1:9">
      <c r="A4" s="9">
        <v>3</v>
      </c>
      <c r="B4" s="81" t="s">
        <v>122</v>
      </c>
      <c r="C4" s="13">
        <v>4</v>
      </c>
      <c r="D4" s="13">
        <v>4</v>
      </c>
      <c r="E4" s="13">
        <v>0</v>
      </c>
      <c r="F4" s="13">
        <v>0</v>
      </c>
      <c r="G4" s="13">
        <f t="shared" si="0"/>
        <v>8</v>
      </c>
      <c r="H4" s="21">
        <v>22000</v>
      </c>
      <c r="I4" s="21">
        <f t="shared" si="1"/>
        <v>176000</v>
      </c>
    </row>
    <row r="5" spans="1:9">
      <c r="A5" s="9">
        <v>4</v>
      </c>
      <c r="B5" s="81" t="s">
        <v>123</v>
      </c>
      <c r="C5" s="13">
        <v>1</v>
      </c>
      <c r="D5" s="13">
        <v>1</v>
      </c>
      <c r="E5" s="13">
        <v>0</v>
      </c>
      <c r="F5" s="13">
        <v>0</v>
      </c>
      <c r="G5" s="13">
        <f t="shared" si="0"/>
        <v>2</v>
      </c>
      <c r="H5" s="21">
        <v>22000</v>
      </c>
      <c r="I5" s="21">
        <f t="shared" si="1"/>
        <v>44000</v>
      </c>
    </row>
    <row r="6" spans="1:9">
      <c r="A6" s="9">
        <v>5</v>
      </c>
      <c r="B6" s="81" t="s">
        <v>124</v>
      </c>
      <c r="C6" s="13">
        <v>1</v>
      </c>
      <c r="D6" s="13">
        <v>1</v>
      </c>
      <c r="E6" s="13">
        <v>0</v>
      </c>
      <c r="F6" s="13">
        <v>0</v>
      </c>
      <c r="G6" s="13">
        <f t="shared" si="0"/>
        <v>2</v>
      </c>
      <c r="H6" s="21">
        <v>22000</v>
      </c>
      <c r="I6" s="21">
        <f t="shared" si="1"/>
        <v>44000</v>
      </c>
    </row>
    <row r="7" spans="1:9">
      <c r="A7" s="9">
        <v>6</v>
      </c>
      <c r="B7" s="81" t="s">
        <v>125</v>
      </c>
      <c r="C7" s="13">
        <v>8</v>
      </c>
      <c r="D7" s="13">
        <v>8</v>
      </c>
      <c r="E7" s="13">
        <v>4</v>
      </c>
      <c r="F7" s="13">
        <v>0</v>
      </c>
      <c r="G7" s="13">
        <f t="shared" si="0"/>
        <v>20</v>
      </c>
      <c r="H7" s="21">
        <v>22000</v>
      </c>
      <c r="I7" s="21">
        <f t="shared" si="1"/>
        <v>440000</v>
      </c>
    </row>
    <row r="8" spans="1:9">
      <c r="A8" s="9">
        <v>7</v>
      </c>
      <c r="B8" s="81" t="s">
        <v>126</v>
      </c>
      <c r="C8" s="13">
        <v>0</v>
      </c>
      <c r="D8" s="13">
        <v>1</v>
      </c>
      <c r="E8" s="13">
        <v>0</v>
      </c>
      <c r="F8" s="13">
        <v>0</v>
      </c>
      <c r="G8" s="13">
        <f t="shared" si="0"/>
        <v>1</v>
      </c>
      <c r="H8" s="21">
        <v>22000</v>
      </c>
      <c r="I8" s="21">
        <f t="shared" si="1"/>
        <v>22000</v>
      </c>
    </row>
    <row r="9" spans="1:9">
      <c r="A9" s="9">
        <v>8</v>
      </c>
      <c r="B9" s="81" t="s">
        <v>127</v>
      </c>
      <c r="C9" s="13">
        <v>0</v>
      </c>
      <c r="D9" s="13">
        <v>0</v>
      </c>
      <c r="E9" s="13">
        <v>0</v>
      </c>
      <c r="F9" s="13">
        <v>1</v>
      </c>
      <c r="G9" s="13">
        <f t="shared" si="0"/>
        <v>1</v>
      </c>
      <c r="H9" s="21">
        <v>22000</v>
      </c>
      <c r="I9" s="21">
        <f t="shared" si="1"/>
        <v>22000</v>
      </c>
    </row>
    <row r="10" spans="1:9">
      <c r="A10" s="9">
        <v>9</v>
      </c>
      <c r="B10" s="81" t="s">
        <v>128</v>
      </c>
      <c r="C10" s="13">
        <v>0</v>
      </c>
      <c r="D10" s="13">
        <v>0</v>
      </c>
      <c r="E10" s="13">
        <v>0</v>
      </c>
      <c r="F10" s="13">
        <v>1</v>
      </c>
      <c r="G10" s="13">
        <f t="shared" si="0"/>
        <v>1</v>
      </c>
      <c r="H10" s="21">
        <v>22000</v>
      </c>
      <c r="I10" s="21">
        <f t="shared" si="1"/>
        <v>22000</v>
      </c>
    </row>
    <row r="11" spans="1:9">
      <c r="A11" s="9"/>
      <c r="B11" s="6" t="s">
        <v>66</v>
      </c>
      <c r="C11" s="13">
        <f>SUM(C2:C10)</f>
        <v>16</v>
      </c>
      <c r="D11" s="13">
        <f>SUM(D2:D10)</f>
        <v>17</v>
      </c>
      <c r="E11" s="13">
        <f>SUM(E2:E10)</f>
        <v>5</v>
      </c>
      <c r="F11" s="13">
        <f>SUM(F2:F10)</f>
        <v>2</v>
      </c>
      <c r="G11" s="11">
        <f>SUM(C11:F11)</f>
        <v>40</v>
      </c>
      <c r="H11" s="13"/>
      <c r="I11" s="22">
        <f>SUM(I2:I10)</f>
        <v>904000</v>
      </c>
    </row>
    <row r="12" spans="1:9">
      <c r="A12" s="9"/>
      <c r="B12" s="9"/>
      <c r="C12" s="13"/>
      <c r="D12" s="13"/>
      <c r="E12" s="13"/>
      <c r="F12" s="13"/>
      <c r="G12" s="13"/>
      <c r="H12" s="13"/>
      <c r="I1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workbookViewId="0">
      <selection activeCell="H23" sqref="H23"/>
    </sheetView>
  </sheetViews>
  <sheetFormatPr defaultRowHeight="15"/>
  <cols>
    <col min="1" max="1" width="11.7109375" style="107" bestFit="1" customWidth="1"/>
    <col min="2" max="2" width="45.7109375" bestFit="1" customWidth="1"/>
    <col min="3" max="3" width="14.7109375" style="107" bestFit="1" customWidth="1"/>
  </cols>
  <sheetData>
    <row r="1" spans="1:3">
      <c r="A1" s="107" t="s">
        <v>5</v>
      </c>
      <c r="B1" t="s">
        <v>6</v>
      </c>
      <c r="C1" s="107" t="s">
        <v>92</v>
      </c>
    </row>
    <row r="2" spans="1:3">
      <c r="A2" s="107">
        <v>1</v>
      </c>
      <c r="B2" t="s">
        <v>129</v>
      </c>
      <c r="C2" s="107">
        <v>50000</v>
      </c>
    </row>
    <row r="3" spans="1:3">
      <c r="A3" s="108" t="s">
        <v>195</v>
      </c>
      <c r="B3" t="s">
        <v>130</v>
      </c>
    </row>
    <row r="4" spans="1:3">
      <c r="A4" s="108" t="s">
        <v>196</v>
      </c>
      <c r="B4" t="s">
        <v>131</v>
      </c>
    </row>
    <row r="5" spans="1:3">
      <c r="A5" s="108" t="s">
        <v>197</v>
      </c>
      <c r="B5" t="s">
        <v>132</v>
      </c>
    </row>
    <row r="6" spans="1:3">
      <c r="A6" s="108" t="s">
        <v>198</v>
      </c>
      <c r="B6" t="s">
        <v>133</v>
      </c>
    </row>
    <row r="7" spans="1:3">
      <c r="A7" s="108" t="s">
        <v>199</v>
      </c>
      <c r="B7" t="s">
        <v>134</v>
      </c>
    </row>
    <row r="8" spans="1:3">
      <c r="A8" s="108" t="s">
        <v>200</v>
      </c>
      <c r="B8" t="s">
        <v>135</v>
      </c>
    </row>
    <row r="9" spans="1:3">
      <c r="A9" s="108" t="s">
        <v>201</v>
      </c>
      <c r="B9" t="s">
        <v>136</v>
      </c>
    </row>
    <row r="10" spans="1:3">
      <c r="A10" s="108" t="s">
        <v>202</v>
      </c>
      <c r="B10" t="s">
        <v>137</v>
      </c>
    </row>
    <row r="11" spans="1:3">
      <c r="A11" s="107">
        <v>2</v>
      </c>
      <c r="B11" t="s">
        <v>138</v>
      </c>
      <c r="C11" s="107">
        <v>30000</v>
      </c>
    </row>
    <row r="12" spans="1:3">
      <c r="A12" s="108" t="s">
        <v>195</v>
      </c>
      <c r="B12" t="s">
        <v>139</v>
      </c>
    </row>
    <row r="13" spans="1:3">
      <c r="A13" s="108" t="s">
        <v>196</v>
      </c>
      <c r="B13" t="s">
        <v>140</v>
      </c>
    </row>
    <row r="14" spans="1:3">
      <c r="A14" s="108" t="s">
        <v>197</v>
      </c>
      <c r="B14" t="s">
        <v>141</v>
      </c>
    </row>
    <row r="15" spans="1:3">
      <c r="A15" s="108" t="s">
        <v>198</v>
      </c>
      <c r="B15" t="s">
        <v>142</v>
      </c>
    </row>
    <row r="16" spans="1:3">
      <c r="A16" s="108" t="s">
        <v>199</v>
      </c>
      <c r="B16" t="s">
        <v>143</v>
      </c>
    </row>
    <row r="17" spans="1:3">
      <c r="A17" s="108" t="s">
        <v>200</v>
      </c>
      <c r="B17" t="s">
        <v>144</v>
      </c>
    </row>
    <row r="18" spans="1:3">
      <c r="A18" s="107">
        <v>3</v>
      </c>
      <c r="B18" t="s">
        <v>145</v>
      </c>
      <c r="C18" s="107">
        <v>200000</v>
      </c>
    </row>
    <row r="19" spans="1:3">
      <c r="A19" s="108" t="s">
        <v>195</v>
      </c>
      <c r="B19" t="s">
        <v>146</v>
      </c>
    </row>
    <row r="20" spans="1:3">
      <c r="A20" s="108" t="s">
        <v>196</v>
      </c>
      <c r="B20" t="s">
        <v>147</v>
      </c>
    </row>
    <row r="21" spans="1:3">
      <c r="A21" s="108" t="s">
        <v>197</v>
      </c>
      <c r="B21" t="s">
        <v>148</v>
      </c>
    </row>
    <row r="22" spans="1:3">
      <c r="A22" s="107">
        <v>4</v>
      </c>
      <c r="B22" t="s">
        <v>149</v>
      </c>
      <c r="C22" s="107">
        <v>15000</v>
      </c>
    </row>
    <row r="23" spans="1:3">
      <c r="A23" s="108" t="s">
        <v>195</v>
      </c>
      <c r="B23" t="s">
        <v>150</v>
      </c>
    </row>
    <row r="24" spans="1:3">
      <c r="A24" s="108" t="s">
        <v>196</v>
      </c>
      <c r="B24" t="s">
        <v>151</v>
      </c>
    </row>
    <row r="25" spans="1:3">
      <c r="A25" s="108" t="s">
        <v>197</v>
      </c>
      <c r="B25" t="s">
        <v>152</v>
      </c>
    </row>
    <row r="26" spans="1:3">
      <c r="A26" s="107">
        <v>5</v>
      </c>
      <c r="B26" t="s">
        <v>153</v>
      </c>
      <c r="C26" s="107">
        <v>20000</v>
      </c>
    </row>
    <row r="27" spans="1:3">
      <c r="A27" s="108" t="s">
        <v>195</v>
      </c>
      <c r="B27" t="s">
        <v>154</v>
      </c>
    </row>
    <row r="28" spans="1:3">
      <c r="A28" s="107">
        <v>6</v>
      </c>
      <c r="B28" t="s">
        <v>155</v>
      </c>
      <c r="C28" s="107">
        <v>25000</v>
      </c>
    </row>
    <row r="29" spans="1:3">
      <c r="A29" s="108" t="s">
        <v>195</v>
      </c>
      <c r="B29" t="s">
        <v>156</v>
      </c>
    </row>
    <row r="30" spans="1:3">
      <c r="A30" s="108" t="s">
        <v>196</v>
      </c>
      <c r="B30" t="s">
        <v>157</v>
      </c>
    </row>
    <row r="31" spans="1:3">
      <c r="A31" s="108" t="s">
        <v>197</v>
      </c>
      <c r="B31" t="s">
        <v>158</v>
      </c>
    </row>
    <row r="32" spans="1:3">
      <c r="A32" s="107">
        <v>7</v>
      </c>
      <c r="B32" t="s">
        <v>159</v>
      </c>
      <c r="C32" s="107">
        <v>10000</v>
      </c>
    </row>
    <row r="33" spans="1:3">
      <c r="A33" s="107">
        <v>8</v>
      </c>
      <c r="B33" t="s">
        <v>160</v>
      </c>
      <c r="C33" s="107">
        <v>15000</v>
      </c>
    </row>
    <row r="34" spans="1:3">
      <c r="A34" s="107">
        <v>9</v>
      </c>
      <c r="B34" t="s">
        <v>161</v>
      </c>
      <c r="C34" s="107">
        <v>25000</v>
      </c>
    </row>
    <row r="35" spans="1:3">
      <c r="A35" s="107">
        <v>10</v>
      </c>
      <c r="B35" t="s">
        <v>162</v>
      </c>
      <c r="C35" s="107">
        <v>15000</v>
      </c>
    </row>
    <row r="36" spans="1:3">
      <c r="A36" s="108" t="s">
        <v>195</v>
      </c>
      <c r="B36" t="s">
        <v>163</v>
      </c>
    </row>
    <row r="37" spans="1:3">
      <c r="A37" s="107">
        <v>11</v>
      </c>
      <c r="B37" t="s">
        <v>164</v>
      </c>
      <c r="C37" s="107">
        <v>75000</v>
      </c>
    </row>
    <row r="38" spans="1:3">
      <c r="A38" s="107">
        <v>12</v>
      </c>
      <c r="B38" t="s">
        <v>165</v>
      </c>
      <c r="C38" s="107">
        <v>60000</v>
      </c>
    </row>
    <row r="39" spans="1:3">
      <c r="C39" s="107">
        <v>360000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>
      <selection activeCell="I23" sqref="I23"/>
    </sheetView>
  </sheetViews>
  <sheetFormatPr defaultColWidth="9" defaultRowHeight="15"/>
  <cols>
    <col min="1" max="1" width="5.42578125" style="1" customWidth="1"/>
    <col min="2" max="2" width="22.85546875" style="1" customWidth="1"/>
    <col min="3" max="3" width="7.5703125" style="1" customWidth="1"/>
    <col min="4" max="4" width="7.140625" style="1" customWidth="1"/>
    <col min="5" max="5" width="6.5703125" style="1" customWidth="1"/>
    <col min="6" max="6" width="9.85546875" style="1" bestFit="1" customWidth="1"/>
    <col min="7" max="7" width="14.28515625" style="1" bestFit="1" customWidth="1"/>
    <col min="8" max="8" width="9.140625" style="1" customWidth="1"/>
    <col min="9" max="10" width="9" style="1" customWidth="1"/>
    <col min="11" max="11" width="9.42578125" style="1" customWidth="1"/>
    <col min="12" max="13" width="9" style="1" customWidth="1"/>
    <col min="14" max="16384" width="9" style="1"/>
  </cols>
  <sheetData>
    <row r="1" spans="1:11" ht="15.75" customHeight="1">
      <c r="B1" s="105" t="s">
        <v>166</v>
      </c>
      <c r="C1" s="92"/>
      <c r="D1" s="92"/>
      <c r="E1" s="92"/>
      <c r="F1" s="92"/>
      <c r="G1" s="92"/>
      <c r="H1" s="92"/>
    </row>
    <row r="2" spans="1:11" ht="45" customHeight="1">
      <c r="A2" s="11" t="s">
        <v>167</v>
      </c>
      <c r="B2" s="12" t="s">
        <v>168</v>
      </c>
      <c r="C2" s="12" t="s">
        <v>169</v>
      </c>
      <c r="D2" s="12" t="s">
        <v>62</v>
      </c>
      <c r="E2" s="12" t="s">
        <v>66</v>
      </c>
      <c r="F2" s="12" t="s">
        <v>119</v>
      </c>
      <c r="G2" s="12" t="s">
        <v>68</v>
      </c>
    </row>
    <row r="3" spans="1:11">
      <c r="A3" s="13">
        <v>1</v>
      </c>
      <c r="B3" s="14" t="s">
        <v>170</v>
      </c>
      <c r="C3" s="106"/>
      <c r="D3" s="90"/>
      <c r="E3" s="14">
        <v>1</v>
      </c>
      <c r="F3" s="15">
        <v>40000</v>
      </c>
      <c r="G3" s="15">
        <f t="shared" ref="G3:G14" si="0">F3*E3</f>
        <v>40000</v>
      </c>
    </row>
    <row r="4" spans="1:11">
      <c r="A4" s="13">
        <v>2</v>
      </c>
      <c r="B4" s="14" t="s">
        <v>171</v>
      </c>
      <c r="C4" s="14">
        <v>1</v>
      </c>
      <c r="D4" s="14">
        <v>1</v>
      </c>
      <c r="E4" s="14">
        <f t="shared" ref="E4:E9" si="1">D4+C4</f>
        <v>2</v>
      </c>
      <c r="F4" s="15">
        <v>35000</v>
      </c>
      <c r="G4" s="15">
        <f t="shared" si="0"/>
        <v>70000</v>
      </c>
    </row>
    <row r="5" spans="1:11">
      <c r="A5" s="13">
        <v>3</v>
      </c>
      <c r="B5" s="82" t="s">
        <v>172</v>
      </c>
      <c r="C5" s="14">
        <v>1</v>
      </c>
      <c r="D5" s="14">
        <v>1</v>
      </c>
      <c r="E5" s="14">
        <f t="shared" si="1"/>
        <v>2</v>
      </c>
      <c r="F5" s="15">
        <v>29500</v>
      </c>
      <c r="G5" s="15">
        <f t="shared" si="0"/>
        <v>59000</v>
      </c>
    </row>
    <row r="6" spans="1:11">
      <c r="A6" s="13">
        <v>4</v>
      </c>
      <c r="B6" s="82" t="s">
        <v>173</v>
      </c>
      <c r="C6" s="14">
        <v>1</v>
      </c>
      <c r="D6" s="14">
        <v>1</v>
      </c>
      <c r="E6" s="14">
        <f t="shared" si="1"/>
        <v>2</v>
      </c>
      <c r="F6" s="15">
        <v>29500</v>
      </c>
      <c r="G6" s="15">
        <f t="shared" si="0"/>
        <v>59000</v>
      </c>
    </row>
    <row r="7" spans="1:11">
      <c r="A7" s="13">
        <v>5</v>
      </c>
      <c r="B7" s="82" t="s">
        <v>174</v>
      </c>
      <c r="C7" s="14">
        <v>1</v>
      </c>
      <c r="D7" s="14">
        <v>1</v>
      </c>
      <c r="E7" s="14">
        <f t="shared" si="1"/>
        <v>2</v>
      </c>
      <c r="F7" s="15">
        <v>29500</v>
      </c>
      <c r="G7" s="15">
        <f t="shared" si="0"/>
        <v>59000</v>
      </c>
    </row>
    <row r="8" spans="1:11">
      <c r="A8" s="13">
        <v>6</v>
      </c>
      <c r="B8" s="82" t="s">
        <v>175</v>
      </c>
      <c r="C8" s="14">
        <v>2</v>
      </c>
      <c r="D8" s="14">
        <v>2</v>
      </c>
      <c r="E8" s="14">
        <f t="shared" si="1"/>
        <v>4</v>
      </c>
      <c r="F8" s="15">
        <v>29500</v>
      </c>
      <c r="G8" s="15">
        <f t="shared" si="0"/>
        <v>118000</v>
      </c>
    </row>
    <row r="9" spans="1:11">
      <c r="A9" s="13">
        <v>7</v>
      </c>
      <c r="B9" s="82" t="s">
        <v>176</v>
      </c>
      <c r="C9" s="14">
        <v>2</v>
      </c>
      <c r="D9" s="14">
        <v>2</v>
      </c>
      <c r="E9" s="14">
        <f t="shared" si="1"/>
        <v>4</v>
      </c>
      <c r="F9" s="15">
        <v>29500</v>
      </c>
      <c r="G9" s="15">
        <f t="shared" si="0"/>
        <v>118000</v>
      </c>
      <c r="K9" s="19"/>
    </row>
    <row r="10" spans="1:11">
      <c r="A10" s="13">
        <v>8</v>
      </c>
      <c r="B10" s="82" t="s">
        <v>177</v>
      </c>
      <c r="C10" s="14">
        <v>2</v>
      </c>
      <c r="D10" s="14">
        <v>2</v>
      </c>
      <c r="E10" s="14">
        <v>4</v>
      </c>
      <c r="F10" s="15">
        <v>29500</v>
      </c>
      <c r="G10" s="15">
        <f t="shared" si="0"/>
        <v>118000</v>
      </c>
      <c r="K10" s="19"/>
    </row>
    <row r="11" spans="1:11" ht="30" customHeight="1">
      <c r="A11" s="13">
        <v>9</v>
      </c>
      <c r="B11" s="82" t="s">
        <v>178</v>
      </c>
      <c r="C11" s="14">
        <v>7</v>
      </c>
      <c r="D11" s="14">
        <v>7</v>
      </c>
      <c r="E11" s="14">
        <f>D11+C11</f>
        <v>14</v>
      </c>
      <c r="F11" s="15">
        <v>29500</v>
      </c>
      <c r="G11" s="15">
        <f t="shared" si="0"/>
        <v>413000</v>
      </c>
    </row>
    <row r="12" spans="1:11">
      <c r="A12" s="13">
        <v>10</v>
      </c>
      <c r="B12" s="82" t="s">
        <v>179</v>
      </c>
      <c r="C12" s="14">
        <v>0</v>
      </c>
      <c r="D12" s="14">
        <v>0</v>
      </c>
      <c r="E12" s="14">
        <f>D12+C12</f>
        <v>0</v>
      </c>
      <c r="F12" s="15">
        <v>29500</v>
      </c>
      <c r="G12" s="15">
        <f t="shared" si="0"/>
        <v>0</v>
      </c>
    </row>
    <row r="13" spans="1:11" ht="30" customHeight="1">
      <c r="A13" s="13">
        <v>11</v>
      </c>
      <c r="B13" s="82" t="s">
        <v>180</v>
      </c>
      <c r="C13" s="14">
        <v>1</v>
      </c>
      <c r="D13" s="14">
        <v>1</v>
      </c>
      <c r="E13" s="14">
        <f>D13+C13</f>
        <v>2</v>
      </c>
      <c r="F13" s="15">
        <v>29500</v>
      </c>
      <c r="G13" s="15">
        <f t="shared" si="0"/>
        <v>59000</v>
      </c>
    </row>
    <row r="14" spans="1:11">
      <c r="A14" s="13">
        <v>12</v>
      </c>
      <c r="B14" s="82" t="s">
        <v>181</v>
      </c>
      <c r="C14" s="14">
        <v>0</v>
      </c>
      <c r="D14" s="14">
        <v>1</v>
      </c>
      <c r="E14" s="14">
        <f>D14+C14</f>
        <v>1</v>
      </c>
      <c r="F14" s="15">
        <v>29500</v>
      </c>
      <c r="G14" s="15">
        <f t="shared" si="0"/>
        <v>29500</v>
      </c>
    </row>
    <row r="15" spans="1:11">
      <c r="A15" s="13"/>
      <c r="B15" s="16" t="s">
        <v>182</v>
      </c>
      <c r="C15" s="16">
        <f>SUM(C3:C14)</f>
        <v>18</v>
      </c>
      <c r="D15" s="16">
        <f>SUM(D4:D14)</f>
        <v>19</v>
      </c>
      <c r="E15" s="16">
        <f>SUM(E3:E14)</f>
        <v>38</v>
      </c>
      <c r="F15" s="16"/>
      <c r="G15" s="17">
        <f>SUM(G3:G14)</f>
        <v>1142500</v>
      </c>
    </row>
    <row r="16" spans="1:11">
      <c r="B16" s="18"/>
    </row>
  </sheetData>
  <mergeCells count="2">
    <mergeCell ref="B1:H1"/>
    <mergeCell ref="C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sqref="A1:XFD4"/>
    </sheetView>
  </sheetViews>
  <sheetFormatPr defaultColWidth="8.85546875" defaultRowHeight="15"/>
  <cols>
    <col min="1" max="1" width="9" style="1" customWidth="1"/>
    <col min="2" max="2" width="48.5703125" style="1" customWidth="1"/>
    <col min="3" max="3" width="12.42578125" style="1" customWidth="1"/>
    <col min="4" max="5" width="8.85546875" style="1" customWidth="1"/>
    <col min="6" max="16384" width="8.85546875" style="1"/>
  </cols>
  <sheetData>
    <row r="1" spans="1:3">
      <c r="A1" s="2"/>
      <c r="B1" s="83" t="s">
        <v>183</v>
      </c>
      <c r="C1" s="84" t="s">
        <v>184</v>
      </c>
    </row>
    <row r="2" spans="1:3">
      <c r="A2" s="3">
        <v>1</v>
      </c>
      <c r="B2" s="4" t="s">
        <v>185</v>
      </c>
      <c r="C2" s="5">
        <v>8333</v>
      </c>
    </row>
    <row r="3" spans="1:3">
      <c r="A3" s="3">
        <v>2</v>
      </c>
      <c r="B3" s="4" t="s">
        <v>186</v>
      </c>
      <c r="C3" s="5">
        <v>6000</v>
      </c>
    </row>
    <row r="4" spans="1:3">
      <c r="A4" s="3">
        <v>3</v>
      </c>
      <c r="B4" s="4" t="s">
        <v>187</v>
      </c>
      <c r="C4" s="5">
        <v>5000</v>
      </c>
    </row>
    <row r="5" spans="1:3">
      <c r="A5" s="3">
        <v>4</v>
      </c>
      <c r="B5" s="4" t="s">
        <v>188</v>
      </c>
      <c r="C5" s="5">
        <v>45000</v>
      </c>
    </row>
    <row r="6" spans="1:3">
      <c r="A6" s="3">
        <v>5</v>
      </c>
      <c r="B6" s="4" t="s">
        <v>189</v>
      </c>
      <c r="C6" s="5">
        <v>5000</v>
      </c>
    </row>
    <row r="7" spans="1:3">
      <c r="A7" s="3">
        <v>6</v>
      </c>
      <c r="B7" s="4" t="s">
        <v>190</v>
      </c>
      <c r="C7" s="5">
        <v>0</v>
      </c>
    </row>
    <row r="8" spans="1:3">
      <c r="A8" s="3">
        <v>7</v>
      </c>
      <c r="B8" s="4" t="s">
        <v>191</v>
      </c>
      <c r="C8" s="5">
        <v>5000</v>
      </c>
    </row>
    <row r="9" spans="1:3">
      <c r="A9" s="3">
        <v>8</v>
      </c>
      <c r="B9" s="4" t="s">
        <v>192</v>
      </c>
      <c r="C9" s="5">
        <f>800000/12</f>
        <v>66666.666666666672</v>
      </c>
    </row>
    <row r="10" spans="1:3" ht="15.75" customHeight="1">
      <c r="A10" s="3">
        <v>9</v>
      </c>
      <c r="B10" s="9" t="s">
        <v>193</v>
      </c>
      <c r="C10" s="71">
        <v>6000</v>
      </c>
    </row>
    <row r="11" spans="1:3">
      <c r="A11" s="3">
        <v>10</v>
      </c>
      <c r="B11" s="7" t="s">
        <v>194</v>
      </c>
      <c r="C11" s="8">
        <v>6000</v>
      </c>
    </row>
    <row r="12" spans="1:3">
      <c r="A12" s="9"/>
      <c r="B12" s="9" t="s">
        <v>66</v>
      </c>
      <c r="C12" s="10">
        <f>SUM(C2:C11)</f>
        <v>152999.66666666669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Consolidated</vt:lpstr>
      <vt:lpstr>Area Deatils</vt:lpstr>
      <vt:lpstr>Emerzhent Manpower</vt:lpstr>
      <vt:lpstr>Manpower - Technical</vt:lpstr>
      <vt:lpstr>AMC Charges</vt:lpstr>
      <vt:lpstr>HK Manpower</vt:lpstr>
      <vt:lpstr>Consumables</vt:lpstr>
      <vt:lpstr>LP Manpower</vt:lpstr>
      <vt:lpstr>Liosaning &amp; Licenses</vt:lpstr>
      <vt:lpstr>Consolidated!Print_Area</vt:lpstr>
      <vt:lpstr>'Manpower - Technical'!Print_Area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Engineer</dc:creator>
  <cp:lastModifiedBy>Venu</cp:lastModifiedBy>
  <cp:lastPrinted>2021-12-21T08:53:00Z</cp:lastPrinted>
  <dcterms:created xsi:type="dcterms:W3CDTF">2021-11-26T10:21:00Z</dcterms:created>
  <dcterms:modified xsi:type="dcterms:W3CDTF">2026-01-07T05:36:54Z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799E4BC79ADC46AFA031FAB1D8B38E56</vt:lpwstr>
  </property>
  <property fmtid="{D5CDD505-2E9C-101B-9397-08002B2CF9AE}" pid="3" name="KSOProductBuildVer">
    <vt:lpwstr>1033-11.2.0.11486</vt:lpwstr>
  </property>
</Properties>
</file>