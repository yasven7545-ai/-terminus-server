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Venu\Desktop\my_dashboard\static\data\"/>
    </mc:Choice>
  </mc:AlternateContent>
  <xr:revisionPtr revIDLastSave="0" documentId="13_ncr:1_{69779179-38E6-4D3A-B439-6B8BC389D53A}" xr6:coauthVersionLast="47" xr6:coauthVersionMax="47" xr10:uidLastSave="{00000000-0000-0000-0000-000000000000}"/>
  <bookViews>
    <workbookView xWindow="14295" yWindow="0" windowWidth="14610" windowHeight="15705" activeTab="2" xr2:uid="{00000000-000D-0000-FFFF-FFFF00000000}"/>
  </bookViews>
  <sheets>
    <sheet name="📋 Instructions" sheetId="1" r:id="rId1"/>
    <sheet name="Equipment" sheetId="2" r:id="rId2"/>
    <sheet name="Alarms" sheetId="3" r:id="rId3"/>
    <sheet name="Inspections" sheetId="4" r:id="rId4"/>
    <sheet name="Maintenance" sheetId="5" r:id="rId5"/>
    <sheet name="Incidents" sheetId="6" r:id="rId6"/>
    <sheet name="Response Team" sheetId="7" r:id="rId7"/>
    <sheet name="Drill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" i="8" l="1"/>
  <c r="G25" i="8"/>
  <c r="E25" i="8"/>
  <c r="J25" i="5"/>
  <c r="H25" i="5"/>
  <c r="F25" i="5"/>
  <c r="D25" i="5"/>
  <c r="L27" i="2"/>
  <c r="J27" i="2"/>
  <c r="H27" i="2"/>
  <c r="F27" i="2"/>
  <c r="B25" i="5"/>
</calcChain>
</file>

<file path=xl/sharedStrings.xml><?xml version="1.0" encoding="utf-8"?>
<sst xmlns="http://schemas.openxmlformats.org/spreadsheetml/2006/main" count="529" uniqueCount="361">
  <si>
    <t>🔥  SLN TERMINUS — FIRE FIGHTING MODULE  |  MASTER DATA TEMPLATE</t>
  </si>
  <si>
    <t xml:space="preserve">  Property: SLN Terminus  |  Module: Fire Fighting Safety  |  Template Version: 1.0  |  Generated: 23-Mar-2026</t>
  </si>
  <si>
    <t>SHEET INDEX — Click a sheet tab to navigate</t>
  </si>
  <si>
    <t>#</t>
  </si>
  <si>
    <t>Sheet Name</t>
  </si>
  <si>
    <t>Purpose</t>
  </si>
  <si>
    <t>Key Values (Dropdowns)</t>
  </si>
  <si>
    <t>Notes</t>
  </si>
  <si>
    <t>Equipment</t>
  </si>
  <si>
    <t>Fire assets register</t>
  </si>
  <si>
    <t>extinguisher, hydrant, hose_reel, sprinkler, pump, panel</t>
  </si>
  <si>
    <t>All fire fighting equipment with location, dates, status</t>
  </si>
  <si>
    <t>Alarms</t>
  </si>
  <si>
    <t>Fire alarm event log</t>
  </si>
  <si>
    <t>smoke, heat, manual</t>
  </si>
  <si>
    <t>Record every alarm trigger with response details</t>
  </si>
  <si>
    <t>Inspections</t>
  </si>
  <si>
    <t>Daily/weekly/monthly inspection log</t>
  </si>
  <si>
    <t>daily, weekly, monthly, annual</t>
  </si>
  <si>
    <t>Checklist-based inspection with pass/fail per item</t>
  </si>
  <si>
    <t>Maintenance</t>
  </si>
  <si>
    <t>PM and repair task schedule</t>
  </si>
  <si>
    <t>PM, repair</t>
  </si>
  <si>
    <t>Preventive maintenance and corrective repair tracking</t>
  </si>
  <si>
    <t>Incidents</t>
  </si>
  <si>
    <t>Fire incident event register</t>
  </si>
  <si>
    <t>low, medium, high, critical</t>
  </si>
  <si>
    <t>Log all fire events with severity and actions taken</t>
  </si>
  <si>
    <t>Response Team</t>
  </si>
  <si>
    <t>Emergency response team roster</t>
  </si>
  <si>
    <t>warden, responder, first_aid, coordinator</t>
  </si>
  <si>
    <t>Team contacts and zone assignments</t>
  </si>
  <si>
    <t>Drills</t>
  </si>
  <si>
    <t>Fire drill schedule and scores</t>
  </si>
  <si>
    <t>evacuation, fire_response, first_aid</t>
  </si>
  <si>
    <t>Schedule, conduct and score all fire drills</t>
  </si>
  <si>
    <t>HOW TO USE THIS TEMPLATE</t>
  </si>
  <si>
    <t>Step</t>
  </si>
  <si>
    <t>Action</t>
  </si>
  <si>
    <t>Details/Notes</t>
  </si>
  <si>
    <t>Step 1</t>
  </si>
  <si>
    <t>Fill data in the relevant sheet tab</t>
  </si>
  <si>
    <t>Yellow highlighted rows = input areas. Do NOT delete header rows 1–4.</t>
  </si>
  <si>
    <t>Step 2</t>
  </si>
  <si>
    <t>Use dropdown values only for marked columns</t>
  </si>
  <si>
    <t>Dropdowns prevent import errors. Manual typing in dropdown cells may cause rejection.</t>
  </si>
  <si>
    <t>Step 3</t>
  </si>
  <si>
    <t>Date format must be DD-MMM-YYYY</t>
  </si>
  <si>
    <t>Example: 15-Jan-2025. Do NOT use DD/MM/YYYY or MM-DD-YYYY formats.</t>
  </si>
  <si>
    <t>Step 4</t>
  </si>
  <si>
    <t>Save as .xlsx (Excel Workbook)</t>
  </si>
  <si>
    <t>Do NOT save as .csv or .xls. Keep all sheets intact in the file.</t>
  </si>
  <si>
    <t>Step 5</t>
  </si>
  <si>
    <t>Upload via the module's Import button</t>
  </si>
  <si>
    <t>Go to Equipment / Alarms / etc. tab → click 📥 Upload Template → select this file.</t>
  </si>
  <si>
    <t>Step 6</t>
  </si>
  <si>
    <t>Export PDF from the system after import</t>
  </si>
  <si>
    <t>Use the Export PDF button in the module for official compliance reports.</t>
  </si>
  <si>
    <t>COLOUR CODING GUIDE</t>
  </si>
  <si>
    <t xml:space="preserve">  ■  Yellow rows = Input / data entry area</t>
  </si>
  <si>
    <t xml:space="preserve">  ■  Red highlight = Fault / critical status</t>
  </si>
  <si>
    <t xml:space="preserve">  ■  Green highlight = Pass / active / completed</t>
  </si>
  <si>
    <t xml:space="preserve">  ■  Grey rows = Alternating row colour (cosmetic)</t>
  </si>
  <si>
    <t xml:space="preserve">  ■  Blue highlight = Low severity / informational</t>
  </si>
  <si>
    <t>🔥  SLN TERMINUS — FIRE FIGHTING MODULE  |  EQUIPMENT REGISTER</t>
  </si>
  <si>
    <t xml:space="preserve">  Fire extinguishers, hydrants, hose reels, sprinklers, pumps, panels   |   Generated: 23-Mar-2026   |   Property: SLN Terminus</t>
  </si>
  <si>
    <t>LEGEND / INSTRUCTIONS:  * = Mandatory fields   |   Asset Type: extinguisher | hydrant | hose_reel | sprinkler | pump | panel   |   Status: active | faulty | expired   |   Dates in DD-MMM-YYYY (e.g. 15-Jan-2025)   |   Do NOT delete header rows 1-4</t>
  </si>
  <si>
    <t>Asset Code*</t>
  </si>
  <si>
    <t>Asset Type*</t>
  </si>
  <si>
    <t>Location / Floor*</t>
  </si>
  <si>
    <t>Zone ID*</t>
  </si>
  <si>
    <t>Capacity / Size</t>
  </si>
  <si>
    <t>Installation Date
(DD-MMM-YYYY)</t>
  </si>
  <si>
    <t>Last Inspection
(DD-MMM-YYYY)</t>
  </si>
  <si>
    <t>Next Due Date
(DD-MMM-YYYY)</t>
  </si>
  <si>
    <t>Status*</t>
  </si>
  <si>
    <t>Manufacturer</t>
  </si>
  <si>
    <t>Serial Number</t>
  </si>
  <si>
    <t>Remarks</t>
  </si>
  <si>
    <t>EXT-B1-001</t>
  </si>
  <si>
    <t>extinguisher</t>
  </si>
  <si>
    <t>Basement Parking</t>
  </si>
  <si>
    <t>B1</t>
  </si>
  <si>
    <t>9kg ABC</t>
  </si>
  <si>
    <t>15-Jan-2022</t>
  </si>
  <si>
    <t>10-Jan-2025</t>
  </si>
  <si>
    <t>10-Apr-2025</t>
  </si>
  <si>
    <t>active</t>
  </si>
  <si>
    <t>Ceasefire</t>
  </si>
  <si>
    <t>CF-9ABC-001</t>
  </si>
  <si>
    <t>Near elevator lobby</t>
  </si>
  <si>
    <t>HYD-GF-001</t>
  </si>
  <si>
    <t>hydrant</t>
  </si>
  <si>
    <t>Ground Floor Lobby</t>
  </si>
  <si>
    <t>GF</t>
  </si>
  <si>
    <t>65mm</t>
  </si>
  <si>
    <t>01-Mar-2020</t>
  </si>
  <si>
    <t>05-Feb-2025</t>
  </si>
  <si>
    <t>05-May-2025</t>
  </si>
  <si>
    <t>Agni</t>
  </si>
  <si>
    <t>AG-H65-002</t>
  </si>
  <si>
    <t>Behind reception</t>
  </si>
  <si>
    <t>SPR-L2-001</t>
  </si>
  <si>
    <t>sprinkler</t>
  </si>
  <si>
    <t>Level 2 Office</t>
  </si>
  <si>
    <t>L2</t>
  </si>
  <si>
    <t>K-factor 8.0</t>
  </si>
  <si>
    <t>12-Jun-2019</t>
  </si>
  <si>
    <t>20-Jan-2025</t>
  </si>
  <si>
    <t>20-Apr-2025</t>
  </si>
  <si>
    <t>Viking</t>
  </si>
  <si>
    <t>VK-SP-0081</t>
  </si>
  <si>
    <t>Grid pattern</t>
  </si>
  <si>
    <t>PMP-BR-001</t>
  </si>
  <si>
    <t>pump</t>
  </si>
  <si>
    <t>Pump Room Basement</t>
  </si>
  <si>
    <t>BR</t>
  </si>
  <si>
    <t>1500 LPM</t>
  </si>
  <si>
    <t>01-Jan-2018</t>
  </si>
  <si>
    <t>15-Mar-2025</t>
  </si>
  <si>
    <t>15-Jun-2025</t>
  </si>
  <si>
    <t>Kirloskar</t>
  </si>
  <si>
    <t>KR-PM-1500</t>
  </si>
  <si>
    <t>Jockey pump secondary</t>
  </si>
  <si>
    <t>PNL-GF-001</t>
  </si>
  <si>
    <t>panel</t>
  </si>
  <si>
    <t>Security Room GF</t>
  </si>
  <si>
    <t>16 zones</t>
  </si>
  <si>
    <t>01-Feb-2019</t>
  </si>
  <si>
    <t>22-Feb-2025</t>
  </si>
  <si>
    <t>22-May-2025</t>
  </si>
  <si>
    <t>faulty</t>
  </si>
  <si>
    <t>Honeywell</t>
  </si>
  <si>
    <t>HW-FACP-016</t>
  </si>
  <si>
    <t>Zone 7 fault pending</t>
  </si>
  <si>
    <t>QUICK SUMMARY (auto-calculates on data entry)</t>
  </si>
  <si>
    <t>Total Assets</t>
  </si>
  <si>
    <t>Active</t>
  </si>
  <si>
    <t>Faulty</t>
  </si>
  <si>
    <t>Expired</t>
  </si>
  <si>
    <t>🔥  SLN TERMINUS — FIRE FIGHTING MODULE  |  ALARM LOG</t>
  </si>
  <si>
    <t xml:space="preserve">  Record all fire alarm events — smoke, heat, manual call points   |   Generated: 23-Mar-2026   |   Property: SLN Terminus</t>
  </si>
  <si>
    <t>LEGEND / INSTRUCTIONS:  * = Mandatory   |   Alarm Type: smoke | heat | manual   |   Status: active | acknowledged | resolved | false_alarm   |   All times in 24-hr HH:MM format</t>
  </si>
  <si>
    <t>Zone Name*</t>
  </si>
  <si>
    <t>Alarm Type*</t>
  </si>
  <si>
    <t>Source Device ID</t>
  </si>
  <si>
    <t>Triggered Date*
(DD-MMM-YYYY)</t>
  </si>
  <si>
    <t>Triggered Time*
(HH:MM)</t>
  </si>
  <si>
    <t>Acknowledged By</t>
  </si>
  <si>
    <t>Acknowledged Time
(HH:MM)</t>
  </si>
  <si>
    <t>Resolved Date
(DD-MMM-YYYY)</t>
  </si>
  <si>
    <t>Remarks / Root Cause</t>
  </si>
  <si>
    <t>Level 2 East Wing</t>
  </si>
  <si>
    <t>smoke</t>
  </si>
  <si>
    <t>12-Mar-2025</t>
  </si>
  <si>
    <t>14:32</t>
  </si>
  <si>
    <t>resolved</t>
  </si>
  <si>
    <t>Rajesh Kumar</t>
  </si>
  <si>
    <t>18-Mar-2025</t>
  </si>
  <si>
    <t>09:15</t>
  </si>
  <si>
    <t>Supervisor</t>
  </si>
  <si>
    <t>20-Mar-2025</t>
  </si>
  <si>
    <t>🔥  SLN TERMINUS — FIRE FIGHTING MODULE  |  INSPECTION REGISTER</t>
  </si>
  <si>
    <t xml:space="preserve">  Daily / Weekly / Monthly / Annual inspection checklist records   |   Generated: 23-Mar-2026   |   Property: SLN Terminus</t>
  </si>
  <si>
    <t>LEGEND / INSTRUCTIONS:  * = Mandatory   |   Inspection Type: daily | weekly | monthly | annual   |   Checklist items: PASS | FAIL | N/A   |   Overall Status: ok | faulty   |   Faulty status auto-updates equipment register</t>
  </si>
  <si>
    <t>Inspection Date*
(DD-MMM-YYYY)</t>
  </si>
  <si>
    <t>Location*</t>
  </si>
  <si>
    <t>Inspection Type*</t>
  </si>
  <si>
    <t>Inspected By*</t>
  </si>
  <si>
    <t>Pressure OK?</t>
  </si>
  <si>
    <t>Seal / Valve OK?</t>
  </si>
  <si>
    <t>No Leakage?</t>
  </si>
  <si>
    <t>Accessible?</t>
  </si>
  <si>
    <t>Label Legible?</t>
  </si>
  <si>
    <t>Within Expiry?</t>
  </si>
  <si>
    <t>Overall Status*</t>
  </si>
  <si>
    <t>22-Mar-2025</t>
  </si>
  <si>
    <t>daily</t>
  </si>
  <si>
    <t>Ravi Kumar</t>
  </si>
  <si>
    <t>PASS</t>
  </si>
  <si>
    <t>ok</t>
  </si>
  <si>
    <t>All clear</t>
  </si>
  <si>
    <t>Ground Floor</t>
  </si>
  <si>
    <t>weekly</t>
  </si>
  <si>
    <t>Hose reel slightly stiff</t>
  </si>
  <si>
    <t>Security Room</t>
  </si>
  <si>
    <t>monthly</t>
  </si>
  <si>
    <t>N/A</t>
  </si>
  <si>
    <t>Zone 7 fault light on — log raised</t>
  </si>
  <si>
    <t>🔥  SLN TERMINUS — FIRE FIGHTING MODULE  |  MAINTENANCE SCHEDULE</t>
  </si>
  <si>
    <t xml:space="preserve">  Preventive Maintenance (PM) and corrective repair task log   |   Generated: 23-Mar-2026   |   Property: SLN Terminus</t>
  </si>
  <si>
    <t>LEGEND / INSTRUCTIONS:  * = Mandatory   |   Task Type: PM | repair   |   Status: Scheduled | In Progress | Completed | Overdue   |   Overdue = Scheduled date past and not Completed   |   Cost in Indian Rupees (₹)</t>
  </si>
  <si>
    <t>Task Type*</t>
  </si>
  <si>
    <t>Asset Type</t>
  </si>
  <si>
    <t>Location</t>
  </si>
  <si>
    <t>Description*</t>
  </si>
  <si>
    <t>Scheduled Date*
(DD-MMM-YYYY)</t>
  </si>
  <si>
    <t>Completed Date
(DD-MMM-YYYY)</t>
  </si>
  <si>
    <t>Assigned To*</t>
  </si>
  <si>
    <t>Vendor / Agency</t>
  </si>
  <si>
    <t>Cost (₹)</t>
  </si>
  <si>
    <t>PM</t>
  </si>
  <si>
    <t>Pump Room</t>
  </si>
  <si>
    <t>Quarterly PM — motor lubrication &amp; impeller check</t>
  </si>
  <si>
    <t>30-Mar-2025</t>
  </si>
  <si>
    <t>Kirloskar AMC</t>
  </si>
  <si>
    <t>Scheduled</t>
  </si>
  <si>
    <t>Kirloskar Brothers</t>
  </si>
  <si>
    <t>6-month cycle</t>
  </si>
  <si>
    <t>repair</t>
  </si>
  <si>
    <t>Replace faulty Zone 7 detection module</t>
  </si>
  <si>
    <t>25-Mar-2025</t>
  </si>
  <si>
    <t>Honeywell Tech</t>
  </si>
  <si>
    <t>Completed</t>
  </si>
  <si>
    <t>Honeywell India</t>
  </si>
  <si>
    <t>4800</t>
  </si>
  <si>
    <t>Zone restored to normal</t>
  </si>
  <si>
    <t>Basement</t>
  </si>
  <si>
    <t>Annual refilling &amp; pressure recharge</t>
  </si>
  <si>
    <t>01-Apr-2025</t>
  </si>
  <si>
    <t>Ceasefire Pvt Ltd</t>
  </si>
  <si>
    <t>350</t>
  </si>
  <si>
    <t>As per AMC schedule</t>
  </si>
  <si>
    <t>Total Tasks</t>
  </si>
  <si>
    <t>Overdue</t>
  </si>
  <si>
    <t>Total Cost</t>
  </si>
  <si>
    <t>🔥  SLN TERMINUS — FIRE FIGHTING MODULE  |  INCIDENT REGISTER</t>
  </si>
  <si>
    <t xml:space="preserve">  Log all fire events — near misses, activations, and emergencies   |   Generated: 23-Mar-2026   |   Property: SLN Terminus</t>
  </si>
  <si>
    <t>LEGEND / INSTRUCTIONS:  * = Mandatory   |   Severity: low | medium | high | critical   |   Status: Open | In Progress | Closed   |   Critical incidents must be reported within 1 hour</t>
  </si>
  <si>
    <t>Incident Date*
(DD-MMM-YYYY)</t>
  </si>
  <si>
    <t>Start Time*
(HH:MM)</t>
  </si>
  <si>
    <t>Severity*</t>
  </si>
  <si>
    <t>Reported By*</t>
  </si>
  <si>
    <t>Alarm Triggered?</t>
  </si>
  <si>
    <t>Evacuation?</t>
  </si>
  <si>
    <t>Actions Taken</t>
  </si>
  <si>
    <t>End Time
(HH:MM)</t>
  </si>
  <si>
    <t>End Date
(DD-MMM-YYYY)</t>
  </si>
  <si>
    <t>low</t>
  </si>
  <si>
    <t>Smoke detector activated due to cooking fumes from pantry</t>
  </si>
  <si>
    <t>YES</t>
  </si>
  <si>
    <t>NO</t>
  </si>
  <si>
    <t>Area inspected, ventilated. False alarm confirmed.</t>
  </si>
  <si>
    <t>14:50</t>
  </si>
  <si>
    <t>Closed</t>
  </si>
  <si>
    <t>Sensitise staff on pantry usage</t>
  </si>
  <si>
    <t>high</t>
  </si>
  <si>
    <t>Electrical short circuit in UPS room causing smoke</t>
  </si>
  <si>
    <t>Safety Officer</t>
  </si>
  <si>
    <t>Fire suppressed with CO2 extinguisher. UPS isolated.</t>
  </si>
  <si>
    <t>09:45</t>
  </si>
  <si>
    <t>Electrical audit required</t>
  </si>
  <si>
    <t>🔥  SLN TERMINUS — FIRE FIGHTING MODULE  |  RESPONSE TEAM REGISTER</t>
  </si>
  <si>
    <t xml:space="preserve">  Fire wardens, first responders, and emergency coordinators   |   Generated: 23-Mar-2026   |   Property: SLN Terminus</t>
  </si>
  <si>
    <t>LEGEND / INSTRUCTIONS:  * = Mandatory   |   Role: warden | responder | first_aid | coordinator   |   Shift: Day | Night | General | Rotational   |   Active: YES | NO</t>
  </si>
  <si>
    <t>Full Name*</t>
  </si>
  <si>
    <t>Role*</t>
  </si>
  <si>
    <t>Assigned Zone*</t>
  </si>
  <si>
    <t>Contact Number*</t>
  </si>
  <si>
    <t>Alternate Contact</t>
  </si>
  <si>
    <t>Email ID</t>
  </si>
  <si>
    <t>Shift</t>
  </si>
  <si>
    <t>Active?</t>
  </si>
  <si>
    <t>warden</t>
  </si>
  <si>
    <t>B1 Basement</t>
  </si>
  <si>
    <t>9876543210</t>
  </si>
  <si>
    <t>9876543211</t>
  </si>
  <si>
    <t>rajesh.k@sln.com</t>
  </si>
  <si>
    <t>General</t>
  </si>
  <si>
    <t>Lead warden — south block</t>
  </si>
  <si>
    <t>Priya Sharma</t>
  </si>
  <si>
    <t>first_aid</t>
  </si>
  <si>
    <t>9876543220</t>
  </si>
  <si>
    <t>priya.s@sln.com</t>
  </si>
  <si>
    <t>Day</t>
  </si>
  <si>
    <t>Trained in BLS</t>
  </si>
  <si>
    <t>Arun Verma</t>
  </si>
  <si>
    <t>responder</t>
  </si>
  <si>
    <t>Level 1</t>
  </si>
  <si>
    <t>9876543230</t>
  </si>
  <si>
    <t>9876543231</t>
  </si>
  <si>
    <t>arun.v@sln.com</t>
  </si>
  <si>
    <t>Night</t>
  </si>
  <si>
    <t>Meena Nair</t>
  </si>
  <si>
    <t>coordinator</t>
  </si>
  <si>
    <t>All Floors</t>
  </si>
  <si>
    <t>9876543240</t>
  </si>
  <si>
    <t>9876543241</t>
  </si>
  <si>
    <t>meena.n@sln.com</t>
  </si>
  <si>
    <t>Emergency coordinator</t>
  </si>
  <si>
    <t>🔥  SLN TERMINUS — FIRE FIGHTING MODULE  |  DRILL &amp; TRAINING LOG</t>
  </si>
  <si>
    <t xml:space="preserve">  Fire evacuation drills, response drills and performance scores   |   Generated: 23-Mar-2026   |   Property: SLN Terminus</t>
  </si>
  <si>
    <t>LEGEND / INSTRUCTIONS:  * = Mandatory   |   Drill Type: evacuation | fire_response | first_aid   |   Status: Scheduled | Completed | Cancelled   |   Score 0–100: ≥80 = Satisfactory, 60–79 = Needs Improvement, &lt;60 = Unsatisfactory</t>
  </si>
  <si>
    <t>Drill Date*
(DD-MMM-YYYY)</t>
  </si>
  <si>
    <t>Drill Type*</t>
  </si>
  <si>
    <t>Conducted By*</t>
  </si>
  <si>
    <t>Participants
(Count)</t>
  </si>
  <si>
    <t>Duration
(minutes)</t>
  </si>
  <si>
    <t>Evacuation Time
(minutes)</t>
  </si>
  <si>
    <t>Score
(0-100)</t>
  </si>
  <si>
    <t>Observations / Gaps</t>
  </si>
  <si>
    <t>Corrective Actions</t>
  </si>
  <si>
    <t>15-Jan-2025</t>
  </si>
  <si>
    <t>evacuation</t>
  </si>
  <si>
    <t>Stairwell C slightly congested</t>
  </si>
  <si>
    <t>Widen stairwell signage, add marshal</t>
  </si>
  <si>
    <t>Good overall performance</t>
  </si>
  <si>
    <t>20-Feb-2025</t>
  </si>
  <si>
    <t>fire_response</t>
  </si>
  <si>
    <t>Fire Marshal + AMC</t>
  </si>
  <si>
    <t>-</t>
  </si>
  <si>
    <t>Pump room response time 3 min — target is 2 min</t>
  </si>
  <si>
    <t>Increase drills for pump team</t>
  </si>
  <si>
    <t>Pump team needs practice</t>
  </si>
  <si>
    <t>Quarterly drill</t>
  </si>
  <si>
    <t>DRILL PERFORMANCE SUMMARY</t>
  </si>
  <si>
    <t>Total Drills</t>
  </si>
  <si>
    <t>Avg Score</t>
  </si>
  <si>
    <t xml:space="preserve"> Level-2 St-1 MCP</t>
  </si>
  <si>
    <t>Level - 2</t>
  </si>
  <si>
    <t>mcp pull</t>
  </si>
  <si>
    <t>P01-C01</t>
  </si>
  <si>
    <t>Fire Officer</t>
  </si>
  <si>
    <t>MCP Pulled by Customer</t>
  </si>
  <si>
    <t>L6 Fedex BFC</t>
  </si>
  <si>
    <t>Level - 6</t>
  </si>
  <si>
    <t>Fire Ofiicer</t>
  </si>
  <si>
    <t>Painting Work smoke coming Out</t>
  </si>
  <si>
    <t>B1-B2 DET</t>
  </si>
  <si>
    <t>B 1-2</t>
  </si>
  <si>
    <t>Fogging</t>
  </si>
  <si>
    <t xml:space="preserve">Weekly mosquito fogging </t>
  </si>
  <si>
    <t xml:space="preserve">L6 Corridor opp </t>
  </si>
  <si>
    <t>Smoke</t>
  </si>
  <si>
    <t>Smoke Out</t>
  </si>
  <si>
    <t>L7ToB3 MCP/DET</t>
  </si>
  <si>
    <t>L-7 to B3</t>
  </si>
  <si>
    <t>Testing</t>
  </si>
  <si>
    <t>Weekly fire alaram testing</t>
  </si>
  <si>
    <t>L1 Corridor opp BFC</t>
  </si>
  <si>
    <t>Level - 1</t>
  </si>
  <si>
    <t>Movie shooting smoke comeout</t>
  </si>
  <si>
    <t>L3 10D DET-2</t>
  </si>
  <si>
    <t>F3</t>
  </si>
  <si>
    <t>Varahi kitchen smoke comeout</t>
  </si>
  <si>
    <t xml:space="preserve">B1 Corridor Opp </t>
  </si>
  <si>
    <t>LG - B4</t>
  </si>
  <si>
    <t>fogging</t>
  </si>
  <si>
    <t>L8toB4 MCP/DET</t>
  </si>
  <si>
    <t>L1 stair case-5 MCP</t>
  </si>
  <si>
    <t>mcp loose</t>
  </si>
  <si>
    <t>MCP loose Condition</t>
  </si>
  <si>
    <t>B1 B2 ramp DET-2</t>
  </si>
  <si>
    <t>MEP</t>
  </si>
  <si>
    <t>Lg Mall Ent BFC</t>
  </si>
  <si>
    <t>LG</t>
  </si>
  <si>
    <t>L4 to B4</t>
  </si>
  <si>
    <t>L3 Electrical room</t>
  </si>
  <si>
    <t>Level - 3</t>
  </si>
  <si>
    <t>L6 Flowswitch</t>
  </si>
  <si>
    <t>B1 Corridor Opp BFC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</si>
</sst>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/yyyy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Bookman Old Style"/>
      <family val="2"/>
    </font>
    <font>
      <b/>
      <sz val="14"/>
      <color rgb="FFFFFFFF"/>
      <name val="Arial"/>
      <family val="2"/>
    </font>
    <font>
      <i/>
      <sz val="9"/>
      <color rgb="FFFFFFFF"/>
      <name val="Arial"/>
      <family val="2"/>
    </font>
    <font>
      <i/>
      <sz val="9"/>
      <color rgb="FF2C3E50"/>
      <name val="Arial"/>
      <family val="2"/>
    </font>
    <font>
      <b/>
      <sz val="11"/>
      <color rgb="FFFFFFFF"/>
      <name val="Arial"/>
      <family val="2"/>
    </font>
    <font>
      <sz val="10"/>
      <color rgb="FF2C3E50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b/>
      <sz val="12"/>
      <color rgb="FFC0392B"/>
      <name val="Arial"/>
      <family val="2"/>
    </font>
    <font>
      <b/>
      <sz val="12"/>
      <color rgb="FF2C3E50"/>
      <name val="Arial"/>
      <family val="2"/>
    </font>
    <font>
      <b/>
      <sz val="12"/>
      <color rgb="FF1E8449"/>
      <name val="Arial"/>
      <family val="2"/>
    </font>
    <font>
      <b/>
      <sz val="12"/>
      <color rgb="FF117A8B"/>
      <name val="Arial"/>
      <family val="2"/>
    </font>
    <font>
      <b/>
      <sz val="12"/>
      <color rgb="FFE67E22"/>
      <name val="Arial"/>
      <family val="2"/>
    </font>
    <font>
      <b/>
      <sz val="16"/>
      <color rgb="FFFFFFFF"/>
      <name val="Arial"/>
      <family val="2"/>
    </font>
    <font>
      <i/>
      <sz val="10"/>
      <color rgb="FFFFFFFF"/>
      <name val="Arial"/>
      <family val="2"/>
    </font>
    <font>
      <b/>
      <sz val="10"/>
      <color rgb="FF2C3E5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F2F3F4"/>
      </patternFill>
    </fill>
    <fill>
      <patternFill patternType="solid">
        <fgColor rgb="FFFFFFFF"/>
      </patternFill>
    </fill>
    <fill>
      <patternFill patternType="solid">
        <fgColor rgb="FFFDEDEC"/>
      </patternFill>
    </fill>
    <fill>
      <patternFill patternType="solid">
        <fgColor rgb="FFFEF9E7"/>
      </patternFill>
    </fill>
    <fill>
      <patternFill patternType="solid">
        <fgColor rgb="FF2C3E50"/>
      </patternFill>
    </fill>
    <fill>
      <patternFill patternType="solid">
        <fgColor rgb="FF566573"/>
      </patternFill>
    </fill>
    <fill>
      <patternFill patternType="solid">
        <fgColor rgb="FFE67E22"/>
      </patternFill>
    </fill>
    <fill>
      <patternFill patternType="solid">
        <fgColor rgb="FF1E8449"/>
      </patternFill>
    </fill>
    <fill>
      <patternFill patternType="solid">
        <fgColor rgb="FFEAFAF1"/>
      </patternFill>
    </fill>
    <fill>
      <patternFill patternType="solid">
        <fgColor rgb="FF117A8B"/>
      </patternFill>
    </fill>
    <fill>
      <patternFill patternType="solid">
        <fgColor rgb="FFEBF5FB"/>
      </patternFill>
    </fill>
    <fill>
      <patternFill patternType="solid">
        <fgColor rgb="FFFAE5D3"/>
      </patternFill>
    </fill>
    <fill>
      <patternFill patternType="solid">
        <fgColor rgb="FF6C3483"/>
      </patternFill>
    </fill>
  </fills>
  <borders count="3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2">
    <xf numFmtId="0" fontId="0" fillId="0" borderId="0" xfId="0"/>
    <xf numFmtId="0" fontId="5" fillId="9" borderId="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 wrapText="1"/>
    </xf>
    <xf numFmtId="0" fontId="7" fillId="11" borderId="1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0" fontId="7" fillId="16" borderId="1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left" vertical="center"/>
    </xf>
    <xf numFmtId="0" fontId="16" fillId="4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0" fontId="6" fillId="12" borderId="1" xfId="0" applyFont="1" applyFill="1" applyBorder="1" applyAlignment="1">
      <alignment horizontal="left" vertical="center"/>
    </xf>
    <xf numFmtId="0" fontId="6" fillId="14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8" fillId="9" borderId="0" xfId="0" applyFont="1" applyFill="1" applyAlignment="1">
      <alignment horizontal="center"/>
    </xf>
    <xf numFmtId="0" fontId="9" fillId="5" borderId="0" xfId="0" applyFont="1" applyFill="1" applyAlignment="1">
      <alignment horizontal="center"/>
    </xf>
    <xf numFmtId="0" fontId="5" fillId="10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 wrapText="1"/>
    </xf>
    <xf numFmtId="0" fontId="8" fillId="8" borderId="0" xfId="0" applyFont="1" applyFill="1" applyAlignment="1">
      <alignment horizontal="center" vertical="center"/>
    </xf>
    <xf numFmtId="0" fontId="10" fillId="5" borderId="1" xfId="0" applyFont="1" applyFill="1" applyBorder="1" applyAlignment="1">
      <alignment horizontal="center"/>
    </xf>
    <xf numFmtId="0" fontId="8" fillId="11" borderId="0" xfId="0" applyFont="1" applyFill="1" applyAlignment="1">
      <alignment horizontal="center" vertical="center"/>
    </xf>
    <xf numFmtId="0" fontId="11" fillId="5" borderId="1" xfId="0" applyFont="1" applyFill="1" applyBorder="1" applyAlignment="1">
      <alignment horizontal="center"/>
    </xf>
    <xf numFmtId="0" fontId="8" fillId="13" borderId="0" xfId="0" applyFont="1" applyFill="1" applyAlignment="1">
      <alignment horizontal="center" vertical="center"/>
    </xf>
    <xf numFmtId="0" fontId="12" fillId="5" borderId="1" xfId="0" applyFont="1" applyFill="1" applyBorder="1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9" fillId="5" borderId="1" xfId="0" applyFont="1" applyFill="1" applyBorder="1" applyAlignment="1">
      <alignment horizontal="center"/>
    </xf>
    <xf numFmtId="0" fontId="8" fillId="10" borderId="0" xfId="0" applyFont="1" applyFill="1" applyAlignment="1">
      <alignment horizontal="center" vertical="center"/>
    </xf>
    <xf numFmtId="0" fontId="13" fillId="5" borderId="1" xfId="0" applyFont="1" applyFill="1" applyBorder="1" applyAlignment="1">
      <alignment horizontal="center"/>
    </xf>
    <xf numFmtId="0" fontId="6" fillId="14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left" vertical="center" wrapText="1"/>
    </xf>
    <xf numFmtId="0" fontId="6" fillId="15" borderId="1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left" vertical="center"/>
    </xf>
    <xf numFmtId="0" fontId="6" fillId="15" borderId="1" xfId="0" applyFont="1" applyFill="1" applyBorder="1" applyAlignment="1">
      <alignment horizontal="left" vertical="center" wrapText="1"/>
    </xf>
    <xf numFmtId="0" fontId="5" fillId="16" borderId="1" xfId="0" applyFont="1" applyFill="1" applyBorder="1" applyAlignment="1">
      <alignment horizontal="center" vertical="center" wrapText="1"/>
    </xf>
    <xf numFmtId="1" fontId="6" fillId="4" borderId="1" xfId="0" applyNumberFormat="1" applyFont="1" applyFill="1" applyBorder="1" applyAlignment="1">
      <alignment horizontal="center" vertical="center"/>
    </xf>
    <xf numFmtId="1" fontId="6" fillId="12" borderId="1" xfId="0" applyNumberFormat="1" applyFont="1" applyFill="1" applyBorder="1" applyAlignment="1">
      <alignment horizontal="center" vertical="center"/>
    </xf>
    <xf numFmtId="1" fontId="6" fillId="5" borderId="1" xfId="0" applyNumberFormat="1" applyFont="1" applyFill="1" applyBorder="1" applyAlignment="1">
      <alignment horizontal="center" vertical="center"/>
    </xf>
    <xf numFmtId="1" fontId="6" fillId="7" borderId="1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center"/>
    </xf>
    <xf numFmtId="0" fontId="0" fillId="0" borderId="0" xfId="0"/>
    <xf numFmtId="0" fontId="6" fillId="6" borderId="1" xfId="0" applyFont="1" applyFill="1" applyBorder="1" applyAlignment="1">
      <alignment horizontal="left" vertical="center"/>
    </xf>
    <xf numFmtId="0" fontId="5" fillId="8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6" fillId="1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0" fontId="6" fillId="12" borderId="1" xfId="0" applyFont="1" applyFill="1" applyBorder="1" applyAlignment="1">
      <alignment horizontal="left" vertical="center"/>
    </xf>
    <xf numFmtId="0" fontId="15" fillId="3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6" fillId="4" borderId="2" xfId="1" applyFont="1" applyFill="1" applyBorder="1" applyAlignment="1">
      <alignment horizontal="left" vertical="center"/>
    </xf>
    <xf numFmtId="0" fontId="6" fillId="4" borderId="2" xfId="1" applyFont="1" applyFill="1" applyBorder="1" applyAlignment="1">
      <alignment horizontal="center" vertical="center"/>
    </xf>
    <xf numFmtId="164" fontId="6" fillId="4" borderId="2" xfId="1" applyNumberFormat="1" applyFont="1" applyFill="1" applyBorder="1" applyAlignment="1">
      <alignment horizontal="center" vertical="center"/>
    </xf>
    <xf numFmtId="20" fontId="6" fillId="4" borderId="2" xfId="1" applyNumberFormat="1" applyFont="1" applyFill="1" applyBorder="1" applyAlignment="1">
      <alignment horizontal="center" vertical="center"/>
    </xf>
    <xf numFmtId="0" fontId="6" fillId="5" borderId="2" xfId="1" applyFont="1" applyFill="1" applyBorder="1" applyAlignment="1">
      <alignment horizontal="left" vertical="center"/>
    </xf>
    <xf numFmtId="0" fontId="6" fillId="5" borderId="2" xfId="1" applyFont="1" applyFill="1" applyBorder="1" applyAlignment="1">
      <alignment horizontal="center" vertical="center"/>
    </xf>
    <xf numFmtId="20" fontId="6" fillId="5" borderId="2" xfId="1" applyNumberFormat="1" applyFont="1" applyFill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center"/>
    </xf>
    <xf numFmtId="20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left"/>
    </xf>
  </cellXfs>
  <cellStyles count="2">
    <cellStyle name="Normal" xfId="0" builtinId="0"/>
    <cellStyle name="Normal 2" xfId="1" xr:uid="{3DDAC249-C709-4132-A3E1-D8335738C24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C3E50"/>
  </sheetPr>
  <dimension ref="A1:E30"/>
  <sheetViews>
    <sheetView workbookViewId="0">
      <selection sqref="A1:E2"/>
    </sheetView>
  </sheetViews>
  <sheetFormatPr defaultRowHeight="15" x14ac:dyDescent="0.25"/>
  <cols>
    <col min="1" max="1" width="5" customWidth="1"/>
    <col min="2" max="2" width="28" customWidth="1"/>
    <col min="3" max="3" width="48" customWidth="1"/>
    <col min="4" max="5" width="22" customWidth="1"/>
  </cols>
  <sheetData>
    <row r="1" spans="1:5" ht="44.1" customHeight="1" x14ac:dyDescent="0.25">
      <c r="A1" s="55" t="s">
        <v>0</v>
      </c>
      <c r="B1" s="49"/>
      <c r="C1" s="49"/>
      <c r="D1" s="49"/>
      <c r="E1" s="49"/>
    </row>
    <row r="2" spans="1:5" ht="9.9499999999999993" customHeight="1" x14ac:dyDescent="0.25">
      <c r="A2" s="49"/>
      <c r="B2" s="49"/>
      <c r="C2" s="49"/>
      <c r="D2" s="49"/>
      <c r="E2" s="49"/>
    </row>
    <row r="3" spans="1:5" ht="20.100000000000001" customHeight="1" x14ac:dyDescent="0.25">
      <c r="A3" s="57" t="s">
        <v>1</v>
      </c>
      <c r="B3" s="49"/>
      <c r="C3" s="49"/>
      <c r="D3" s="49"/>
      <c r="E3" s="49"/>
    </row>
    <row r="5" spans="1:5" ht="26.1" customHeight="1" x14ac:dyDescent="0.25">
      <c r="A5" s="51" t="s">
        <v>2</v>
      </c>
      <c r="B5" s="49"/>
      <c r="C5" s="49"/>
      <c r="D5" s="49"/>
      <c r="E5" s="49"/>
    </row>
    <row r="6" spans="1:5" ht="30" x14ac:dyDescent="0.25">
      <c r="A6" s="1" t="s">
        <v>3</v>
      </c>
      <c r="B6" s="1" t="s">
        <v>4</v>
      </c>
      <c r="C6" s="1" t="s">
        <v>5</v>
      </c>
      <c r="D6" s="1" t="s">
        <v>6</v>
      </c>
      <c r="E6" s="1" t="s">
        <v>7</v>
      </c>
    </row>
    <row r="7" spans="1:5" ht="24" customHeight="1" x14ac:dyDescent="0.25">
      <c r="A7" s="2">
        <v>1</v>
      </c>
      <c r="B7" s="3" t="s">
        <v>8</v>
      </c>
      <c r="C7" s="4" t="s">
        <v>9</v>
      </c>
      <c r="D7" s="5" t="s">
        <v>10</v>
      </c>
      <c r="E7" s="6" t="s">
        <v>11</v>
      </c>
    </row>
    <row r="8" spans="1:5" ht="24" customHeight="1" x14ac:dyDescent="0.25">
      <c r="A8" s="2">
        <v>2</v>
      </c>
      <c r="B8" s="7" t="s">
        <v>12</v>
      </c>
      <c r="C8" s="8" t="s">
        <v>13</v>
      </c>
      <c r="D8" s="5" t="s">
        <v>14</v>
      </c>
      <c r="E8" s="9" t="s">
        <v>15</v>
      </c>
    </row>
    <row r="9" spans="1:5" ht="24" customHeight="1" x14ac:dyDescent="0.25">
      <c r="A9" s="2">
        <v>3</v>
      </c>
      <c r="B9" s="10" t="s">
        <v>16</v>
      </c>
      <c r="C9" s="4" t="s">
        <v>17</v>
      </c>
      <c r="D9" s="5" t="s">
        <v>18</v>
      </c>
      <c r="E9" s="6" t="s">
        <v>19</v>
      </c>
    </row>
    <row r="10" spans="1:5" ht="24" customHeight="1" x14ac:dyDescent="0.25">
      <c r="A10" s="2">
        <v>4</v>
      </c>
      <c r="B10" s="11" t="s">
        <v>20</v>
      </c>
      <c r="C10" s="8" t="s">
        <v>21</v>
      </c>
      <c r="D10" s="5" t="s">
        <v>22</v>
      </c>
      <c r="E10" s="9" t="s">
        <v>23</v>
      </c>
    </row>
    <row r="11" spans="1:5" ht="24" customHeight="1" x14ac:dyDescent="0.25">
      <c r="A11" s="2">
        <v>5</v>
      </c>
      <c r="B11" s="3" t="s">
        <v>24</v>
      </c>
      <c r="C11" s="4" t="s">
        <v>25</v>
      </c>
      <c r="D11" s="5" t="s">
        <v>26</v>
      </c>
      <c r="E11" s="6" t="s">
        <v>27</v>
      </c>
    </row>
    <row r="12" spans="1:5" ht="24" customHeight="1" x14ac:dyDescent="0.25">
      <c r="A12" s="2">
        <v>6</v>
      </c>
      <c r="B12" s="12" t="s">
        <v>28</v>
      </c>
      <c r="C12" s="8" t="s">
        <v>29</v>
      </c>
      <c r="D12" s="5" t="s">
        <v>30</v>
      </c>
      <c r="E12" s="9" t="s">
        <v>31</v>
      </c>
    </row>
    <row r="13" spans="1:5" ht="24" customHeight="1" x14ac:dyDescent="0.25">
      <c r="A13" s="2">
        <v>7</v>
      </c>
      <c r="B13" s="11" t="s">
        <v>32</v>
      </c>
      <c r="C13" s="4" t="s">
        <v>33</v>
      </c>
      <c r="D13" s="5" t="s">
        <v>34</v>
      </c>
      <c r="E13" s="6" t="s">
        <v>35</v>
      </c>
    </row>
    <row r="15" spans="1:5" ht="26.1" customHeight="1" x14ac:dyDescent="0.25">
      <c r="A15" s="51" t="s">
        <v>36</v>
      </c>
      <c r="B15" s="49"/>
      <c r="C15" s="49"/>
      <c r="D15" s="49"/>
      <c r="E15" s="49"/>
    </row>
    <row r="16" spans="1:5" x14ac:dyDescent="0.25">
      <c r="A16" s="1"/>
      <c r="B16" s="1" t="s">
        <v>37</v>
      </c>
      <c r="C16" s="1" t="s">
        <v>38</v>
      </c>
      <c r="D16" t="s">
        <v>39</v>
      </c>
    </row>
    <row r="17" spans="1:5" ht="27.95" customHeight="1" x14ac:dyDescent="0.25">
      <c r="B17" s="3" t="s">
        <v>40</v>
      </c>
      <c r="C17" s="13" t="s">
        <v>41</v>
      </c>
      <c r="D17" s="6" t="s">
        <v>42</v>
      </c>
    </row>
    <row r="18" spans="1:5" ht="27.95" customHeight="1" x14ac:dyDescent="0.25">
      <c r="B18" s="3" t="s">
        <v>43</v>
      </c>
      <c r="C18" s="14" t="s">
        <v>44</v>
      </c>
      <c r="D18" s="9" t="s">
        <v>45</v>
      </c>
    </row>
    <row r="19" spans="1:5" ht="27.95" customHeight="1" x14ac:dyDescent="0.25">
      <c r="B19" s="3" t="s">
        <v>46</v>
      </c>
      <c r="C19" s="13" t="s">
        <v>47</v>
      </c>
      <c r="D19" s="6" t="s">
        <v>48</v>
      </c>
    </row>
    <row r="20" spans="1:5" ht="27.95" customHeight="1" x14ac:dyDescent="0.25">
      <c r="B20" s="3" t="s">
        <v>49</v>
      </c>
      <c r="C20" s="14" t="s">
        <v>50</v>
      </c>
      <c r="D20" s="9" t="s">
        <v>51</v>
      </c>
    </row>
    <row r="21" spans="1:5" ht="27.95" customHeight="1" x14ac:dyDescent="0.25">
      <c r="B21" s="3" t="s">
        <v>52</v>
      </c>
      <c r="C21" s="13" t="s">
        <v>53</v>
      </c>
      <c r="D21" s="6" t="s">
        <v>54</v>
      </c>
    </row>
    <row r="22" spans="1:5" ht="27.95" customHeight="1" x14ac:dyDescent="0.25">
      <c r="B22" s="3" t="s">
        <v>55</v>
      </c>
      <c r="C22" s="14" t="s">
        <v>56</v>
      </c>
      <c r="D22" s="9" t="s">
        <v>57</v>
      </c>
    </row>
    <row r="25" spans="1:5" ht="21.95" customHeight="1" x14ac:dyDescent="0.25">
      <c r="A25" s="52" t="s">
        <v>58</v>
      </c>
      <c r="B25" s="49"/>
      <c r="C25" s="49"/>
      <c r="D25" s="49"/>
      <c r="E25" s="49"/>
    </row>
    <row r="26" spans="1:5" ht="18" customHeight="1" x14ac:dyDescent="0.25">
      <c r="B26" s="48" t="s">
        <v>59</v>
      </c>
      <c r="C26" s="49"/>
      <c r="D26" s="49"/>
      <c r="E26" s="49"/>
    </row>
    <row r="27" spans="1:5" ht="18" customHeight="1" x14ac:dyDescent="0.25">
      <c r="B27" s="50" t="s">
        <v>60</v>
      </c>
      <c r="C27" s="49"/>
      <c r="D27" s="49"/>
      <c r="E27" s="49"/>
    </row>
    <row r="28" spans="1:5" ht="18" customHeight="1" x14ac:dyDescent="0.25">
      <c r="B28" s="56" t="s">
        <v>61</v>
      </c>
      <c r="C28" s="49"/>
      <c r="D28" s="49"/>
      <c r="E28" s="49"/>
    </row>
    <row r="29" spans="1:5" ht="18" customHeight="1" x14ac:dyDescent="0.25">
      <c r="B29" s="54" t="s">
        <v>62</v>
      </c>
      <c r="C29" s="49"/>
      <c r="D29" s="49"/>
      <c r="E29" s="49"/>
    </row>
    <row r="30" spans="1:5" ht="18" customHeight="1" x14ac:dyDescent="0.25">
      <c r="B30" s="53" t="s">
        <v>63</v>
      </c>
      <c r="C30" s="49"/>
      <c r="D30" s="49"/>
      <c r="E30" s="49"/>
    </row>
  </sheetData>
  <mergeCells count="10">
    <mergeCell ref="A5:E5"/>
    <mergeCell ref="A1:E2"/>
    <mergeCell ref="B28:E28"/>
    <mergeCell ref="A3:E3"/>
    <mergeCell ref="B26:E26"/>
    <mergeCell ref="B27:E27"/>
    <mergeCell ref="A15:E15"/>
    <mergeCell ref="A25:E25"/>
    <mergeCell ref="B30:E30"/>
    <mergeCell ref="B29:E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392B"/>
  </sheetPr>
  <dimension ref="A1:L27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14" customWidth="1"/>
    <col min="2" max="2" width="16" customWidth="1"/>
    <col min="3" max="3" width="22" customWidth="1"/>
    <col min="4" max="4" width="10" customWidth="1"/>
    <col min="5" max="5" width="14" customWidth="1"/>
    <col min="6" max="8" width="18" customWidth="1"/>
    <col min="9" max="9" width="12" customWidth="1"/>
    <col min="10" max="10" width="18" customWidth="1"/>
    <col min="11" max="11" width="16" customWidth="1"/>
    <col min="12" max="12" width="28" customWidth="1"/>
  </cols>
  <sheetData>
    <row r="1" spans="1:12" ht="38.1" customHeight="1" x14ac:dyDescent="0.25">
      <c r="A1" s="60" t="s">
        <v>64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ht="20.100000000000001" customHeight="1" x14ac:dyDescent="0.25">
      <c r="A2" s="59" t="s">
        <v>65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</row>
    <row r="3" spans="1:12" ht="27.95" customHeight="1" x14ac:dyDescent="0.25">
      <c r="A3" s="58" t="s">
        <v>66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</row>
    <row r="4" spans="1:12" ht="32.1" customHeight="1" x14ac:dyDescent="0.25">
      <c r="A4" s="18" t="s">
        <v>67</v>
      </c>
      <c r="B4" s="18" t="s">
        <v>68</v>
      </c>
      <c r="C4" s="18" t="s">
        <v>69</v>
      </c>
      <c r="D4" s="18" t="s">
        <v>70</v>
      </c>
      <c r="E4" s="18" t="s">
        <v>71</v>
      </c>
      <c r="F4" s="18" t="s">
        <v>72</v>
      </c>
      <c r="G4" s="18" t="s">
        <v>73</v>
      </c>
      <c r="H4" s="18" t="s">
        <v>74</v>
      </c>
      <c r="I4" s="18" t="s">
        <v>75</v>
      </c>
      <c r="J4" s="18" t="s">
        <v>76</v>
      </c>
      <c r="K4" s="18" t="s">
        <v>77</v>
      </c>
      <c r="L4" s="18" t="s">
        <v>78</v>
      </c>
    </row>
    <row r="5" spans="1:12" x14ac:dyDescent="0.25">
      <c r="A5" s="19" t="s">
        <v>79</v>
      </c>
      <c r="B5" s="19" t="s">
        <v>80</v>
      </c>
      <c r="C5" s="8" t="s">
        <v>81</v>
      </c>
      <c r="D5" s="19" t="s">
        <v>82</v>
      </c>
      <c r="E5" s="8" t="s">
        <v>83</v>
      </c>
      <c r="F5" s="8" t="s">
        <v>84</v>
      </c>
      <c r="G5" s="8" t="s">
        <v>85</v>
      </c>
      <c r="H5" s="8" t="s">
        <v>86</v>
      </c>
      <c r="I5" s="19" t="s">
        <v>87</v>
      </c>
      <c r="J5" s="19" t="s">
        <v>88</v>
      </c>
      <c r="K5" s="8" t="s">
        <v>89</v>
      </c>
      <c r="L5" s="8" t="s">
        <v>90</v>
      </c>
    </row>
    <row r="6" spans="1:12" x14ac:dyDescent="0.25">
      <c r="A6" s="20" t="s">
        <v>91</v>
      </c>
      <c r="B6" s="20" t="s">
        <v>92</v>
      </c>
      <c r="C6" s="4" t="s">
        <v>93</v>
      </c>
      <c r="D6" s="20" t="s">
        <v>94</v>
      </c>
      <c r="E6" s="4" t="s">
        <v>95</v>
      </c>
      <c r="F6" s="4" t="s">
        <v>96</v>
      </c>
      <c r="G6" s="4" t="s">
        <v>97</v>
      </c>
      <c r="H6" s="4" t="s">
        <v>98</v>
      </c>
      <c r="I6" s="20" t="s">
        <v>87</v>
      </c>
      <c r="J6" s="20" t="s">
        <v>99</v>
      </c>
      <c r="K6" s="4" t="s">
        <v>100</v>
      </c>
      <c r="L6" s="4" t="s">
        <v>101</v>
      </c>
    </row>
    <row r="7" spans="1:12" x14ac:dyDescent="0.25">
      <c r="A7" s="19" t="s">
        <v>102</v>
      </c>
      <c r="B7" s="19" t="s">
        <v>103</v>
      </c>
      <c r="C7" s="8" t="s">
        <v>104</v>
      </c>
      <c r="D7" s="19" t="s">
        <v>105</v>
      </c>
      <c r="E7" s="8" t="s">
        <v>106</v>
      </c>
      <c r="F7" s="8" t="s">
        <v>107</v>
      </c>
      <c r="G7" s="8" t="s">
        <v>108</v>
      </c>
      <c r="H7" s="8" t="s">
        <v>109</v>
      </c>
      <c r="I7" s="19" t="s">
        <v>87</v>
      </c>
      <c r="J7" s="19" t="s">
        <v>110</v>
      </c>
      <c r="K7" s="8" t="s">
        <v>111</v>
      </c>
      <c r="L7" s="8" t="s">
        <v>112</v>
      </c>
    </row>
    <row r="8" spans="1:12" x14ac:dyDescent="0.25">
      <c r="A8" s="20" t="s">
        <v>113</v>
      </c>
      <c r="B8" s="20" t="s">
        <v>114</v>
      </c>
      <c r="C8" s="4" t="s">
        <v>115</v>
      </c>
      <c r="D8" s="20" t="s">
        <v>116</v>
      </c>
      <c r="E8" s="4" t="s">
        <v>117</v>
      </c>
      <c r="F8" s="4" t="s">
        <v>118</v>
      </c>
      <c r="G8" s="4" t="s">
        <v>119</v>
      </c>
      <c r="H8" s="4" t="s">
        <v>120</v>
      </c>
      <c r="I8" s="20" t="s">
        <v>87</v>
      </c>
      <c r="J8" s="20" t="s">
        <v>121</v>
      </c>
      <c r="K8" s="4" t="s">
        <v>122</v>
      </c>
      <c r="L8" s="4" t="s">
        <v>123</v>
      </c>
    </row>
    <row r="9" spans="1:12" x14ac:dyDescent="0.25">
      <c r="A9" s="19" t="s">
        <v>124</v>
      </c>
      <c r="B9" s="19" t="s">
        <v>125</v>
      </c>
      <c r="C9" s="8" t="s">
        <v>126</v>
      </c>
      <c r="D9" s="19" t="s">
        <v>94</v>
      </c>
      <c r="E9" s="8" t="s">
        <v>127</v>
      </c>
      <c r="F9" s="8" t="s">
        <v>128</v>
      </c>
      <c r="G9" s="8" t="s">
        <v>129</v>
      </c>
      <c r="H9" s="8" t="s">
        <v>130</v>
      </c>
      <c r="I9" s="21" t="s">
        <v>131</v>
      </c>
      <c r="J9" s="19" t="s">
        <v>132</v>
      </c>
      <c r="K9" s="8" t="s">
        <v>133</v>
      </c>
      <c r="L9" s="8" t="s">
        <v>134</v>
      </c>
    </row>
    <row r="10" spans="1:12" x14ac:dyDescent="0.25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</row>
    <row r="11" spans="1:12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 x14ac:dyDescent="0.25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</row>
    <row r="13" spans="1:12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x14ac:dyDescent="0.25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</row>
    <row r="15" spans="1:12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 x14ac:dyDescent="0.25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</row>
    <row r="17" spans="1:12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 x14ac:dyDescent="0.25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</row>
    <row r="19" spans="1:12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 x14ac:dyDescent="0.2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</row>
    <row r="21" spans="1:12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 x14ac:dyDescent="0.2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</row>
    <row r="23" spans="1:12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 x14ac:dyDescent="0.2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</row>
    <row r="27" spans="1:12" ht="24" customHeight="1" x14ac:dyDescent="0.25">
      <c r="A27" s="52" t="s">
        <v>135</v>
      </c>
      <c r="B27" s="49"/>
      <c r="C27" s="49"/>
      <c r="D27" s="49"/>
      <c r="E27" s="22" t="s">
        <v>136</v>
      </c>
      <c r="F27" s="23">
        <f>COUNTA(A5:A100)</f>
        <v>6</v>
      </c>
      <c r="G27" s="22" t="s">
        <v>137</v>
      </c>
      <c r="H27" s="23">
        <f>COUNTIF(I5:I100,"active")</f>
        <v>4</v>
      </c>
      <c r="I27" s="22" t="s">
        <v>138</v>
      </c>
      <c r="J27" s="23">
        <f>COUNTIF(I5:I100,"faulty")</f>
        <v>2</v>
      </c>
      <c r="K27" s="22" t="s">
        <v>139</v>
      </c>
      <c r="L27" s="23">
        <f>COUNTIF(I5:I100,"expired")</f>
        <v>0</v>
      </c>
    </row>
  </sheetData>
  <mergeCells count="4">
    <mergeCell ref="A3:L3"/>
    <mergeCell ref="A2:L2"/>
    <mergeCell ref="A27:D27"/>
    <mergeCell ref="A1:L1"/>
  </mergeCells>
  <dataValidations count="2">
    <dataValidation type="list" allowBlank="1" showInputMessage="1" showErrorMessage="1" error="Invalid value" prompt="Select a value" sqref="B5:B100" xr:uid="{00000000-0002-0000-0100-000000000000}">
      <formula1>"extinguisher,hydrant,hose_reel,sprinkler,pump,panel"</formula1>
    </dataValidation>
    <dataValidation type="list" allowBlank="1" showInputMessage="1" showErrorMessage="1" error="Invalid value" prompt="Select a value" sqref="I5:I100" xr:uid="{00000000-0002-0000-0100-000001000000}">
      <formula1>"active,faulty,expired"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7E22"/>
  </sheetPr>
  <dimension ref="A1:K24"/>
  <sheetViews>
    <sheetView tabSelected="1" workbookViewId="0">
      <pane ySplit="4" topLeftCell="A5" activePane="bottomLeft" state="frozen"/>
      <selection pane="bottomLeft" activeCell="A5" sqref="A5:K24"/>
    </sheetView>
  </sheetViews>
  <sheetFormatPr defaultRowHeight="15" x14ac:dyDescent="0.25"/>
  <cols>
    <col min="1" max="1" width="20" customWidth="1"/>
    <col min="2" max="2" width="10" customWidth="1"/>
    <col min="3" max="3" width="14" customWidth="1"/>
    <col min="4" max="5" width="18" customWidth="1"/>
    <col min="6" max="7" width="14" customWidth="1"/>
    <col min="8" max="8" width="18" customWidth="1"/>
    <col min="9" max="9" width="16" customWidth="1"/>
    <col min="10" max="10" width="18" customWidth="1"/>
    <col min="11" max="11" width="32" customWidth="1"/>
  </cols>
  <sheetData>
    <row r="1" spans="1:11" ht="38.1" customHeight="1" x14ac:dyDescent="0.25">
      <c r="A1" s="60" t="s">
        <v>140</v>
      </c>
      <c r="B1" s="49"/>
      <c r="C1" s="49"/>
      <c r="D1" s="49"/>
      <c r="E1" s="49"/>
      <c r="F1" s="49"/>
      <c r="G1" s="49"/>
      <c r="H1" s="49"/>
      <c r="I1" s="49"/>
      <c r="J1" s="49"/>
      <c r="K1" s="49"/>
    </row>
    <row r="2" spans="1:11" ht="20.100000000000001" customHeight="1" x14ac:dyDescent="0.25">
      <c r="A2" s="59" t="s">
        <v>141</v>
      </c>
      <c r="B2" s="49"/>
      <c r="C2" s="49"/>
      <c r="D2" s="49"/>
      <c r="E2" s="49"/>
      <c r="F2" s="49"/>
      <c r="G2" s="49"/>
      <c r="H2" s="49"/>
      <c r="I2" s="49"/>
      <c r="J2" s="49"/>
      <c r="K2" s="49"/>
    </row>
    <row r="3" spans="1:11" ht="27.95" customHeight="1" x14ac:dyDescent="0.25">
      <c r="A3" s="58" t="s">
        <v>142</v>
      </c>
      <c r="B3" s="49"/>
      <c r="C3" s="49"/>
      <c r="D3" s="49"/>
      <c r="E3" s="49"/>
      <c r="F3" s="49"/>
      <c r="G3" s="49"/>
      <c r="H3" s="49"/>
      <c r="I3" s="49"/>
      <c r="J3" s="49"/>
      <c r="K3" s="49"/>
    </row>
    <row r="4" spans="1:11" ht="32.1" customHeight="1" x14ac:dyDescent="0.25">
      <c r="A4" s="24" t="s">
        <v>143</v>
      </c>
      <c r="B4" s="24" t="s">
        <v>70</v>
      </c>
      <c r="C4" s="24" t="s">
        <v>144</v>
      </c>
      <c r="D4" s="24" t="s">
        <v>145</v>
      </c>
      <c r="E4" s="24" t="s">
        <v>146</v>
      </c>
      <c r="F4" s="24" t="s">
        <v>147</v>
      </c>
      <c r="G4" s="24" t="s">
        <v>75</v>
      </c>
      <c r="H4" s="24" t="s">
        <v>148</v>
      </c>
      <c r="I4" s="24" t="s">
        <v>149</v>
      </c>
      <c r="J4" s="24" t="s">
        <v>150</v>
      </c>
      <c r="K4" s="24" t="s">
        <v>151</v>
      </c>
    </row>
    <row r="5" spans="1:11" x14ac:dyDescent="0.25">
      <c r="A5" s="61" t="s">
        <v>318</v>
      </c>
      <c r="B5" s="62" t="s">
        <v>319</v>
      </c>
      <c r="C5" s="62" t="s">
        <v>320</v>
      </c>
      <c r="D5" s="61" t="s">
        <v>321</v>
      </c>
      <c r="E5" s="63">
        <v>46023</v>
      </c>
      <c r="F5" s="64">
        <v>7.6388888888888886E-3</v>
      </c>
      <c r="G5" s="62" t="s">
        <v>156</v>
      </c>
      <c r="H5" s="62" t="s">
        <v>322</v>
      </c>
      <c r="I5" s="64">
        <v>1.3194444444444444E-2</v>
      </c>
      <c r="J5" s="63">
        <v>46023</v>
      </c>
      <c r="K5" s="61" t="s">
        <v>323</v>
      </c>
    </row>
    <row r="6" spans="1:11" x14ac:dyDescent="0.25">
      <c r="A6" s="65" t="s">
        <v>324</v>
      </c>
      <c r="B6" s="66" t="s">
        <v>325</v>
      </c>
      <c r="C6" s="66" t="s">
        <v>153</v>
      </c>
      <c r="D6" s="61" t="s">
        <v>321</v>
      </c>
      <c r="E6" s="63">
        <v>46024</v>
      </c>
      <c r="F6" s="67">
        <v>0.61944444444444446</v>
      </c>
      <c r="G6" s="66" t="s">
        <v>156</v>
      </c>
      <c r="H6" s="66" t="s">
        <v>326</v>
      </c>
      <c r="I6" s="67">
        <v>0.63680555555555551</v>
      </c>
      <c r="J6" s="63">
        <v>46024</v>
      </c>
      <c r="K6" s="65" t="s">
        <v>327</v>
      </c>
    </row>
    <row r="7" spans="1:11" x14ac:dyDescent="0.25">
      <c r="A7" s="61" t="s">
        <v>328</v>
      </c>
      <c r="B7" s="62" t="s">
        <v>329</v>
      </c>
      <c r="C7" s="62" t="s">
        <v>330</v>
      </c>
      <c r="D7" s="61" t="s">
        <v>321</v>
      </c>
      <c r="E7" s="63">
        <v>46025</v>
      </c>
      <c r="F7" s="64">
        <v>0.77083333333333337</v>
      </c>
      <c r="G7" s="62" t="s">
        <v>156</v>
      </c>
      <c r="H7" s="66" t="s">
        <v>326</v>
      </c>
      <c r="I7" s="64">
        <v>0.875</v>
      </c>
      <c r="J7" s="63">
        <v>46025</v>
      </c>
      <c r="K7" s="61" t="s">
        <v>331</v>
      </c>
    </row>
    <row r="8" spans="1:11" x14ac:dyDescent="0.25">
      <c r="A8" s="68" t="s">
        <v>332</v>
      </c>
      <c r="B8" s="69" t="s">
        <v>325</v>
      </c>
      <c r="C8" s="69" t="s">
        <v>333</v>
      </c>
      <c r="D8" s="61" t="s">
        <v>321</v>
      </c>
      <c r="E8" s="63">
        <v>46025</v>
      </c>
      <c r="F8" s="70">
        <v>0.81666666666666665</v>
      </c>
      <c r="G8" s="69" t="s">
        <v>156</v>
      </c>
      <c r="H8" s="66" t="s">
        <v>326</v>
      </c>
      <c r="I8" s="70">
        <v>0.8256944444444444</v>
      </c>
      <c r="J8" s="63">
        <v>46025</v>
      </c>
      <c r="K8" s="71" t="s">
        <v>334</v>
      </c>
    </row>
    <row r="9" spans="1:11" x14ac:dyDescent="0.25">
      <c r="A9" s="68" t="s">
        <v>335</v>
      </c>
      <c r="B9" s="69" t="s">
        <v>336</v>
      </c>
      <c r="C9" s="69" t="s">
        <v>337</v>
      </c>
      <c r="D9" s="61" t="s">
        <v>321</v>
      </c>
      <c r="E9" s="63">
        <v>46026</v>
      </c>
      <c r="F9" s="70">
        <v>0.39791666666666664</v>
      </c>
      <c r="G9" s="69" t="s">
        <v>156</v>
      </c>
      <c r="H9" s="66" t="s">
        <v>326</v>
      </c>
      <c r="I9" s="70">
        <v>0.41666666666666669</v>
      </c>
      <c r="J9" s="63">
        <v>46026</v>
      </c>
      <c r="K9" s="71" t="s">
        <v>338</v>
      </c>
    </row>
    <row r="10" spans="1:11" x14ac:dyDescent="0.25">
      <c r="A10" s="68" t="s">
        <v>339</v>
      </c>
      <c r="B10" s="69" t="s">
        <v>340</v>
      </c>
      <c r="C10" s="69" t="s">
        <v>153</v>
      </c>
      <c r="D10" s="61" t="s">
        <v>321</v>
      </c>
      <c r="E10" s="63">
        <v>46030</v>
      </c>
      <c r="F10" s="70">
        <v>0.49375000000000002</v>
      </c>
      <c r="G10" s="69" t="s">
        <v>156</v>
      </c>
      <c r="H10" s="66" t="s">
        <v>326</v>
      </c>
      <c r="I10" s="70">
        <v>0.49722222222222223</v>
      </c>
      <c r="J10" s="63">
        <v>46030</v>
      </c>
      <c r="K10" s="71" t="s">
        <v>341</v>
      </c>
    </row>
    <row r="11" spans="1:11" x14ac:dyDescent="0.25">
      <c r="A11" s="68" t="s">
        <v>339</v>
      </c>
      <c r="B11" s="69" t="s">
        <v>340</v>
      </c>
      <c r="C11" s="69" t="s">
        <v>153</v>
      </c>
      <c r="D11" s="61" t="s">
        <v>321</v>
      </c>
      <c r="E11" s="63">
        <v>46030</v>
      </c>
      <c r="F11" s="70">
        <v>0.49513888888888891</v>
      </c>
      <c r="G11" s="69" t="s">
        <v>156</v>
      </c>
      <c r="H11" s="66" t="s">
        <v>326</v>
      </c>
      <c r="I11" s="70">
        <v>0.49722222222222223</v>
      </c>
      <c r="J11" s="63">
        <v>46030</v>
      </c>
      <c r="K11" s="71" t="s">
        <v>341</v>
      </c>
    </row>
    <row r="12" spans="1:11" x14ac:dyDescent="0.25">
      <c r="A12" s="68" t="s">
        <v>339</v>
      </c>
      <c r="B12" s="69" t="s">
        <v>340</v>
      </c>
      <c r="C12" s="69" t="s">
        <v>153</v>
      </c>
      <c r="D12" s="61" t="s">
        <v>321</v>
      </c>
      <c r="E12" s="63">
        <v>46030</v>
      </c>
      <c r="F12" s="70">
        <v>0.5083333333333333</v>
      </c>
      <c r="G12" s="69" t="s">
        <v>156</v>
      </c>
      <c r="H12" s="66" t="s">
        <v>326</v>
      </c>
      <c r="I12" s="70">
        <v>0.51111111111111107</v>
      </c>
      <c r="J12" s="63">
        <v>46030</v>
      </c>
      <c r="K12" s="71" t="s">
        <v>341</v>
      </c>
    </row>
    <row r="13" spans="1:11" x14ac:dyDescent="0.25">
      <c r="A13" s="68" t="s">
        <v>342</v>
      </c>
      <c r="B13" s="69" t="s">
        <v>343</v>
      </c>
      <c r="C13" s="69" t="s">
        <v>153</v>
      </c>
      <c r="D13" s="61" t="s">
        <v>321</v>
      </c>
      <c r="E13" s="63">
        <v>46032</v>
      </c>
      <c r="F13" s="70">
        <v>0.66388888888888886</v>
      </c>
      <c r="G13" s="69" t="s">
        <v>156</v>
      </c>
      <c r="H13" s="66" t="s">
        <v>326</v>
      </c>
      <c r="I13" s="70">
        <v>0.66805555555555551</v>
      </c>
      <c r="J13" s="63">
        <v>46032</v>
      </c>
      <c r="K13" s="71" t="s">
        <v>344</v>
      </c>
    </row>
    <row r="14" spans="1:11" x14ac:dyDescent="0.25">
      <c r="A14" s="68" t="s">
        <v>345</v>
      </c>
      <c r="B14" s="69" t="s">
        <v>346</v>
      </c>
      <c r="C14" s="69" t="s">
        <v>347</v>
      </c>
      <c r="D14" s="61" t="s">
        <v>321</v>
      </c>
      <c r="E14" s="63">
        <v>46032</v>
      </c>
      <c r="F14" s="70">
        <v>0.76736111111111116</v>
      </c>
      <c r="G14" s="69" t="s">
        <v>156</v>
      </c>
      <c r="H14" s="66" t="s">
        <v>326</v>
      </c>
      <c r="I14" s="70">
        <v>0.91666666666666663</v>
      </c>
      <c r="J14" s="63">
        <v>46032</v>
      </c>
      <c r="K14" s="71" t="s">
        <v>331</v>
      </c>
    </row>
    <row r="15" spans="1:11" x14ac:dyDescent="0.25">
      <c r="A15" s="68" t="s">
        <v>348</v>
      </c>
      <c r="B15" s="69" t="s">
        <v>346</v>
      </c>
      <c r="C15" s="69" t="s">
        <v>337</v>
      </c>
      <c r="D15" s="61" t="s">
        <v>321</v>
      </c>
      <c r="E15" s="63">
        <v>46033</v>
      </c>
      <c r="F15" s="70">
        <v>0.38124999999999998</v>
      </c>
      <c r="G15" s="69" t="s">
        <v>156</v>
      </c>
      <c r="H15" s="66" t="s">
        <v>326</v>
      </c>
      <c r="I15" s="70">
        <v>0.40347222222222223</v>
      </c>
      <c r="J15" s="63">
        <v>46033</v>
      </c>
      <c r="K15" s="71" t="s">
        <v>338</v>
      </c>
    </row>
    <row r="16" spans="1:11" x14ac:dyDescent="0.25">
      <c r="A16" s="68" t="s">
        <v>349</v>
      </c>
      <c r="B16" s="69" t="s">
        <v>340</v>
      </c>
      <c r="C16" s="68" t="s">
        <v>350</v>
      </c>
      <c r="D16" s="61" t="s">
        <v>321</v>
      </c>
      <c r="E16" s="63">
        <v>46036</v>
      </c>
      <c r="F16" s="70">
        <v>0.44444444444444442</v>
      </c>
      <c r="G16" s="69" t="s">
        <v>156</v>
      </c>
      <c r="H16" s="66" t="s">
        <v>326</v>
      </c>
      <c r="I16" s="70">
        <v>0.4465277777777778</v>
      </c>
      <c r="J16" s="63">
        <v>46036</v>
      </c>
      <c r="K16" s="71" t="s">
        <v>351</v>
      </c>
    </row>
    <row r="17" spans="1:11" x14ac:dyDescent="0.25">
      <c r="A17" s="68" t="s">
        <v>352</v>
      </c>
      <c r="B17" s="69" t="s">
        <v>329</v>
      </c>
      <c r="C17" s="69" t="s">
        <v>330</v>
      </c>
      <c r="D17" s="61" t="s">
        <v>321</v>
      </c>
      <c r="E17" s="63">
        <v>46039</v>
      </c>
      <c r="F17" s="70">
        <v>0.84027777777777779</v>
      </c>
      <c r="G17" s="69" t="s">
        <v>156</v>
      </c>
      <c r="H17" s="69" t="s">
        <v>353</v>
      </c>
      <c r="I17" s="70">
        <v>0.88888888888888884</v>
      </c>
      <c r="J17" s="63">
        <v>46039</v>
      </c>
      <c r="K17" s="71" t="s">
        <v>331</v>
      </c>
    </row>
    <row r="18" spans="1:11" x14ac:dyDescent="0.25">
      <c r="A18" s="68" t="s">
        <v>335</v>
      </c>
      <c r="B18" s="69" t="s">
        <v>336</v>
      </c>
      <c r="C18" s="69" t="s">
        <v>337</v>
      </c>
      <c r="D18" s="61" t="s">
        <v>321</v>
      </c>
      <c r="E18" s="63">
        <v>46040</v>
      </c>
      <c r="F18" s="70">
        <v>0.37986111111111109</v>
      </c>
      <c r="G18" s="69" t="s">
        <v>156</v>
      </c>
      <c r="H18" s="69" t="s">
        <v>353</v>
      </c>
      <c r="I18" s="70">
        <v>0.40347222222222223</v>
      </c>
      <c r="J18" s="63">
        <v>46040</v>
      </c>
      <c r="K18" s="71" t="s">
        <v>338</v>
      </c>
    </row>
    <row r="19" spans="1:11" x14ac:dyDescent="0.25">
      <c r="A19" s="68" t="s">
        <v>354</v>
      </c>
      <c r="B19" s="69" t="s">
        <v>355</v>
      </c>
      <c r="C19" s="69" t="b">
        <v>0</v>
      </c>
      <c r="D19" s="61" t="s">
        <v>321</v>
      </c>
      <c r="E19" s="63">
        <v>46043</v>
      </c>
      <c r="F19" s="70">
        <v>0.54513888888888884</v>
      </c>
      <c r="G19" s="69" t="b">
        <v>0</v>
      </c>
      <c r="H19" s="69" t="s">
        <v>353</v>
      </c>
      <c r="I19" s="70">
        <v>0.55000000000000004</v>
      </c>
      <c r="J19" s="63">
        <v>46043</v>
      </c>
      <c r="K19" s="71" t="b">
        <v>0</v>
      </c>
    </row>
    <row r="20" spans="1:11" x14ac:dyDescent="0.25">
      <c r="A20" s="68" t="s">
        <v>352</v>
      </c>
      <c r="B20" s="69" t="s">
        <v>356</v>
      </c>
      <c r="C20" s="69" t="s">
        <v>347</v>
      </c>
      <c r="D20" s="61" t="s">
        <v>321</v>
      </c>
      <c r="E20" s="63">
        <v>46046</v>
      </c>
      <c r="F20" s="70">
        <v>0.76875000000000004</v>
      </c>
      <c r="G20" s="69" t="s">
        <v>156</v>
      </c>
      <c r="H20" s="66" t="s">
        <v>326</v>
      </c>
      <c r="I20" s="70">
        <v>0.875</v>
      </c>
      <c r="J20" s="63">
        <v>46046</v>
      </c>
      <c r="K20" s="71" t="s">
        <v>331</v>
      </c>
    </row>
    <row r="21" spans="1:11" x14ac:dyDescent="0.25">
      <c r="A21" s="68" t="s">
        <v>335</v>
      </c>
      <c r="B21" s="69" t="s">
        <v>336</v>
      </c>
      <c r="C21" s="69" t="s">
        <v>337</v>
      </c>
      <c r="D21" s="61" t="s">
        <v>321</v>
      </c>
      <c r="E21" s="63">
        <v>46047</v>
      </c>
      <c r="F21" s="70">
        <v>0.4152777777777778</v>
      </c>
      <c r="G21" s="69" t="s">
        <v>156</v>
      </c>
      <c r="H21" s="66" t="s">
        <v>326</v>
      </c>
      <c r="I21" s="70">
        <v>0.43819444444444444</v>
      </c>
      <c r="J21" s="63">
        <v>46047</v>
      </c>
      <c r="K21" s="71" t="s">
        <v>338</v>
      </c>
    </row>
    <row r="22" spans="1:11" x14ac:dyDescent="0.25">
      <c r="A22" s="68" t="s">
        <v>357</v>
      </c>
      <c r="B22" s="69" t="s">
        <v>358</v>
      </c>
      <c r="C22" s="69" t="b">
        <v>0</v>
      </c>
      <c r="D22" s="61" t="s">
        <v>321</v>
      </c>
      <c r="E22" s="63">
        <v>46049</v>
      </c>
      <c r="F22" s="70">
        <v>0.88194444444444442</v>
      </c>
      <c r="G22" s="69" t="s">
        <v>156</v>
      </c>
      <c r="H22" s="69" t="s">
        <v>353</v>
      </c>
      <c r="I22" s="70">
        <v>0.88888888888888884</v>
      </c>
      <c r="J22" s="63">
        <v>46049</v>
      </c>
      <c r="K22" s="71" t="b">
        <v>0</v>
      </c>
    </row>
    <row r="23" spans="1:11" x14ac:dyDescent="0.25">
      <c r="A23" s="68" t="s">
        <v>359</v>
      </c>
      <c r="B23" s="69" t="s">
        <v>325</v>
      </c>
      <c r="C23" s="68" t="b">
        <v>0</v>
      </c>
      <c r="D23" s="61" t="s">
        <v>321</v>
      </c>
      <c r="E23" s="63">
        <v>46052</v>
      </c>
      <c r="F23" s="70">
        <v>0.36736111111111114</v>
      </c>
      <c r="G23" s="69" t="s">
        <v>156</v>
      </c>
      <c r="H23" s="66" t="s">
        <v>326</v>
      </c>
      <c r="I23" s="70">
        <v>0.42986111111111114</v>
      </c>
      <c r="J23" s="63">
        <v>46052</v>
      </c>
      <c r="K23" s="71" t="b">
        <v>0</v>
      </c>
    </row>
    <row r="24" spans="1:11" x14ac:dyDescent="0.25">
      <c r="A24" s="68" t="s">
        <v>360</v>
      </c>
      <c r="B24" s="69" t="s">
        <v>329</v>
      </c>
      <c r="C24" s="69" t="s">
        <v>330</v>
      </c>
      <c r="D24" s="61" t="s">
        <v>321</v>
      </c>
      <c r="E24" s="63">
        <v>46053</v>
      </c>
      <c r="F24" s="70">
        <v>0.76527777777777772</v>
      </c>
      <c r="G24" s="69" t="s">
        <v>156</v>
      </c>
      <c r="H24" s="66" t="s">
        <v>326</v>
      </c>
      <c r="I24" s="70">
        <v>0.82986111111111116</v>
      </c>
      <c r="J24" s="63">
        <v>46053</v>
      </c>
      <c r="K24" s="71" t="s">
        <v>331</v>
      </c>
    </row>
  </sheetData>
  <mergeCells count="3">
    <mergeCell ref="A2:K2"/>
    <mergeCell ref="A1:K1"/>
    <mergeCell ref="A3:K3"/>
  </mergeCells>
  <dataValidations count="2">
    <dataValidation type="list" allowBlank="1" showInputMessage="1" showErrorMessage="1" error="Invalid value" prompt="Select a value" sqref="C5:C200" xr:uid="{00000000-0002-0000-0200-000000000000}">
      <formula1>"smoke,heat,manual"</formula1>
    </dataValidation>
    <dataValidation type="list" allowBlank="1" showInputMessage="1" showErrorMessage="1" error="Invalid value" prompt="Select a value" sqref="G5:G200" xr:uid="{00000000-0002-0000-0200-000001000000}">
      <formula1>"active,acknowledged,resolved,false_alarm"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E8449"/>
  </sheetPr>
  <dimension ref="A1:N22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18" customWidth="1"/>
    <col min="2" max="3" width="14" customWidth="1"/>
    <col min="4" max="4" width="20" customWidth="1"/>
    <col min="5" max="5" width="14" customWidth="1"/>
    <col min="6" max="6" width="18" customWidth="1"/>
    <col min="7" max="7" width="12" customWidth="1"/>
    <col min="8" max="8" width="14" customWidth="1"/>
    <col min="9" max="10" width="12" customWidth="1"/>
    <col min="11" max="13" width="14" customWidth="1"/>
    <col min="14" max="14" width="32" customWidth="1"/>
  </cols>
  <sheetData>
    <row r="1" spans="1:14" ht="38.1" customHeight="1" x14ac:dyDescent="0.25">
      <c r="A1" s="60" t="s">
        <v>162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</row>
    <row r="2" spans="1:14" ht="20.100000000000001" customHeight="1" x14ac:dyDescent="0.25">
      <c r="A2" s="59" t="s">
        <v>163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</row>
    <row r="3" spans="1:14" ht="27.95" customHeight="1" x14ac:dyDescent="0.25">
      <c r="A3" s="58" t="s">
        <v>164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</row>
    <row r="4" spans="1:14" ht="36" customHeight="1" x14ac:dyDescent="0.25">
      <c r="A4" s="25" t="s">
        <v>165</v>
      </c>
      <c r="B4" s="25" t="s">
        <v>67</v>
      </c>
      <c r="C4" s="25" t="s">
        <v>68</v>
      </c>
      <c r="D4" s="25" t="s">
        <v>166</v>
      </c>
      <c r="E4" s="25" t="s">
        <v>167</v>
      </c>
      <c r="F4" s="25" t="s">
        <v>168</v>
      </c>
      <c r="G4" s="25" t="s">
        <v>169</v>
      </c>
      <c r="H4" s="25" t="s">
        <v>170</v>
      </c>
      <c r="I4" s="25" t="s">
        <v>171</v>
      </c>
      <c r="J4" s="25" t="s">
        <v>172</v>
      </c>
      <c r="K4" s="25" t="s">
        <v>173</v>
      </c>
      <c r="L4" s="25" t="s">
        <v>174</v>
      </c>
      <c r="M4" s="25" t="s">
        <v>175</v>
      </c>
      <c r="N4" s="25" t="s">
        <v>78</v>
      </c>
    </row>
    <row r="5" spans="1:14" x14ac:dyDescent="0.25">
      <c r="A5" s="19" t="s">
        <v>176</v>
      </c>
      <c r="B5" s="19" t="s">
        <v>79</v>
      </c>
      <c r="C5" s="19" t="s">
        <v>80</v>
      </c>
      <c r="D5" s="8" t="s">
        <v>81</v>
      </c>
      <c r="E5" s="19" t="s">
        <v>177</v>
      </c>
      <c r="F5" s="8" t="s">
        <v>178</v>
      </c>
      <c r="G5" s="26" t="s">
        <v>179</v>
      </c>
      <c r="H5" s="26" t="s">
        <v>179</v>
      </c>
      <c r="I5" s="26" t="s">
        <v>179</v>
      </c>
      <c r="J5" s="26" t="s">
        <v>179</v>
      </c>
      <c r="K5" s="26" t="s">
        <v>179</v>
      </c>
      <c r="L5" s="26" t="s">
        <v>179</v>
      </c>
      <c r="M5" s="19" t="s">
        <v>180</v>
      </c>
      <c r="N5" s="8" t="s">
        <v>181</v>
      </c>
    </row>
    <row r="6" spans="1:14" x14ac:dyDescent="0.25">
      <c r="A6" s="20" t="s">
        <v>176</v>
      </c>
      <c r="B6" s="20" t="s">
        <v>91</v>
      </c>
      <c r="C6" s="20" t="s">
        <v>92</v>
      </c>
      <c r="D6" s="4" t="s">
        <v>182</v>
      </c>
      <c r="E6" s="20" t="s">
        <v>183</v>
      </c>
      <c r="F6" s="4" t="s">
        <v>178</v>
      </c>
      <c r="G6" s="26" t="s">
        <v>179</v>
      </c>
      <c r="H6" s="26" t="s">
        <v>179</v>
      </c>
      <c r="I6" s="26" t="s">
        <v>179</v>
      </c>
      <c r="J6" s="26" t="s">
        <v>179</v>
      </c>
      <c r="K6" s="26" t="s">
        <v>179</v>
      </c>
      <c r="L6" s="26" t="s">
        <v>179</v>
      </c>
      <c r="M6" s="20" t="s">
        <v>180</v>
      </c>
      <c r="N6" s="4" t="s">
        <v>184</v>
      </c>
    </row>
    <row r="7" spans="1:14" x14ac:dyDescent="0.25">
      <c r="A7" s="19" t="s">
        <v>161</v>
      </c>
      <c r="B7" s="19" t="s">
        <v>124</v>
      </c>
      <c r="C7" s="19" t="s">
        <v>125</v>
      </c>
      <c r="D7" s="8" t="s">
        <v>185</v>
      </c>
      <c r="E7" s="19" t="s">
        <v>186</v>
      </c>
      <c r="F7" s="8" t="s">
        <v>160</v>
      </c>
      <c r="G7" s="19" t="s">
        <v>187</v>
      </c>
      <c r="H7" s="26" t="s">
        <v>179</v>
      </c>
      <c r="I7" s="19" t="s">
        <v>187</v>
      </c>
      <c r="J7" s="26" t="s">
        <v>179</v>
      </c>
      <c r="K7" s="26" t="s">
        <v>179</v>
      </c>
      <c r="L7" s="19" t="s">
        <v>187</v>
      </c>
      <c r="M7" s="21" t="s">
        <v>131</v>
      </c>
      <c r="N7" s="8" t="s">
        <v>188</v>
      </c>
    </row>
    <row r="8" spans="1:14" x14ac:dyDescent="0.25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</row>
    <row r="9" spans="1:14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x14ac:dyDescent="0.25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</row>
    <row r="11" spans="1:14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4" x14ac:dyDescent="0.25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</row>
    <row r="13" spans="1:14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 x14ac:dyDescent="0.25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</row>
    <row r="15" spans="1:14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4" x14ac:dyDescent="0.25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</row>
    <row r="17" spans="1:14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 x14ac:dyDescent="0.25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</row>
    <row r="19" spans="1:14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1:14" x14ac:dyDescent="0.2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</row>
    <row r="21" spans="1:14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1:14" x14ac:dyDescent="0.2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</row>
  </sheetData>
  <mergeCells count="3">
    <mergeCell ref="A3:N3"/>
    <mergeCell ref="A2:N2"/>
    <mergeCell ref="A1:N1"/>
  </mergeCells>
  <dataValidations count="4">
    <dataValidation type="list" allowBlank="1" showInputMessage="1" showErrorMessage="1" error="Invalid value" prompt="Select a value" sqref="G5:L200" xr:uid="{00000000-0002-0000-0300-000000000000}">
      <formula1>"PASS,FAIL,N/A"</formula1>
    </dataValidation>
    <dataValidation type="list" allowBlank="1" showInputMessage="1" showErrorMessage="1" error="Invalid value" prompt="Select a value" sqref="E5:E200" xr:uid="{00000000-0002-0000-0300-000006000000}">
      <formula1>"daily,weekly,monthly,annual"</formula1>
    </dataValidation>
    <dataValidation type="list" allowBlank="1" showInputMessage="1" showErrorMessage="1" error="Invalid value" prompt="Select a value" sqref="M5:M200" xr:uid="{00000000-0002-0000-0300-000007000000}">
      <formula1>"ok,faulty"</formula1>
    </dataValidation>
    <dataValidation type="list" allowBlank="1" showInputMessage="1" showErrorMessage="1" error="Invalid value" prompt="Select a value" sqref="C5:C200" xr:uid="{00000000-0002-0000-0300-000008000000}">
      <formula1>"extinguisher,hydrant,hose_reel,sprinkler,pump,panel"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17A8B"/>
  </sheetPr>
  <dimension ref="A1:L25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12" customWidth="1"/>
    <col min="2" max="3" width="14" customWidth="1"/>
    <col min="4" max="4" width="20" customWidth="1"/>
    <col min="5" max="5" width="30" customWidth="1"/>
    <col min="6" max="8" width="18" customWidth="1"/>
    <col min="9" max="9" width="14" customWidth="1"/>
    <col min="10" max="10" width="20" customWidth="1"/>
    <col min="11" max="11" width="12" customWidth="1"/>
    <col min="12" max="12" width="28" customWidth="1"/>
  </cols>
  <sheetData>
    <row r="1" spans="1:12" ht="38.1" customHeight="1" x14ac:dyDescent="0.25">
      <c r="A1" s="60" t="s">
        <v>189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ht="20.100000000000001" customHeight="1" x14ac:dyDescent="0.25">
      <c r="A2" s="59" t="s">
        <v>190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</row>
    <row r="3" spans="1:12" ht="27.95" customHeight="1" x14ac:dyDescent="0.25">
      <c r="A3" s="58" t="s">
        <v>191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</row>
    <row r="4" spans="1:12" ht="36" customHeight="1" x14ac:dyDescent="0.25">
      <c r="A4" s="27" t="s">
        <v>192</v>
      </c>
      <c r="B4" s="27" t="s">
        <v>67</v>
      </c>
      <c r="C4" s="27" t="s">
        <v>193</v>
      </c>
      <c r="D4" s="27" t="s">
        <v>194</v>
      </c>
      <c r="E4" s="27" t="s">
        <v>195</v>
      </c>
      <c r="F4" s="27" t="s">
        <v>196</v>
      </c>
      <c r="G4" s="27" t="s">
        <v>197</v>
      </c>
      <c r="H4" s="27" t="s">
        <v>198</v>
      </c>
      <c r="I4" s="27" t="s">
        <v>75</v>
      </c>
      <c r="J4" s="27" t="s">
        <v>199</v>
      </c>
      <c r="K4" s="27" t="s">
        <v>200</v>
      </c>
      <c r="L4" s="27" t="s">
        <v>78</v>
      </c>
    </row>
    <row r="5" spans="1:12" x14ac:dyDescent="0.25">
      <c r="A5" s="19" t="s">
        <v>201</v>
      </c>
      <c r="B5" s="19" t="s">
        <v>113</v>
      </c>
      <c r="C5" s="19" t="s">
        <v>114</v>
      </c>
      <c r="D5" s="8" t="s">
        <v>202</v>
      </c>
      <c r="E5" s="8" t="s">
        <v>203</v>
      </c>
      <c r="F5" s="19" t="s">
        <v>204</v>
      </c>
      <c r="G5" s="19"/>
      <c r="H5" s="8" t="s">
        <v>205</v>
      </c>
      <c r="I5" s="19" t="s">
        <v>206</v>
      </c>
      <c r="J5" s="8" t="s">
        <v>207</v>
      </c>
      <c r="K5" s="8"/>
      <c r="L5" s="8" t="s">
        <v>208</v>
      </c>
    </row>
    <row r="6" spans="1:12" x14ac:dyDescent="0.25">
      <c r="A6" s="20" t="s">
        <v>209</v>
      </c>
      <c r="B6" s="20" t="s">
        <v>124</v>
      </c>
      <c r="C6" s="20" t="s">
        <v>125</v>
      </c>
      <c r="D6" s="4" t="s">
        <v>185</v>
      </c>
      <c r="E6" s="4" t="s">
        <v>210</v>
      </c>
      <c r="F6" s="20" t="s">
        <v>211</v>
      </c>
      <c r="G6" s="20" t="s">
        <v>211</v>
      </c>
      <c r="H6" s="4" t="s">
        <v>212</v>
      </c>
      <c r="I6" s="26" t="s">
        <v>213</v>
      </c>
      <c r="J6" s="4" t="s">
        <v>214</v>
      </c>
      <c r="K6" s="4" t="s">
        <v>215</v>
      </c>
      <c r="L6" s="4" t="s">
        <v>216</v>
      </c>
    </row>
    <row r="7" spans="1:12" x14ac:dyDescent="0.25">
      <c r="A7" s="19" t="s">
        <v>201</v>
      </c>
      <c r="B7" s="19" t="s">
        <v>79</v>
      </c>
      <c r="C7" s="19" t="s">
        <v>80</v>
      </c>
      <c r="D7" s="8" t="s">
        <v>217</v>
      </c>
      <c r="E7" s="8" t="s">
        <v>218</v>
      </c>
      <c r="F7" s="19" t="s">
        <v>219</v>
      </c>
      <c r="G7" s="19"/>
      <c r="H7" s="8" t="s">
        <v>88</v>
      </c>
      <c r="I7" s="19" t="s">
        <v>206</v>
      </c>
      <c r="J7" s="8" t="s">
        <v>220</v>
      </c>
      <c r="K7" s="8" t="s">
        <v>221</v>
      </c>
      <c r="L7" s="8" t="s">
        <v>222</v>
      </c>
    </row>
    <row r="8" spans="1:12" x14ac:dyDescent="0.25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</row>
    <row r="9" spans="1:12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 x14ac:dyDescent="0.25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</row>
    <row r="11" spans="1:12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 x14ac:dyDescent="0.25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</row>
    <row r="13" spans="1:12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x14ac:dyDescent="0.25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</row>
    <row r="15" spans="1:12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 x14ac:dyDescent="0.25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</row>
    <row r="17" spans="1:12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 x14ac:dyDescent="0.25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</row>
    <row r="19" spans="1:12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 x14ac:dyDescent="0.2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</row>
    <row r="21" spans="1:12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 x14ac:dyDescent="0.2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</row>
    <row r="25" spans="1:12" ht="24" customHeight="1" x14ac:dyDescent="0.25">
      <c r="A25" s="28" t="s">
        <v>223</v>
      </c>
      <c r="B25" s="29" t="str">
        <f ca="1">COUNTA(B5:B100)</f>
        <v/>
      </c>
      <c r="C25" s="30" t="s">
        <v>213</v>
      </c>
      <c r="D25" s="31">
        <f>COUNTIF(I5:I100,"Completed")</f>
        <v>1</v>
      </c>
      <c r="E25" s="32" t="s">
        <v>206</v>
      </c>
      <c r="F25" s="33">
        <f>COUNTIF(I5:I100,"Scheduled")</f>
        <v>2</v>
      </c>
      <c r="G25" s="34" t="s">
        <v>224</v>
      </c>
      <c r="H25" s="35">
        <f>COUNTIF(I5:I100,"Overdue")</f>
        <v>0</v>
      </c>
      <c r="I25" s="36" t="s">
        <v>225</v>
      </c>
      <c r="J25" s="37">
        <f>SUM(K5:K100)</f>
        <v>0</v>
      </c>
    </row>
  </sheetData>
  <mergeCells count="3">
    <mergeCell ref="A3:L3"/>
    <mergeCell ref="A2:L2"/>
    <mergeCell ref="A1:L1"/>
  </mergeCells>
  <dataValidations count="3">
    <dataValidation type="list" allowBlank="1" showInputMessage="1" showErrorMessage="1" error="Invalid value" prompt="Select a value" sqref="A5:A200" xr:uid="{00000000-0002-0000-0400-000000000000}">
      <formula1>"PM,repair"</formula1>
    </dataValidation>
    <dataValidation type="list" allowBlank="1" showInputMessage="1" showErrorMessage="1" error="Invalid value" prompt="Select a value" sqref="C5:C200" xr:uid="{00000000-0002-0000-0400-000001000000}">
      <formula1>"extinguisher,hydrant,hose_reel,sprinkler,pump,panel"</formula1>
    </dataValidation>
    <dataValidation type="list" allowBlank="1" showInputMessage="1" showErrorMessage="1" error="Invalid value" prompt="Select a value" sqref="I5:I200" xr:uid="{00000000-0002-0000-0400-000002000000}">
      <formula1>"Scheduled,In Progress,Completed,Overdue"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0392B"/>
  </sheetPr>
  <dimension ref="A1:M21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18" customWidth="1"/>
    <col min="2" max="2" width="12" customWidth="1"/>
    <col min="3" max="3" width="20" customWidth="1"/>
    <col min="4" max="4" width="12" customWidth="1"/>
    <col min="5" max="5" width="35" customWidth="1"/>
    <col min="6" max="6" width="18" customWidth="1"/>
    <col min="7" max="7" width="14" customWidth="1"/>
    <col min="8" max="8" width="12" customWidth="1"/>
    <col min="9" max="9" width="35" customWidth="1"/>
    <col min="10" max="10" width="12" customWidth="1"/>
    <col min="11" max="11" width="18" customWidth="1"/>
    <col min="12" max="12" width="14" customWidth="1"/>
    <col min="13" max="13" width="28" customWidth="1"/>
  </cols>
  <sheetData>
    <row r="1" spans="1:13" ht="38.1" customHeight="1" x14ac:dyDescent="0.25">
      <c r="A1" s="60" t="s">
        <v>226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</row>
    <row r="2" spans="1:13" ht="20.100000000000001" customHeight="1" x14ac:dyDescent="0.25">
      <c r="A2" s="59" t="s">
        <v>227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</row>
    <row r="3" spans="1:13" ht="27.95" customHeight="1" x14ac:dyDescent="0.25">
      <c r="A3" s="58" t="s">
        <v>228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</row>
    <row r="4" spans="1:13" ht="36" customHeight="1" x14ac:dyDescent="0.25">
      <c r="A4" s="18" t="s">
        <v>229</v>
      </c>
      <c r="B4" s="18" t="s">
        <v>230</v>
      </c>
      <c r="C4" s="18" t="s">
        <v>143</v>
      </c>
      <c r="D4" s="18" t="s">
        <v>231</v>
      </c>
      <c r="E4" s="18" t="s">
        <v>195</v>
      </c>
      <c r="F4" s="18" t="s">
        <v>232</v>
      </c>
      <c r="G4" s="18" t="s">
        <v>233</v>
      </c>
      <c r="H4" s="18" t="s">
        <v>234</v>
      </c>
      <c r="I4" s="18" t="s">
        <v>235</v>
      </c>
      <c r="J4" s="18" t="s">
        <v>236</v>
      </c>
      <c r="K4" s="18" t="s">
        <v>237</v>
      </c>
      <c r="L4" s="18" t="s">
        <v>75</v>
      </c>
      <c r="M4" s="18" t="s">
        <v>78</v>
      </c>
    </row>
    <row r="5" spans="1:13" ht="25.5" x14ac:dyDescent="0.25">
      <c r="A5" s="38" t="s">
        <v>154</v>
      </c>
      <c r="B5" s="38" t="s">
        <v>155</v>
      </c>
      <c r="C5" s="17" t="s">
        <v>152</v>
      </c>
      <c r="D5" s="38" t="s">
        <v>238</v>
      </c>
      <c r="E5" s="39" t="s">
        <v>239</v>
      </c>
      <c r="F5" s="17" t="s">
        <v>160</v>
      </c>
      <c r="G5" s="38" t="s">
        <v>240</v>
      </c>
      <c r="H5" s="38" t="s">
        <v>241</v>
      </c>
      <c r="I5" s="39" t="s">
        <v>242</v>
      </c>
      <c r="J5" s="38" t="s">
        <v>243</v>
      </c>
      <c r="K5" s="38" t="s">
        <v>154</v>
      </c>
      <c r="L5" s="38" t="s">
        <v>244</v>
      </c>
      <c r="M5" s="39" t="s">
        <v>245</v>
      </c>
    </row>
    <row r="6" spans="1:13" ht="25.5" x14ac:dyDescent="0.25">
      <c r="A6" s="40" t="s">
        <v>158</v>
      </c>
      <c r="B6" s="40" t="s">
        <v>159</v>
      </c>
      <c r="C6" s="41" t="s">
        <v>81</v>
      </c>
      <c r="D6" s="40" t="s">
        <v>246</v>
      </c>
      <c r="E6" s="42" t="s">
        <v>247</v>
      </c>
      <c r="F6" s="41" t="s">
        <v>248</v>
      </c>
      <c r="G6" s="40" t="s">
        <v>240</v>
      </c>
      <c r="H6" s="40" t="s">
        <v>240</v>
      </c>
      <c r="I6" s="42" t="s">
        <v>249</v>
      </c>
      <c r="J6" s="40" t="s">
        <v>250</v>
      </c>
      <c r="K6" s="40" t="s">
        <v>158</v>
      </c>
      <c r="L6" s="40" t="s">
        <v>244</v>
      </c>
      <c r="M6" s="42" t="s">
        <v>251</v>
      </c>
    </row>
    <row r="7" spans="1:13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3" x14ac:dyDescent="0.25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</row>
    <row r="9" spans="1:13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 spans="1:13" x14ac:dyDescent="0.25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</row>
    <row r="11" spans="1:13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spans="1:13" x14ac:dyDescent="0.25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</row>
    <row r="13" spans="1:13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3" x14ac:dyDescent="0.25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</row>
    <row r="15" spans="1:13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3" x14ac:dyDescent="0.25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</row>
    <row r="17" spans="1:13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1:13" x14ac:dyDescent="0.25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</row>
    <row r="19" spans="1:13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3" x14ac:dyDescent="0.2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</row>
    <row r="21" spans="1:13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</sheetData>
  <mergeCells count="3">
    <mergeCell ref="A3:M3"/>
    <mergeCell ref="A2:M2"/>
    <mergeCell ref="A1:M1"/>
  </mergeCells>
  <dataValidations count="3">
    <dataValidation type="list" allowBlank="1" showInputMessage="1" showErrorMessage="1" error="Invalid value" prompt="Select a value" sqref="D5:D200" xr:uid="{00000000-0002-0000-0500-000000000000}">
      <formula1>"low,medium,high,critical"</formula1>
    </dataValidation>
    <dataValidation type="list" allowBlank="1" showInputMessage="1" showErrorMessage="1" error="Invalid value" prompt="Select a value" sqref="G5:H200" xr:uid="{00000000-0002-0000-0500-000001000000}">
      <formula1>"YES,NO"</formula1>
    </dataValidation>
    <dataValidation type="list" allowBlank="1" showInputMessage="1" showErrorMessage="1" error="Invalid value" prompt="Select a value" sqref="L5:L200" xr:uid="{00000000-0002-0000-0500-000003000000}">
      <formula1>"Open,In Progress,Closed"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6C3483"/>
  </sheetPr>
  <dimension ref="A1:I23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24" customWidth="1"/>
    <col min="2" max="2" width="16" customWidth="1"/>
    <col min="3" max="3" width="18" customWidth="1"/>
    <col min="4" max="5" width="16" customWidth="1"/>
    <col min="6" max="6" width="26" customWidth="1"/>
    <col min="7" max="7" width="12" customWidth="1"/>
    <col min="8" max="8" width="10" customWidth="1"/>
    <col min="9" max="9" width="30" customWidth="1"/>
  </cols>
  <sheetData>
    <row r="1" spans="1:9" ht="38.1" customHeight="1" x14ac:dyDescent="0.25">
      <c r="A1" s="60" t="s">
        <v>252</v>
      </c>
      <c r="B1" s="49"/>
      <c r="C1" s="49"/>
      <c r="D1" s="49"/>
      <c r="E1" s="49"/>
      <c r="F1" s="49"/>
      <c r="G1" s="49"/>
      <c r="H1" s="49"/>
      <c r="I1" s="49"/>
    </row>
    <row r="2" spans="1:9" ht="20.100000000000001" customHeight="1" x14ac:dyDescent="0.25">
      <c r="A2" s="59" t="s">
        <v>253</v>
      </c>
      <c r="B2" s="49"/>
      <c r="C2" s="49"/>
      <c r="D2" s="49"/>
      <c r="E2" s="49"/>
      <c r="F2" s="49"/>
      <c r="G2" s="49"/>
      <c r="H2" s="49"/>
      <c r="I2" s="49"/>
    </row>
    <row r="3" spans="1:9" ht="27.95" customHeight="1" x14ac:dyDescent="0.25">
      <c r="A3" s="58" t="s">
        <v>254</v>
      </c>
      <c r="B3" s="49"/>
      <c r="C3" s="49"/>
      <c r="D3" s="49"/>
      <c r="E3" s="49"/>
      <c r="F3" s="49"/>
      <c r="G3" s="49"/>
      <c r="H3" s="49"/>
      <c r="I3" s="49"/>
    </row>
    <row r="4" spans="1:9" ht="27.95" customHeight="1" x14ac:dyDescent="0.25">
      <c r="A4" s="43" t="s">
        <v>255</v>
      </c>
      <c r="B4" s="43" t="s">
        <v>256</v>
      </c>
      <c r="C4" s="43" t="s">
        <v>257</v>
      </c>
      <c r="D4" s="43" t="s">
        <v>258</v>
      </c>
      <c r="E4" s="43" t="s">
        <v>259</v>
      </c>
      <c r="F4" s="43" t="s">
        <v>260</v>
      </c>
      <c r="G4" s="43" t="s">
        <v>261</v>
      </c>
      <c r="H4" s="43" t="s">
        <v>262</v>
      </c>
      <c r="I4" s="43" t="s">
        <v>78</v>
      </c>
    </row>
    <row r="5" spans="1:9" x14ac:dyDescent="0.25">
      <c r="A5" s="8" t="s">
        <v>157</v>
      </c>
      <c r="B5" s="8" t="s">
        <v>263</v>
      </c>
      <c r="C5" s="8" t="s">
        <v>264</v>
      </c>
      <c r="D5" s="8" t="s">
        <v>265</v>
      </c>
      <c r="E5" s="8" t="s">
        <v>266</v>
      </c>
      <c r="F5" s="8" t="s">
        <v>267</v>
      </c>
      <c r="G5" s="8" t="s">
        <v>268</v>
      </c>
      <c r="H5" s="16" t="s">
        <v>240</v>
      </c>
      <c r="I5" s="8" t="s">
        <v>269</v>
      </c>
    </row>
    <row r="6" spans="1:9" x14ac:dyDescent="0.25">
      <c r="A6" s="4" t="s">
        <v>270</v>
      </c>
      <c r="B6" s="4" t="s">
        <v>271</v>
      </c>
      <c r="C6" s="4" t="s">
        <v>182</v>
      </c>
      <c r="D6" s="4" t="s">
        <v>272</v>
      </c>
      <c r="E6" s="4"/>
      <c r="F6" s="4" t="s">
        <v>273</v>
      </c>
      <c r="G6" s="4" t="s">
        <v>274</v>
      </c>
      <c r="H6" s="16" t="s">
        <v>240</v>
      </c>
      <c r="I6" s="4" t="s">
        <v>275</v>
      </c>
    </row>
    <row r="7" spans="1:9" x14ac:dyDescent="0.25">
      <c r="A7" s="8" t="s">
        <v>276</v>
      </c>
      <c r="B7" s="8" t="s">
        <v>277</v>
      </c>
      <c r="C7" s="8" t="s">
        <v>278</v>
      </c>
      <c r="D7" s="8" t="s">
        <v>279</v>
      </c>
      <c r="E7" s="8" t="s">
        <v>280</v>
      </c>
      <c r="F7" s="8" t="s">
        <v>281</v>
      </c>
      <c r="G7" s="8" t="s">
        <v>282</v>
      </c>
      <c r="H7" s="16" t="s">
        <v>240</v>
      </c>
      <c r="I7" s="8"/>
    </row>
    <row r="8" spans="1:9" x14ac:dyDescent="0.25">
      <c r="A8" s="4" t="s">
        <v>283</v>
      </c>
      <c r="B8" s="4" t="s">
        <v>284</v>
      </c>
      <c r="C8" s="4" t="s">
        <v>285</v>
      </c>
      <c r="D8" s="4" t="s">
        <v>286</v>
      </c>
      <c r="E8" s="4" t="s">
        <v>287</v>
      </c>
      <c r="F8" s="4" t="s">
        <v>288</v>
      </c>
      <c r="G8" s="4" t="s">
        <v>268</v>
      </c>
      <c r="H8" s="16" t="s">
        <v>240</v>
      </c>
      <c r="I8" s="4" t="s">
        <v>289</v>
      </c>
    </row>
    <row r="9" spans="1:9" x14ac:dyDescent="0.25">
      <c r="A9" s="4"/>
      <c r="B9" s="4"/>
      <c r="C9" s="4"/>
      <c r="D9" s="4"/>
      <c r="E9" s="4"/>
      <c r="F9" s="4"/>
      <c r="G9" s="4"/>
      <c r="H9" s="4"/>
      <c r="I9" s="4"/>
    </row>
    <row r="10" spans="1:9" x14ac:dyDescent="0.25">
      <c r="A10" s="15"/>
      <c r="B10" s="15"/>
      <c r="C10" s="15"/>
      <c r="D10" s="15"/>
      <c r="E10" s="15"/>
      <c r="F10" s="15"/>
      <c r="G10" s="15"/>
      <c r="H10" s="15"/>
      <c r="I10" s="15"/>
    </row>
    <row r="11" spans="1:9" x14ac:dyDescent="0.25">
      <c r="A11" s="4"/>
      <c r="B11" s="4"/>
      <c r="C11" s="4"/>
      <c r="D11" s="4"/>
      <c r="E11" s="4"/>
      <c r="F11" s="4"/>
      <c r="G11" s="4"/>
      <c r="H11" s="4"/>
      <c r="I11" s="4"/>
    </row>
    <row r="12" spans="1:9" x14ac:dyDescent="0.25">
      <c r="A12" s="15"/>
      <c r="B12" s="15"/>
      <c r="C12" s="15"/>
      <c r="D12" s="15"/>
      <c r="E12" s="15"/>
      <c r="F12" s="15"/>
      <c r="G12" s="15"/>
      <c r="H12" s="15"/>
      <c r="I12" s="15"/>
    </row>
    <row r="13" spans="1:9" x14ac:dyDescent="0.25">
      <c r="A13" s="4"/>
      <c r="B13" s="4"/>
      <c r="C13" s="4"/>
      <c r="D13" s="4"/>
      <c r="E13" s="4"/>
      <c r="F13" s="4"/>
      <c r="G13" s="4"/>
      <c r="H13" s="4"/>
      <c r="I13" s="4"/>
    </row>
    <row r="14" spans="1:9" x14ac:dyDescent="0.25">
      <c r="A14" s="15"/>
      <c r="B14" s="15"/>
      <c r="C14" s="15"/>
      <c r="D14" s="15"/>
      <c r="E14" s="15"/>
      <c r="F14" s="15"/>
      <c r="G14" s="15"/>
      <c r="H14" s="15"/>
      <c r="I14" s="15"/>
    </row>
    <row r="15" spans="1:9" x14ac:dyDescent="0.25">
      <c r="A15" s="4"/>
      <c r="B15" s="4"/>
      <c r="C15" s="4"/>
      <c r="D15" s="4"/>
      <c r="E15" s="4"/>
      <c r="F15" s="4"/>
      <c r="G15" s="4"/>
      <c r="H15" s="4"/>
      <c r="I15" s="4"/>
    </row>
    <row r="16" spans="1:9" x14ac:dyDescent="0.25">
      <c r="A16" s="15"/>
      <c r="B16" s="15"/>
      <c r="C16" s="15"/>
      <c r="D16" s="15"/>
      <c r="E16" s="15"/>
      <c r="F16" s="15"/>
      <c r="G16" s="15"/>
      <c r="H16" s="15"/>
      <c r="I16" s="15"/>
    </row>
    <row r="17" spans="1:9" x14ac:dyDescent="0.25">
      <c r="A17" s="4"/>
      <c r="B17" s="4"/>
      <c r="C17" s="4"/>
      <c r="D17" s="4"/>
      <c r="E17" s="4"/>
      <c r="F17" s="4"/>
      <c r="G17" s="4"/>
      <c r="H17" s="4"/>
      <c r="I17" s="4"/>
    </row>
    <row r="18" spans="1:9" x14ac:dyDescent="0.25">
      <c r="A18" s="15"/>
      <c r="B18" s="15"/>
      <c r="C18" s="15"/>
      <c r="D18" s="15"/>
      <c r="E18" s="15"/>
      <c r="F18" s="15"/>
      <c r="G18" s="15"/>
      <c r="H18" s="15"/>
      <c r="I18" s="15"/>
    </row>
    <row r="19" spans="1:9" x14ac:dyDescent="0.25">
      <c r="A19" s="4"/>
      <c r="B19" s="4"/>
      <c r="C19" s="4"/>
      <c r="D19" s="4"/>
      <c r="E19" s="4"/>
      <c r="F19" s="4"/>
      <c r="G19" s="4"/>
      <c r="H19" s="4"/>
      <c r="I19" s="4"/>
    </row>
    <row r="20" spans="1:9" x14ac:dyDescent="0.25">
      <c r="A20" s="15"/>
      <c r="B20" s="15"/>
      <c r="C20" s="15"/>
      <c r="D20" s="15"/>
      <c r="E20" s="15"/>
      <c r="F20" s="15"/>
      <c r="G20" s="15"/>
      <c r="H20" s="15"/>
      <c r="I20" s="15"/>
    </row>
    <row r="21" spans="1:9" x14ac:dyDescent="0.25">
      <c r="A21" s="4"/>
      <c r="B21" s="4"/>
      <c r="C21" s="4"/>
      <c r="D21" s="4"/>
      <c r="E21" s="4"/>
      <c r="F21" s="4"/>
      <c r="G21" s="4"/>
      <c r="H21" s="4"/>
      <c r="I21" s="4"/>
    </row>
    <row r="22" spans="1:9" x14ac:dyDescent="0.25">
      <c r="A22" s="15"/>
      <c r="B22" s="15"/>
      <c r="C22" s="15"/>
      <c r="D22" s="15"/>
      <c r="E22" s="15"/>
      <c r="F22" s="15"/>
      <c r="G22" s="15"/>
      <c r="H22" s="15"/>
      <c r="I22" s="15"/>
    </row>
    <row r="23" spans="1:9" x14ac:dyDescent="0.25">
      <c r="A23" s="4"/>
      <c r="B23" s="4"/>
      <c r="C23" s="4"/>
      <c r="D23" s="4"/>
      <c r="E23" s="4"/>
      <c r="F23" s="4"/>
      <c r="G23" s="4"/>
      <c r="H23" s="4"/>
      <c r="I23" s="4"/>
    </row>
  </sheetData>
  <mergeCells count="3">
    <mergeCell ref="A1:I1"/>
    <mergeCell ref="A3:I3"/>
    <mergeCell ref="A2:I2"/>
  </mergeCells>
  <dataValidations count="3">
    <dataValidation type="list" allowBlank="1" showInputMessage="1" showErrorMessage="1" error="Invalid value" prompt="Select a value" sqref="B5:B200" xr:uid="{00000000-0002-0000-0600-000000000000}">
      <formula1>"warden,responder,first_aid,coordinator"</formula1>
    </dataValidation>
    <dataValidation type="list" allowBlank="1" showInputMessage="1" showErrorMessage="1" error="Invalid value" prompt="Select a value" sqref="G5:G200" xr:uid="{00000000-0002-0000-0600-000001000000}">
      <formula1>"Day,Night,General,Rotational"</formula1>
    </dataValidation>
    <dataValidation type="list" allowBlank="1" showInputMessage="1" showErrorMessage="1" error="Invalid value" prompt="Select a value" sqref="H5:H200" xr:uid="{00000000-0002-0000-0600-000002000000}">
      <formula1>"YES,NO"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17A8B"/>
  </sheetPr>
  <dimension ref="A1:K25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2" width="18" customWidth="1"/>
    <col min="3" max="3" width="20" customWidth="1"/>
    <col min="4" max="5" width="14" customWidth="1"/>
    <col min="6" max="6" width="16" customWidth="1"/>
    <col min="7" max="7" width="12" customWidth="1"/>
    <col min="8" max="8" width="14" customWidth="1"/>
    <col min="9" max="10" width="35" customWidth="1"/>
    <col min="11" max="11" width="28" customWidth="1"/>
  </cols>
  <sheetData>
    <row r="1" spans="1:11" ht="38.1" customHeight="1" x14ac:dyDescent="0.25">
      <c r="A1" s="60" t="s">
        <v>290</v>
      </c>
      <c r="B1" s="49"/>
      <c r="C1" s="49"/>
      <c r="D1" s="49"/>
      <c r="E1" s="49"/>
      <c r="F1" s="49"/>
      <c r="G1" s="49"/>
      <c r="H1" s="49"/>
      <c r="I1" s="49"/>
      <c r="J1" s="49"/>
      <c r="K1" s="49"/>
    </row>
    <row r="2" spans="1:11" ht="20.100000000000001" customHeight="1" x14ac:dyDescent="0.25">
      <c r="A2" s="59" t="s">
        <v>291</v>
      </c>
      <c r="B2" s="49"/>
      <c r="C2" s="49"/>
      <c r="D2" s="49"/>
      <c r="E2" s="49"/>
      <c r="F2" s="49"/>
      <c r="G2" s="49"/>
      <c r="H2" s="49"/>
      <c r="I2" s="49"/>
      <c r="J2" s="49"/>
      <c r="K2" s="49"/>
    </row>
    <row r="3" spans="1:11" ht="27.95" customHeight="1" x14ac:dyDescent="0.25">
      <c r="A3" s="58" t="s">
        <v>292</v>
      </c>
      <c r="B3" s="49"/>
      <c r="C3" s="49"/>
      <c r="D3" s="49"/>
      <c r="E3" s="49"/>
      <c r="F3" s="49"/>
      <c r="G3" s="49"/>
      <c r="H3" s="49"/>
      <c r="I3" s="49"/>
      <c r="J3" s="49"/>
      <c r="K3" s="49"/>
    </row>
    <row r="4" spans="1:11" ht="36" customHeight="1" x14ac:dyDescent="0.25">
      <c r="A4" s="27" t="s">
        <v>293</v>
      </c>
      <c r="B4" s="27" t="s">
        <v>294</v>
      </c>
      <c r="C4" s="27" t="s">
        <v>295</v>
      </c>
      <c r="D4" s="27" t="s">
        <v>296</v>
      </c>
      <c r="E4" s="27" t="s">
        <v>297</v>
      </c>
      <c r="F4" s="27" t="s">
        <v>298</v>
      </c>
      <c r="G4" s="27" t="s">
        <v>299</v>
      </c>
      <c r="H4" s="27" t="s">
        <v>75</v>
      </c>
      <c r="I4" s="27" t="s">
        <v>300</v>
      </c>
      <c r="J4" s="27" t="s">
        <v>301</v>
      </c>
      <c r="K4" s="27" t="s">
        <v>78</v>
      </c>
    </row>
    <row r="5" spans="1:11" x14ac:dyDescent="0.25">
      <c r="A5" s="19" t="s">
        <v>302</v>
      </c>
      <c r="B5" s="8" t="s">
        <v>303</v>
      </c>
      <c r="C5" s="8" t="s">
        <v>248</v>
      </c>
      <c r="D5" s="44">
        <v>142</v>
      </c>
      <c r="E5" s="44">
        <v>28</v>
      </c>
      <c r="F5" s="44">
        <v>4</v>
      </c>
      <c r="G5" s="45">
        <v>85</v>
      </c>
      <c r="H5" s="19" t="s">
        <v>213</v>
      </c>
      <c r="I5" s="9" t="s">
        <v>304</v>
      </c>
      <c r="J5" s="9" t="s">
        <v>305</v>
      </c>
      <c r="K5" s="9" t="s">
        <v>306</v>
      </c>
    </row>
    <row r="6" spans="1:11" ht="25.5" x14ac:dyDescent="0.25">
      <c r="A6" s="20" t="s">
        <v>307</v>
      </c>
      <c r="B6" s="4" t="s">
        <v>308</v>
      </c>
      <c r="C6" s="4" t="s">
        <v>309</v>
      </c>
      <c r="D6" s="46">
        <v>30</v>
      </c>
      <c r="E6" s="46">
        <v>45</v>
      </c>
      <c r="F6" s="20" t="s">
        <v>310</v>
      </c>
      <c r="G6" s="47">
        <v>78</v>
      </c>
      <c r="H6" s="20" t="s">
        <v>213</v>
      </c>
      <c r="I6" s="6" t="s">
        <v>311</v>
      </c>
      <c r="J6" s="6" t="s">
        <v>312</v>
      </c>
      <c r="K6" s="6" t="s">
        <v>313</v>
      </c>
    </row>
    <row r="7" spans="1:11" x14ac:dyDescent="0.25">
      <c r="A7" s="19" t="s">
        <v>204</v>
      </c>
      <c r="B7" s="8" t="s">
        <v>303</v>
      </c>
      <c r="C7" s="8" t="s">
        <v>248</v>
      </c>
      <c r="D7" s="44">
        <v>150</v>
      </c>
      <c r="E7" s="19"/>
      <c r="F7" s="19"/>
      <c r="G7" s="19"/>
      <c r="H7" s="19" t="s">
        <v>206</v>
      </c>
      <c r="I7" s="9"/>
      <c r="J7" s="9"/>
      <c r="K7" s="9" t="s">
        <v>314</v>
      </c>
    </row>
    <row r="8" spans="1:11" x14ac:dyDescent="0.25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</row>
    <row r="9" spans="1:11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</row>
    <row r="10" spans="1:11" x14ac:dyDescent="0.25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</row>
    <row r="11" spans="1:11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1:11" x14ac:dyDescent="0.25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</row>
    <row r="13" spans="1:11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1" x14ac:dyDescent="0.25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</row>
    <row r="15" spans="1:11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25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</row>
    <row r="17" spans="1:11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 x14ac:dyDescent="0.25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</row>
    <row r="19" spans="1:11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 x14ac:dyDescent="0.2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</row>
    <row r="21" spans="1:11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 x14ac:dyDescent="0.2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</row>
    <row r="25" spans="1:11" ht="24" customHeight="1" x14ac:dyDescent="0.25">
      <c r="A25" s="52" t="s">
        <v>315</v>
      </c>
      <c r="B25" s="49"/>
      <c r="C25" s="49"/>
      <c r="D25" s="22" t="s">
        <v>316</v>
      </c>
      <c r="E25" s="35">
        <f>COUNTA(A5:A100)</f>
        <v>4</v>
      </c>
      <c r="F25" s="22" t="s">
        <v>213</v>
      </c>
      <c r="G25" s="35">
        <f>COUNTIF(H5:H100,"Completed")</f>
        <v>2</v>
      </c>
      <c r="H25" s="22" t="s">
        <v>317</v>
      </c>
      <c r="I25" s="35">
        <f>IFERROR(AVERAGEIF(H5:H100,"Completed",G5:G100),0)</f>
        <v>81.5</v>
      </c>
    </row>
  </sheetData>
  <mergeCells count="4">
    <mergeCell ref="A2:K2"/>
    <mergeCell ref="A25:C25"/>
    <mergeCell ref="A1:K1"/>
    <mergeCell ref="A3:K3"/>
  </mergeCells>
  <dataValidations count="2">
    <dataValidation type="list" allowBlank="1" showInputMessage="1" showErrorMessage="1" error="Invalid value" prompt="Select a value" sqref="B5:B200" xr:uid="{00000000-0002-0000-0700-000000000000}">
      <formula1>"evacuation,fire_response,first_aid"</formula1>
    </dataValidation>
    <dataValidation type="list" allowBlank="1" showInputMessage="1" showErrorMessage="1" error="Invalid value" prompt="Select a value" sqref="H5:H200" xr:uid="{00000000-0002-0000-0700-000001000000}">
      <formula1>"Scheduled,Completed,Cancelled"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📋 Instructions</vt:lpstr>
      <vt:lpstr>Equipment</vt:lpstr>
      <vt:lpstr>Alarms</vt:lpstr>
      <vt:lpstr>Inspections</vt:lpstr>
      <vt:lpstr>Maintenance</vt:lpstr>
      <vt:lpstr>Incidents</vt:lpstr>
      <vt:lpstr>Response Team</vt:lpstr>
      <vt:lpstr>Drills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Venu</cp:lastModifiedBy>
  <dcterms:created xsi:type="dcterms:W3CDTF">2026-03-23T05:45:18Z</dcterms:created>
  <dcterms:modified xsi:type="dcterms:W3CDTF">2026-03-24T04:34:13Z</dcterms:modified>
</cp:coreProperties>
</file>