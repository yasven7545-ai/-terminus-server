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Venu\Desktop\my_dashboard\static\data\"/>
    </mc:Choice>
  </mc:AlternateContent>
  <xr:revisionPtr revIDLastSave="0" documentId="13_ncr:1_{FD8810FC-AD12-4AEC-BAE8-F520EB5C056F}" xr6:coauthVersionLast="47" xr6:coauthVersionMax="47" xr10:uidLastSave="{00000000-0000-0000-0000-000000000000}"/>
  <bookViews>
    <workbookView xWindow="-120" yWindow="-120" windowWidth="29040" windowHeight="15840" tabRatio="912" firstSheet="1" activeTab="10" xr2:uid="{00000000-000D-0000-FFFF-FFFF00000000}"/>
  </bookViews>
  <sheets>
    <sheet name="Table_of_Contents" sheetId="8" r:id="rId1"/>
    <sheet name="Introduction" sheetId="9" r:id="rId2"/>
    <sheet name="In_House_Team" sheetId="2" r:id="rId3"/>
    <sheet name="List_of_Vendors" sheetId="10" r:id="rId4"/>
    <sheet name="Deployment_by_Vendor" sheetId="11" r:id="rId5"/>
    <sheet name="Energy_Consumption" sheetId="12" r:id="rId6"/>
    <sheet name="Electricity_Per_SFT" sheetId="13" r:id="rId7"/>
    <sheet name="Space_Occupancy" sheetId="1" r:id="rId8"/>
    <sheet name="Summary_of_Complaints" sheetId="14" r:id="rId9"/>
    <sheet name="CAPEX_2025_26" sheetId="15" r:id="rId10"/>
    <sheet name="E_Facility_Application" sheetId="3" r:id="rId11"/>
    <sheet name="Way_Forward" sheetId="4" r:id="rId12"/>
    <sheet name="Training_Schedule" sheetId="5" r:id="rId13"/>
    <sheet name="Disputes" sheetId="6" r:id="rId14"/>
    <sheet name="Issues_and_Observations" sheetId="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 r="B9" i="2"/>
</calcChain>
</file>

<file path=xl/sharedStrings.xml><?xml version="1.0" encoding="utf-8"?>
<sst xmlns="http://schemas.openxmlformats.org/spreadsheetml/2006/main" count="224" uniqueCount="185">
  <si>
    <t>E_Facility_Application Data</t>
  </si>
  <si>
    <t>Way_Forward Data</t>
  </si>
  <si>
    <t>Disputes Data</t>
  </si>
  <si>
    <t>Issues_and_Observations Data</t>
  </si>
  <si>
    <t>SLN Terminus</t>
  </si>
  <si>
    <t>Property Manager/Head of facilities</t>
  </si>
  <si>
    <t>Facility Executive-MEP</t>
  </si>
  <si>
    <t>Security Executive</t>
  </si>
  <si>
    <t>HK Executive</t>
  </si>
  <si>
    <t>Technical team (MEP)</t>
  </si>
  <si>
    <t>House keeping team (EPMS)</t>
  </si>
  <si>
    <t>Total EPMS In-House team</t>
  </si>
  <si>
    <t>Table of Contents</t>
  </si>
  <si>
    <t xml:space="preserve">  S.no.</t>
  </si>
  <si>
    <t xml:space="preserve">                                     Content </t>
  </si>
  <si>
    <t>I</t>
  </si>
  <si>
    <t>Introduction</t>
  </si>
  <si>
    <t>II</t>
  </si>
  <si>
    <t>EmerZhent IN House Team</t>
  </si>
  <si>
    <t>III</t>
  </si>
  <si>
    <t>List of Vendors</t>
  </si>
  <si>
    <t>IV</t>
  </si>
  <si>
    <t>Deployment of Personnel by Third Party</t>
  </si>
  <si>
    <t>V</t>
  </si>
  <si>
    <t>Energy Consumption and  Benchmark</t>
  </si>
  <si>
    <t>VI</t>
  </si>
  <si>
    <t>Electricity Consumption Per SFT</t>
  </si>
  <si>
    <t>VII</t>
  </si>
  <si>
    <t>Space Occupancy &amp; Availability Details</t>
  </si>
  <si>
    <t>VIII</t>
  </si>
  <si>
    <t xml:space="preserve">Summary of Complaints </t>
  </si>
  <si>
    <t>IX</t>
  </si>
  <si>
    <t>CAPX &amp; Critical Works 2024-25</t>
  </si>
  <si>
    <t>X</t>
  </si>
  <si>
    <t xml:space="preserve">E-Facility Application </t>
  </si>
  <si>
    <t>XI</t>
  </si>
  <si>
    <t xml:space="preserve">Training completion report </t>
  </si>
  <si>
    <t>XII</t>
  </si>
  <si>
    <t>Training Schedule</t>
  </si>
  <si>
    <t>Engineering Services</t>
  </si>
  <si>
    <t>EPMS</t>
  </si>
  <si>
    <t>Security Services</t>
  </si>
  <si>
    <t>Kapston Security Services</t>
  </si>
  <si>
    <t xml:space="preserve">House Keeping Services </t>
  </si>
  <si>
    <t>Valet Services</t>
  </si>
  <si>
    <t>Excel Facilities</t>
  </si>
  <si>
    <t>Budgeted</t>
  </si>
  <si>
    <t>Actual Deployment</t>
  </si>
  <si>
    <t>Engineering team</t>
  </si>
  <si>
    <t>House Keeping Services</t>
  </si>
  <si>
    <t>STP</t>
  </si>
  <si>
    <t>Pest control</t>
  </si>
  <si>
    <t>Gardener</t>
  </si>
  <si>
    <t>Total Manpower</t>
  </si>
  <si>
    <t>S. no</t>
  </si>
  <si>
    <t>Month</t>
  </si>
  <si>
    <t>Total Built-up Area (SFT) - Occupied</t>
  </si>
  <si>
    <t>Average Consumption/Month</t>
  </si>
  <si>
    <t>Benchmark Consumption/Month</t>
  </si>
  <si>
    <t>Excess consumption/Month</t>
  </si>
  <si>
    <t>Goal to reduce/ Optimize per day consumption by</t>
  </si>
  <si>
    <t>Built- Up Area  (SFT) - Occupied</t>
  </si>
  <si>
    <t>Energy Consumption (Units)</t>
  </si>
  <si>
    <t>Built up area Consumption in KWH/SFT</t>
  </si>
  <si>
    <t>Occupied area (SFT)</t>
  </si>
  <si>
    <t>Leasable Area Energy Consumption (Units)</t>
  </si>
  <si>
    <t>Leasable area Energy Consumption  KWH/SFT</t>
  </si>
  <si>
    <t>Common Area  (SFT)</t>
  </si>
  <si>
    <t>Common area Consumption (Units)</t>
  </si>
  <si>
    <t>Common area Consumption KWH/SFT</t>
  </si>
  <si>
    <t xml:space="preserve">Emerzhent Total Managed Space (SBUP) # 3 Million SFT </t>
  </si>
  <si>
    <t>Total Area in SQFT</t>
  </si>
  <si>
    <t>Occupied Area in SQFT</t>
  </si>
  <si>
    <t>Vacant Area in SQFT</t>
  </si>
  <si>
    <t>Fit out Area in SQFT</t>
  </si>
  <si>
    <t>Sl no</t>
  </si>
  <si>
    <t>Call Priority</t>
  </si>
  <si>
    <t>High</t>
  </si>
  <si>
    <t>Medium</t>
  </si>
  <si>
    <t>Low</t>
  </si>
  <si>
    <t>Total</t>
  </si>
  <si>
    <t>High Priority - Category wise Bifergation:</t>
  </si>
  <si>
    <t>Sl no</t>
  </si>
  <si>
    <t xml:space="preserve">Category </t>
  </si>
  <si>
    <t>Electrical</t>
  </si>
  <si>
    <t>Lifts</t>
  </si>
  <si>
    <t>HVAC</t>
  </si>
  <si>
    <t>Plumbing /STP</t>
  </si>
  <si>
    <t>BMS-FA/PA/Fire fightting</t>
  </si>
  <si>
    <t>General - Stack Parking</t>
  </si>
  <si>
    <t>S.no</t>
  </si>
  <si>
    <t>Software Module</t>
  </si>
  <si>
    <t>Drawing Management</t>
  </si>
  <si>
    <t>Implemented</t>
  </si>
  <si>
    <t>Help Desk</t>
  </si>
  <si>
    <t xml:space="preserve">MMS </t>
  </si>
  <si>
    <t xml:space="preserve">VMS </t>
  </si>
  <si>
    <t>NA</t>
  </si>
  <si>
    <t>Stores &amp; Inventory</t>
  </si>
  <si>
    <t>Jan</t>
  </si>
  <si>
    <t>Feb</t>
  </si>
  <si>
    <t>Mar</t>
  </si>
  <si>
    <t>Apr</t>
  </si>
  <si>
    <t>May</t>
  </si>
  <si>
    <t>Jun</t>
  </si>
  <si>
    <t>Jul</t>
  </si>
  <si>
    <t>Aug</t>
  </si>
  <si>
    <t>Sep</t>
  </si>
  <si>
    <t>Oct</t>
  </si>
  <si>
    <t>Nov</t>
  </si>
  <si>
    <t>Dec</t>
  </si>
  <si>
    <t>June</t>
  </si>
  <si>
    <t>July</t>
  </si>
  <si>
    <t>August</t>
  </si>
  <si>
    <t>September</t>
  </si>
  <si>
    <t>October</t>
  </si>
  <si>
    <t>November</t>
  </si>
  <si>
    <t>December</t>
  </si>
  <si>
    <t>January</t>
  </si>
  <si>
    <t>February</t>
  </si>
  <si>
    <t>March</t>
  </si>
  <si>
    <t>April</t>
  </si>
  <si>
    <t>Site: SLN TERMINUS</t>
  </si>
  <si>
    <t>SI NO</t>
  </si>
  <si>
    <t>Priority wise- List of works</t>
  </si>
  <si>
    <t>Remarks</t>
  </si>
  <si>
    <t>Office Podium entry steps and wall cladding granite replacement</t>
  </si>
  <si>
    <t>Purchase Order has been issued, but the contractor is delaying the work and has been unable to deploy manpowel</t>
  </si>
  <si>
    <t>Office driveway pillars granite cladding to be replaced</t>
  </si>
  <si>
    <t>Purchase Order has been issued, but the contractor is delaying the work and has been unable to deploy manpower</t>
  </si>
  <si>
    <t>Implementation of BMS</t>
  </si>
  <si>
    <t>Water proofing at Terrace cooling tower area</t>
  </si>
  <si>
    <t>Estimate to be obatained</t>
  </si>
  <si>
    <t>Terrace Condenser Water pipe lines FRP coating</t>
  </si>
  <si>
    <t>LG outside area ceiling asbestos sheets to be replaced</t>
  </si>
  <si>
    <t>Chilledwater pipe line insulation to be rectified</t>
  </si>
  <si>
    <t>L3 Ladies wash rooms -renovation</t>
  </si>
  <si>
    <t>We have to intiate this process according to the budget availability</t>
  </si>
  <si>
    <t>Mall Common Area flooring replacement</t>
  </si>
  <si>
    <t>Strengthening of Glass Railing common areas- Mall</t>
  </si>
  <si>
    <t>Co related with Mall flooring work</t>
  </si>
  <si>
    <t>60 KVA UPS</t>
  </si>
  <si>
    <t>It's a stand by UPS and for redundancy, We have to procure this financial year.</t>
  </si>
  <si>
    <t>We will plan for the 2025-26 Finacial year, and in addition to this there will be an impact on operational expenses,</t>
  </si>
  <si>
    <t>which has to be calculated.(Kept on Hold)</t>
  </si>
  <si>
    <t>WTP Filters media replacement</t>
  </si>
  <si>
    <t>We have to replace this in the coming quarter</t>
  </si>
  <si>
    <t>Parking Management Software along with CCTV</t>
  </si>
  <si>
    <t>Rectification of Earth Pit Chambers</t>
  </si>
  <si>
    <t>This needs to be planned in the second quarter</t>
  </si>
  <si>
    <t>Replacement of Smoke Detectors</t>
  </si>
  <si>
    <t>We initiated this process and replaced 50 units last year. The remaining units need to be replaced accordingly</t>
  </si>
  <si>
    <t>Green Power intiative for IGBC</t>
  </si>
  <si>
    <t>Process to be initiated</t>
  </si>
  <si>
    <t>EV Car charging points</t>
  </si>
  <si>
    <t>Replacement of OLD cameras</t>
  </si>
  <si>
    <t>Building external painting</t>
  </si>
  <si>
    <t>To be planned after the rainy season</t>
  </si>
  <si>
    <t>External Lighting beautification</t>
  </si>
  <si>
    <t>To be discussed</t>
  </si>
  <si>
    <t xml:space="preserve">We have assigned the work to the vendor, and he has executed it in a few areas on a priority basis. We now need </t>
  </si>
  <si>
    <t>Estimate to be obtained - we have existing vendor who is handling energy meter monitoring and he will do the survey for implemetation of BMS for major equipemnt and machinery</t>
  </si>
  <si>
    <t>Turn Style barriers with Access control system for office lift lobbys in 3, basments, LG &amp; L3</t>
  </si>
  <si>
    <t>We need to discuss this - a temporary arrangement has been installed on a trial basis, which has proven very helpful in identifying vehicle numbers, even at night</t>
  </si>
  <si>
    <t>We initiated this process and replaced most of them in the last years. The remaining units need to be replaced accordingly</t>
  </si>
  <si>
    <t>Sno</t>
  </si>
  <si>
    <t>Date</t>
  </si>
  <si>
    <t>Topic</t>
  </si>
  <si>
    <t>Dscription</t>
  </si>
  <si>
    <t>Training By</t>
  </si>
  <si>
    <t>Diesel Generator</t>
  </si>
  <si>
    <t>* Diesel Engine operation
* constructional parts explanation</t>
  </si>
  <si>
    <t>N venkat Rao</t>
  </si>
  <si>
    <t>Fire fighting system</t>
  </si>
  <si>
    <t>* About Auto and manual operation
* about Jockey pumps
* Pressure limit switch</t>
  </si>
  <si>
    <t xml:space="preserve">ACB &amp; Bus couplers   </t>
  </si>
  <si>
    <t>* operations
* difference between them
* Applications</t>
  </si>
  <si>
    <t>J Nagendra</t>
  </si>
  <si>
    <t>fire training</t>
  </si>
  <si>
    <t xml:space="preserve"> 1. General fire knowledge.
2. Fire telephone jack useing.</t>
  </si>
  <si>
    <t>Sunil Kumar</t>
  </si>
  <si>
    <t>Equipment</t>
  </si>
  <si>
    <t>handling and maintenance</t>
  </si>
  <si>
    <t>Dhanunjay</t>
  </si>
  <si>
    <t>Department: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</si>
</sst>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6">
    <font>
      <sz val="11"/>
      <color theme="1"/>
      <name val="Calibri"/>
      <family val="2"/>
      <scheme val="minor"/>
    </font>
    <font>
      <sz val="18"/>
      <name val="Arial"/>
    </font>
    <font>
      <b/>
      <sz val="14"/>
      <color rgb="FF000000"/>
      <name val="Calibri"/>
    </font>
    <font>
      <sz val="13"/>
      <color rgb="FF000000"/>
      <name val="Calibri"/>
    </font>
    <font>
      <sz val="16"/>
      <color rgb="FF000000"/>
      <name val="Calibri"/>
    </font>
    <font>
      <b/>
      <sz val="13"/>
      <color rgb="FFFF0000"/>
      <name val="Calibri"/>
    </font>
    <font>
      <sz val="16"/>
      <color rgb="FFFF0000"/>
      <name val="Calibri"/>
    </font>
    <font>
      <b/>
      <sz val="16"/>
      <color rgb="FFFFFFFF"/>
      <name val="Candara"/>
    </font>
    <font>
      <b/>
      <sz val="16"/>
      <color rgb="FF000000"/>
      <name val="Forum"/>
    </font>
    <font>
      <sz val="16"/>
      <color rgb="FF000000"/>
      <name val="Forum"/>
    </font>
    <font>
      <sz val="16"/>
      <color rgb="FF000000"/>
      <name val="Candara"/>
    </font>
    <font>
      <b/>
      <sz val="14"/>
      <color rgb="FF000000"/>
      <name val="Forum"/>
    </font>
    <font>
      <sz val="14"/>
      <color rgb="FF000000"/>
      <name val="Forum"/>
    </font>
    <font>
      <b/>
      <sz val="18"/>
      <color rgb="FF000000"/>
      <name val="Calibri"/>
    </font>
    <font>
      <sz val="14"/>
      <color rgb="FF000000"/>
      <name val="Calibri"/>
    </font>
    <font>
      <sz val="14"/>
      <color rgb="FF000000"/>
      <name val="Fourm"/>
    </font>
    <font>
      <b/>
      <sz val="14"/>
      <color rgb="FFFF0000"/>
      <name val="Calibri"/>
    </font>
    <font>
      <b/>
      <sz val="14"/>
      <color rgb="FFFF0000"/>
      <name val="Fourm"/>
    </font>
    <font>
      <b/>
      <sz val="12"/>
      <color rgb="FF000000"/>
      <name val="Calibri"/>
    </font>
    <font>
      <sz val="12"/>
      <color rgb="FF000000"/>
      <name val="Calibri"/>
    </font>
    <font>
      <b/>
      <sz val="12"/>
      <color rgb="FF000000"/>
      <name val="Candara"/>
    </font>
    <font>
      <b/>
      <sz val="16"/>
      <color rgb="FF000000"/>
      <name val="Calibriforum"/>
    </font>
    <font>
      <b/>
      <sz val="13"/>
      <color rgb="FF000000"/>
      <name val="Calibri"/>
    </font>
    <font>
      <b/>
      <sz val="15"/>
      <color rgb="FF000000"/>
      <name val="Calibri"/>
    </font>
    <font>
      <sz val="16"/>
      <color rgb="FF000000"/>
      <name val="Calibri Light"/>
    </font>
    <font>
      <b/>
      <sz val="16"/>
      <color rgb="FF000000"/>
      <name val="Calibri Light"/>
    </font>
    <font>
      <b/>
      <u/>
      <sz val="15"/>
      <color rgb="FF000000"/>
      <name val="Calibri"/>
    </font>
    <font>
      <sz val="15"/>
      <color rgb="FF000000"/>
      <name val="Calibri"/>
    </font>
    <font>
      <sz val="14"/>
      <color rgb="FF000000"/>
      <name val="Calibri Light"/>
    </font>
    <font>
      <sz val="12"/>
      <color rgb="FF000000"/>
      <name val="Calibri Light"/>
    </font>
    <font>
      <b/>
      <sz val="14"/>
      <color rgb="FF000000"/>
      <name val="Calibri Light"/>
    </font>
    <font>
      <sz val="8"/>
      <name val="Calibri"/>
      <family val="2"/>
      <scheme val="minor"/>
    </font>
    <font>
      <sz val="11"/>
      <color theme="1"/>
      <name val="Calibri"/>
      <family val="2"/>
      <scheme val="minor"/>
    </font>
    <font>
      <sz val="11"/>
      <color theme="1"/>
      <name val="Calibri"/>
      <charset val="134"/>
      <scheme val="minor"/>
    </font>
    <font>
      <sz val="12"/>
      <color rgb="FF000000"/>
      <name val="Calibri"/>
      <family val="2"/>
      <scheme val="minor"/>
    </font>
    <font>
      <sz val="11"/>
      <color theme="1"/>
      <name val="Bookman Old Style"/>
      <family val="1"/>
    </font>
  </fonts>
  <fills count="12">
    <fill>
      <patternFill patternType="none"/>
    </fill>
    <fill>
      <patternFill patternType="gray125"/>
    </fill>
    <fill>
      <patternFill patternType="solid">
        <fgColor rgb="FFAFABAB"/>
        <bgColor indexed="64"/>
      </patternFill>
    </fill>
    <fill>
      <patternFill patternType="solid">
        <fgColor rgb="FFF2F2F2"/>
        <bgColor indexed="64"/>
      </patternFill>
    </fill>
    <fill>
      <patternFill patternType="solid">
        <fgColor rgb="FFA5A5A5"/>
        <bgColor indexed="64"/>
      </patternFill>
    </fill>
    <fill>
      <patternFill patternType="solid">
        <fgColor rgb="FFE1E1E1"/>
        <bgColor indexed="64"/>
      </patternFill>
    </fill>
    <fill>
      <patternFill patternType="solid">
        <fgColor rgb="FFF0F0F0"/>
        <bgColor indexed="64"/>
      </patternFill>
    </fill>
    <fill>
      <patternFill patternType="solid">
        <fgColor rgb="FFD9D9D9"/>
        <bgColor indexed="64"/>
      </patternFill>
    </fill>
    <fill>
      <patternFill patternType="solid">
        <fgColor rgb="FFBFBFBF"/>
        <bgColor indexed="64"/>
      </patternFill>
    </fill>
    <fill>
      <patternFill patternType="solid">
        <fgColor rgb="FFFFFFFF"/>
        <bgColor indexed="64"/>
      </patternFill>
    </fill>
    <fill>
      <patternFill patternType="solid">
        <fgColor rgb="FFB4C6E7"/>
        <bgColor indexed="64"/>
      </patternFill>
    </fill>
    <fill>
      <patternFill patternType="solid">
        <fgColor rgb="FFD0CECE"/>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4">
    <xf numFmtId="0" fontId="0" fillId="0" borderId="0"/>
    <xf numFmtId="0" fontId="33" fillId="0" borderId="0"/>
    <xf numFmtId="43" fontId="32" fillId="0" borderId="0" applyFont="0" applyFill="0" applyBorder="0" applyAlignment="0" applyProtection="0">
      <alignment vertical="center"/>
    </xf>
    <xf numFmtId="0" fontId="32" fillId="0" borderId="0"/>
  </cellStyleXfs>
  <cellXfs count="87">
    <xf numFmtId="0" fontId="0" fillId="0" borderId="0" xfId="0"/>
    <xf numFmtId="0" fontId="3" fillId="0" borderId="1" xfId="0" applyFont="1" applyBorder="1" applyAlignment="1">
      <alignment horizontal="left" wrapText="1" readingOrder="1"/>
    </xf>
    <xf numFmtId="0" fontId="4" fillId="3" borderId="1" xfId="0" applyFont="1" applyFill="1" applyBorder="1" applyAlignment="1">
      <alignment horizontal="center" wrapText="1" readingOrder="1"/>
    </xf>
    <xf numFmtId="0" fontId="5" fillId="0" borderId="1" xfId="0" applyFont="1" applyBorder="1" applyAlignment="1">
      <alignment horizontal="left" wrapText="1" readingOrder="1"/>
    </xf>
    <xf numFmtId="0" fontId="6" fillId="3" borderId="1" xfId="0" applyFont="1" applyFill="1" applyBorder="1" applyAlignment="1">
      <alignment horizontal="center" wrapText="1" readingOrder="1"/>
    </xf>
    <xf numFmtId="0" fontId="8" fillId="5" borderId="8" xfId="0" applyFont="1" applyFill="1" applyBorder="1" applyAlignment="1">
      <alignment horizontal="left" vertical="center" wrapText="1" readingOrder="1"/>
    </xf>
    <xf numFmtId="0" fontId="9" fillId="6" borderId="9" xfId="0" applyFont="1" applyFill="1" applyBorder="1" applyAlignment="1">
      <alignment horizontal="center" vertical="center" wrapText="1" readingOrder="1"/>
    </xf>
    <xf numFmtId="0" fontId="9" fillId="6" borderId="9" xfId="0" applyFont="1" applyFill="1" applyBorder="1" applyAlignment="1">
      <alignment horizontal="left" vertical="center" wrapText="1" readingOrder="1"/>
    </xf>
    <xf numFmtId="0" fontId="9" fillId="5" borderId="9" xfId="0" applyFont="1" applyFill="1" applyBorder="1" applyAlignment="1">
      <alignment horizontal="center" vertical="center" wrapText="1" readingOrder="1"/>
    </xf>
    <xf numFmtId="0" fontId="9" fillId="5" borderId="9" xfId="0" applyFont="1" applyFill="1" applyBorder="1" applyAlignment="1">
      <alignment horizontal="left" vertical="center" wrapText="1" readingOrder="1"/>
    </xf>
    <xf numFmtId="0" fontId="10" fillId="6" borderId="9" xfId="0" applyFont="1" applyFill="1" applyBorder="1" applyAlignment="1">
      <alignment horizontal="left" vertical="center" wrapText="1" readingOrder="1"/>
    </xf>
    <xf numFmtId="0" fontId="10" fillId="5" borderId="9" xfId="0" applyFont="1" applyFill="1" applyBorder="1" applyAlignment="1">
      <alignment horizontal="left" vertical="center" wrapText="1" readingOrder="1"/>
    </xf>
    <xf numFmtId="0" fontId="1" fillId="6" borderId="9" xfId="0" applyFont="1" applyFill="1" applyBorder="1" applyAlignment="1">
      <alignment horizontal="center" vertical="top" wrapText="1"/>
    </xf>
    <xf numFmtId="0" fontId="1" fillId="6" borderId="9" xfId="0" applyFont="1" applyFill="1" applyBorder="1" applyAlignment="1">
      <alignment vertical="top" wrapText="1"/>
    </xf>
    <xf numFmtId="0" fontId="11" fillId="2" borderId="1" xfId="0" applyFont="1" applyFill="1" applyBorder="1" applyAlignment="1">
      <alignment horizontal="center" vertical="center" wrapText="1" readingOrder="1"/>
    </xf>
    <xf numFmtId="0" fontId="12" fillId="7" borderId="1" xfId="0" applyFont="1" applyFill="1" applyBorder="1" applyAlignment="1">
      <alignment horizontal="center" vertical="center" wrapText="1" readingOrder="1"/>
    </xf>
    <xf numFmtId="0" fontId="12" fillId="0" borderId="1" xfId="0" applyFont="1" applyBorder="1" applyAlignment="1">
      <alignment horizontal="center" vertical="center" wrapText="1" readingOrder="1"/>
    </xf>
    <xf numFmtId="0" fontId="13" fillId="8" borderId="11" xfId="0" applyFont="1" applyFill="1" applyBorder="1" applyAlignment="1">
      <alignment horizontal="center" wrapText="1" readingOrder="1"/>
    </xf>
    <xf numFmtId="0" fontId="2" fillId="8" borderId="12" xfId="0" applyFont="1" applyFill="1" applyBorder="1" applyAlignment="1">
      <alignment horizontal="center" vertical="center" wrapText="1" readingOrder="1"/>
    </xf>
    <xf numFmtId="0" fontId="2" fillId="8" borderId="10" xfId="0" applyFont="1" applyFill="1" applyBorder="1" applyAlignment="1">
      <alignment horizontal="center" vertical="center" wrapText="1" readingOrder="1"/>
    </xf>
    <xf numFmtId="0" fontId="14" fillId="0" borderId="10" xfId="0" applyFont="1" applyBorder="1" applyAlignment="1">
      <alignment horizontal="center" vertical="center" wrapText="1" readingOrder="1"/>
    </xf>
    <xf numFmtId="0" fontId="15" fillId="0" borderId="10" xfId="0" applyFont="1" applyBorder="1" applyAlignment="1">
      <alignment horizontal="center" vertical="center" wrapText="1" readingOrder="1"/>
    </xf>
    <xf numFmtId="0" fontId="16" fillId="0" borderId="10" xfId="0" applyFont="1" applyBorder="1" applyAlignment="1">
      <alignment horizontal="center" vertical="center" wrapText="1" readingOrder="1"/>
    </xf>
    <xf numFmtId="0" fontId="17" fillId="0" borderId="10" xfId="0" applyFont="1" applyBorder="1" applyAlignment="1">
      <alignment horizontal="center" vertical="center" wrapText="1" readingOrder="1"/>
    </xf>
    <xf numFmtId="0" fontId="18" fillId="8" borderId="1" xfId="0" applyFont="1" applyFill="1" applyBorder="1" applyAlignment="1">
      <alignment horizontal="center" vertical="center" wrapText="1" readingOrder="1"/>
    </xf>
    <xf numFmtId="0" fontId="19" fillId="0" borderId="1" xfId="0" applyFont="1" applyBorder="1" applyAlignment="1">
      <alignment horizontal="center" wrapText="1" readingOrder="1"/>
    </xf>
    <xf numFmtId="3" fontId="19" fillId="0" borderId="1" xfId="0" applyNumberFormat="1" applyFont="1" applyBorder="1" applyAlignment="1">
      <alignment horizontal="center" wrapText="1" readingOrder="1"/>
    </xf>
    <xf numFmtId="3" fontId="19" fillId="0" borderId="1" xfId="0" applyNumberFormat="1" applyFont="1" applyBorder="1" applyAlignment="1">
      <alignment horizontal="center" vertical="center" wrapText="1" readingOrder="1"/>
    </xf>
    <xf numFmtId="0" fontId="19" fillId="0" borderId="1" xfId="0" applyFont="1" applyBorder="1" applyAlignment="1">
      <alignment horizontal="center" vertical="center" wrapText="1" readingOrder="1"/>
    </xf>
    <xf numFmtId="0" fontId="20" fillId="8" borderId="1" xfId="0" applyFont="1" applyFill="1" applyBorder="1" applyAlignment="1">
      <alignment horizontal="center" wrapText="1" readingOrder="1"/>
    </xf>
    <xf numFmtId="0" fontId="19" fillId="0" borderId="1" xfId="0" applyFont="1" applyBorder="1" applyAlignment="1">
      <alignment horizontal="left" vertical="center" wrapText="1" readingOrder="1"/>
    </xf>
    <xf numFmtId="0" fontId="8" fillId="2" borderId="10" xfId="0" applyFont="1" applyFill="1" applyBorder="1" applyAlignment="1">
      <alignment horizontal="center" vertical="center" wrapText="1" readingOrder="1"/>
    </xf>
    <xf numFmtId="0" fontId="1" fillId="2" borderId="10" xfId="0" applyFont="1" applyFill="1" applyBorder="1" applyAlignment="1">
      <alignment vertical="center" wrapText="1"/>
    </xf>
    <xf numFmtId="0" fontId="9" fillId="9" borderId="10" xfId="0" applyFont="1" applyFill="1" applyBorder="1" applyAlignment="1">
      <alignment horizontal="center" vertical="center" wrapText="1" readingOrder="1"/>
    </xf>
    <xf numFmtId="3" fontId="9" fillId="9" borderId="10" xfId="0" applyNumberFormat="1" applyFont="1" applyFill="1" applyBorder="1" applyAlignment="1">
      <alignment horizontal="center" vertical="center" wrapText="1" readingOrder="1"/>
    </xf>
    <xf numFmtId="0" fontId="1" fillId="0" borderId="16" xfId="0" applyFont="1" applyBorder="1" applyAlignment="1">
      <alignment wrapText="1"/>
    </xf>
    <xf numFmtId="0" fontId="1" fillId="0" borderId="17" xfId="0" applyFont="1" applyBorder="1" applyAlignment="1">
      <alignment wrapText="1"/>
    </xf>
    <xf numFmtId="0" fontId="1" fillId="0" borderId="17" xfId="0" applyFont="1" applyBorder="1" applyAlignment="1">
      <alignment horizontal="center" wrapText="1"/>
    </xf>
    <xf numFmtId="0" fontId="22" fillId="7" borderId="1" xfId="0" applyFont="1" applyFill="1" applyBorder="1" applyAlignment="1">
      <alignment horizontal="center" vertical="center" wrapText="1" readingOrder="1"/>
    </xf>
    <xf numFmtId="17" fontId="22" fillId="7" borderId="1" xfId="0" applyNumberFormat="1" applyFont="1" applyFill="1" applyBorder="1" applyAlignment="1">
      <alignment horizontal="center" vertical="center" wrapText="1" readingOrder="1"/>
    </xf>
    <xf numFmtId="0" fontId="23" fillId="0" borderId="1" xfId="0" applyFont="1" applyBorder="1" applyAlignment="1">
      <alignment horizontal="center" vertical="center" wrapText="1" readingOrder="1"/>
    </xf>
    <xf numFmtId="0" fontId="23" fillId="0" borderId="1" xfId="0" applyFont="1" applyBorder="1" applyAlignment="1">
      <alignment horizontal="left" vertical="center" wrapText="1" readingOrder="1"/>
    </xf>
    <xf numFmtId="0" fontId="24" fillId="0" borderId="1" xfId="0" applyFont="1" applyBorder="1" applyAlignment="1">
      <alignment horizontal="center" wrapText="1" readingOrder="1"/>
    </xf>
    <xf numFmtId="0" fontId="24" fillId="0" borderId="1" xfId="0" applyFont="1" applyBorder="1" applyAlignment="1">
      <alignment horizontal="center" vertical="center" wrapText="1" readingOrder="1"/>
    </xf>
    <xf numFmtId="0" fontId="25" fillId="0" borderId="1" xfId="0" applyFont="1" applyBorder="1" applyAlignment="1">
      <alignment horizontal="center" wrapText="1" readingOrder="1"/>
    </xf>
    <xf numFmtId="0" fontId="25" fillId="7" borderId="1" xfId="0" applyFont="1" applyFill="1" applyBorder="1" applyAlignment="1">
      <alignment horizontal="center" wrapText="1" readingOrder="1"/>
    </xf>
    <xf numFmtId="0" fontId="25" fillId="7" borderId="1" xfId="0" applyFont="1" applyFill="1" applyBorder="1" applyAlignment="1">
      <alignment horizontal="center" vertical="center" wrapText="1" readingOrder="1"/>
    </xf>
    <xf numFmtId="0" fontId="1" fillId="0" borderId="4" xfId="0" applyFont="1" applyBorder="1" applyAlignment="1">
      <alignment wrapText="1"/>
    </xf>
    <xf numFmtId="0" fontId="1" fillId="0" borderId="18" xfId="0" applyFont="1" applyBorder="1" applyAlignment="1">
      <alignment wrapText="1"/>
    </xf>
    <xf numFmtId="0" fontId="22" fillId="11" borderId="1" xfId="0" applyFont="1" applyFill="1" applyBorder="1" applyAlignment="1">
      <alignment horizontal="center" wrapText="1" readingOrder="1"/>
    </xf>
    <xf numFmtId="0" fontId="22" fillId="0" borderId="1" xfId="0" applyFont="1" applyBorder="1" applyAlignment="1">
      <alignment horizontal="center" wrapText="1" readingOrder="1"/>
    </xf>
    <xf numFmtId="0" fontId="22" fillId="0" borderId="1" xfId="0" applyFont="1" applyBorder="1" applyAlignment="1">
      <alignment horizontal="left" wrapText="1" readingOrder="1"/>
    </xf>
    <xf numFmtId="0" fontId="28" fillId="0" borderId="1" xfId="0" applyFont="1" applyBorder="1" applyAlignment="1">
      <alignment horizontal="center" vertical="center" wrapText="1" readingOrder="1"/>
    </xf>
    <xf numFmtId="0" fontId="29" fillId="0" borderId="1" xfId="0" applyFont="1" applyBorder="1" applyAlignment="1">
      <alignment horizontal="center" vertical="center" wrapText="1" readingOrder="1"/>
    </xf>
    <xf numFmtId="0" fontId="27" fillId="7" borderId="1" xfId="0" applyFont="1" applyFill="1" applyBorder="1" applyAlignment="1">
      <alignment horizontal="center" wrapText="1" readingOrder="1"/>
    </xf>
    <xf numFmtId="0" fontId="22" fillId="7" borderId="1" xfId="0" applyFont="1" applyFill="1" applyBorder="1" applyAlignment="1">
      <alignment horizontal="left" vertical="center" wrapText="1" readingOrder="1"/>
    </xf>
    <xf numFmtId="0" fontId="30" fillId="7" borderId="1" xfId="0" applyFont="1" applyFill="1" applyBorder="1" applyAlignment="1">
      <alignment horizontal="center" wrapText="1" readingOrder="1"/>
    </xf>
    <xf numFmtId="0" fontId="12" fillId="7" borderId="1" xfId="0" applyFont="1" applyFill="1" applyBorder="1" applyAlignment="1">
      <alignment horizontal="left" vertical="center" wrapText="1" readingOrder="1"/>
    </xf>
    <xf numFmtId="17" fontId="19" fillId="0" borderId="1" xfId="0" applyNumberFormat="1" applyFont="1" applyBorder="1" applyAlignment="1">
      <alignment horizontal="center" wrapText="1" readingOrder="1"/>
    </xf>
    <xf numFmtId="164" fontId="34" fillId="0" borderId="19" xfId="2" applyNumberFormat="1" applyFont="1" applyFill="1" applyBorder="1" applyAlignment="1">
      <alignment horizontal="left" vertical="center" wrapText="1" readingOrder="1"/>
    </xf>
    <xf numFmtId="0" fontId="35" fillId="0" borderId="0" xfId="0" applyFont="1" applyAlignment="1">
      <alignment wrapText="1"/>
    </xf>
    <xf numFmtId="0" fontId="35" fillId="0" borderId="19" xfId="0" applyFont="1" applyBorder="1" applyAlignment="1">
      <alignment horizontal="center" wrapText="1"/>
    </xf>
    <xf numFmtId="0" fontId="35" fillId="0" borderId="19" xfId="0" applyFont="1" applyBorder="1" applyAlignment="1">
      <alignment wrapText="1"/>
    </xf>
    <xf numFmtId="0" fontId="0" fillId="0" borderId="0" xfId="0" applyAlignment="1">
      <alignment wrapText="1"/>
    </xf>
    <xf numFmtId="0" fontId="7" fillId="4" borderId="6" xfId="0" applyFont="1" applyFill="1" applyBorder="1" applyAlignment="1">
      <alignment horizontal="center" vertical="center" wrapText="1" readingOrder="1"/>
    </xf>
    <xf numFmtId="0" fontId="7" fillId="4" borderId="7" xfId="0" applyFont="1" applyFill="1" applyBorder="1" applyAlignment="1">
      <alignment horizontal="center" vertical="center" wrapText="1" readingOrder="1"/>
    </xf>
    <xf numFmtId="0" fontId="12" fillId="7" borderId="2" xfId="0" applyFont="1" applyFill="1" applyBorder="1" applyAlignment="1">
      <alignment horizontal="center" vertical="center" wrapText="1" readingOrder="1"/>
    </xf>
    <xf numFmtId="0" fontId="12" fillId="7" borderId="3" xfId="0" applyFont="1" applyFill="1" applyBorder="1" applyAlignment="1">
      <alignment horizontal="center" vertical="center" wrapText="1" readingOrder="1"/>
    </xf>
    <xf numFmtId="0" fontId="12" fillId="0" borderId="2" xfId="0" applyFont="1" applyBorder="1" applyAlignment="1">
      <alignment horizontal="center" vertical="center" wrapText="1" readingOrder="1"/>
    </xf>
    <xf numFmtId="0" fontId="12" fillId="0" borderId="3" xfId="0" applyFont="1" applyBorder="1" applyAlignment="1">
      <alignment horizontal="center" vertical="center" wrapText="1" readingOrder="1"/>
    </xf>
    <xf numFmtId="0" fontId="2" fillId="8" borderId="13" xfId="0" applyFont="1" applyFill="1" applyBorder="1" applyAlignment="1">
      <alignment horizontal="center" vertical="center" wrapText="1" readingOrder="1"/>
    </xf>
    <xf numFmtId="0" fontId="2" fillId="8" borderId="14" xfId="0" applyFont="1" applyFill="1" applyBorder="1" applyAlignment="1">
      <alignment horizontal="center" vertical="center" wrapText="1" readingOrder="1"/>
    </xf>
    <xf numFmtId="0" fontId="19" fillId="0" borderId="4" xfId="0" applyFont="1" applyBorder="1" applyAlignment="1">
      <alignment horizontal="left" wrapText="1" readingOrder="1"/>
    </xf>
    <xf numFmtId="0" fontId="19" fillId="0" borderId="5" xfId="0" applyFont="1" applyBorder="1" applyAlignment="1">
      <alignment horizontal="left" wrapText="1" readingOrder="1"/>
    </xf>
    <xf numFmtId="0" fontId="8" fillId="2" borderId="13" xfId="0" applyFont="1" applyFill="1" applyBorder="1" applyAlignment="1">
      <alignment horizontal="center" vertical="center" wrapText="1" readingOrder="1"/>
    </xf>
    <xf numFmtId="0" fontId="8" fillId="2" borderId="15" xfId="0" applyFont="1" applyFill="1" applyBorder="1" applyAlignment="1">
      <alignment horizontal="center" vertical="center" wrapText="1" readingOrder="1"/>
    </xf>
    <xf numFmtId="0" fontId="21" fillId="10" borderId="4" xfId="0" applyFont="1" applyFill="1" applyBorder="1" applyAlignment="1">
      <alignment horizontal="left" vertical="center" wrapText="1" readingOrder="1"/>
    </xf>
    <xf numFmtId="0" fontId="21" fillId="10" borderId="5" xfId="0" applyFont="1" applyFill="1" applyBorder="1" applyAlignment="1">
      <alignment horizontal="left" vertical="center" wrapText="1" readingOrder="1"/>
    </xf>
    <xf numFmtId="0" fontId="22" fillId="7" borderId="4" xfId="0" applyFont="1" applyFill="1" applyBorder="1" applyAlignment="1">
      <alignment horizontal="center" vertical="center" wrapText="1" readingOrder="1"/>
    </xf>
    <xf numFmtId="0" fontId="22" fillId="7" borderId="5" xfId="0" applyFont="1" applyFill="1" applyBorder="1" applyAlignment="1">
      <alignment horizontal="center" vertical="center" wrapText="1" readingOrder="1"/>
    </xf>
    <xf numFmtId="0" fontId="26" fillId="10" borderId="4" xfId="0" applyFont="1" applyFill="1" applyBorder="1" applyAlignment="1">
      <alignment horizontal="left" vertical="center" wrapText="1" readingOrder="1"/>
    </xf>
    <xf numFmtId="0" fontId="26" fillId="10" borderId="5" xfId="0" applyFont="1" applyFill="1" applyBorder="1" applyAlignment="1">
      <alignment horizontal="left" vertical="center" wrapText="1" readingOrder="1"/>
    </xf>
    <xf numFmtId="0" fontId="27" fillId="0" borderId="4" xfId="0" applyFont="1" applyBorder="1" applyAlignment="1">
      <alignment horizontal="center" wrapText="1" readingOrder="1"/>
    </xf>
    <xf numFmtId="0" fontId="27" fillId="0" borderId="18" xfId="0" applyFont="1" applyBorder="1" applyAlignment="1">
      <alignment horizontal="center" wrapText="1" readingOrder="1"/>
    </xf>
    <xf numFmtId="0" fontId="27" fillId="0" borderId="5" xfId="0" applyFont="1" applyBorder="1" applyAlignment="1">
      <alignment horizontal="center" wrapText="1" readingOrder="1"/>
    </xf>
    <xf numFmtId="0" fontId="11" fillId="2" borderId="4" xfId="0" applyFont="1" applyFill="1" applyBorder="1" applyAlignment="1">
      <alignment horizontal="center" vertical="center" wrapText="1" readingOrder="1"/>
    </xf>
    <xf numFmtId="0" fontId="11" fillId="2" borderId="5" xfId="0" applyFont="1" applyFill="1" applyBorder="1" applyAlignment="1">
      <alignment horizontal="center" vertical="center" wrapText="1" readingOrder="1"/>
    </xf>
  </cellXfs>
  <cellStyles count="4">
    <cellStyle name="Comma 2" xfId="2" xr:uid="{05884DC0-36E8-43F4-93A3-DFD3F4EC3394}"/>
    <cellStyle name="Normal" xfId="0" builtinId="0"/>
    <cellStyle name="Normal 2" xfId="3" xr:uid="{C61FFDEB-D8BD-47BA-A59F-7F8148B2D733}"/>
    <cellStyle name="Normal 3" xfId="1" xr:uid="{11AA0689-3BD8-4D49-BEC2-651A34F27C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421640</xdr:colOff>
      <xdr:row>8</xdr:row>
      <xdr:rowOff>140649</xdr:rowOff>
    </xdr:from>
    <xdr:to>
      <xdr:col>5</xdr:col>
      <xdr:colOff>6551</xdr:colOff>
      <xdr:row>10</xdr:row>
      <xdr:rowOff>128981</xdr:rowOff>
    </xdr:to>
    <xdr:sp macro="" textlink="">
      <xdr:nvSpPr>
        <xdr:cNvPr id="2" name="Text Box 3">
          <a:extLst>
            <a:ext uri="{FF2B5EF4-FFF2-40B4-BE49-F238E27FC236}">
              <a16:creationId xmlns:a16="http://schemas.microsoft.com/office/drawing/2014/main" id="{3FFAA14A-9D44-8787-E524-E693D7999E39}"/>
            </a:ext>
          </a:extLst>
        </xdr:cNvPr>
        <xdr:cNvSpPr txBox="1"/>
      </xdr:nvSpPr>
      <xdr:spPr>
        <a:xfrm>
          <a:off x="1031240" y="1664649"/>
          <a:ext cx="2023311"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b="1" u="sng">
              <a:latin typeface="Forum" panose="02000000000000000000" pitchFamily="2" charset="0"/>
              <a:cs typeface="Bookman Old Style" panose="02050604050505020204" charset="0"/>
              <a:sym typeface="+mn-ea"/>
            </a:rPr>
            <a:t>Executive Summary</a:t>
          </a:r>
        </a:p>
      </xdr:txBody>
    </xdr:sp>
    <xdr:clientData/>
  </xdr:twoCellAnchor>
  <xdr:twoCellAnchor>
    <xdr:from>
      <xdr:col>1</xdr:col>
      <xdr:colOff>177800</xdr:colOff>
      <xdr:row>12</xdr:row>
      <xdr:rowOff>32795</xdr:rowOff>
    </xdr:from>
    <xdr:to>
      <xdr:col>3</xdr:col>
      <xdr:colOff>50800</xdr:colOff>
      <xdr:row>16</xdr:row>
      <xdr:rowOff>114075</xdr:rowOff>
    </xdr:to>
    <xdr:grpSp>
      <xdr:nvGrpSpPr>
        <xdr:cNvPr id="3" name="Group 2">
          <a:extLst>
            <a:ext uri="{FF2B5EF4-FFF2-40B4-BE49-F238E27FC236}">
              <a16:creationId xmlns:a16="http://schemas.microsoft.com/office/drawing/2014/main" id="{1356481A-0330-D031-D1A9-9176CF6CF18B}"/>
            </a:ext>
          </a:extLst>
        </xdr:cNvPr>
        <xdr:cNvGrpSpPr/>
      </xdr:nvGrpSpPr>
      <xdr:grpSpPr>
        <a:xfrm>
          <a:off x="787400" y="2318795"/>
          <a:ext cx="1092200" cy="843280"/>
          <a:chOff x="477520" y="3443585"/>
          <a:chExt cx="1092200" cy="843280"/>
        </a:xfrm>
      </xdr:grpSpPr>
      <xdr:sp macro="" textlink="">
        <xdr:nvSpPr>
          <xdr:cNvPr id="27" name="Oval 26">
            <a:extLst>
              <a:ext uri="{FF2B5EF4-FFF2-40B4-BE49-F238E27FC236}">
                <a16:creationId xmlns:a16="http://schemas.microsoft.com/office/drawing/2014/main" id="{1DFC284F-906D-E758-E029-9E002F27A5B8}"/>
              </a:ext>
            </a:extLst>
          </xdr:cNvPr>
          <xdr:cNvSpPr/>
        </xdr:nvSpPr>
        <xdr:spPr>
          <a:xfrm>
            <a:off x="477520" y="3443585"/>
            <a:ext cx="843280" cy="84328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8" name="Straight Connector 27">
            <a:extLst>
              <a:ext uri="{FF2B5EF4-FFF2-40B4-BE49-F238E27FC236}">
                <a16:creationId xmlns:a16="http://schemas.microsoft.com/office/drawing/2014/main" id="{56BD4553-9A6F-6F9A-878C-4103B81CEA83}"/>
              </a:ext>
            </a:extLst>
          </xdr:cNvPr>
          <xdr:cNvCxnSpPr/>
        </xdr:nvCxnSpPr>
        <xdr:spPr>
          <a:xfrm>
            <a:off x="1071880" y="3865225"/>
            <a:ext cx="497840" cy="0"/>
          </a:xfrm>
          <a:prstGeom prst="line">
            <a:avLst/>
          </a:prstGeom>
          <a:ln w="53975">
            <a:solidFill>
              <a:schemeClr val="accent2"/>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120787</xdr:colOff>
      <xdr:row>9</xdr:row>
      <xdr:rowOff>39714</xdr:rowOff>
    </xdr:from>
    <xdr:to>
      <xdr:col>1</xdr:col>
      <xdr:colOff>341767</xdr:colOff>
      <xdr:row>10</xdr:row>
      <xdr:rowOff>70194</xdr:rowOff>
    </xdr:to>
    <xdr:sp macro="" textlink="">
      <xdr:nvSpPr>
        <xdr:cNvPr id="4" name="Half Frame 3">
          <a:extLst>
            <a:ext uri="{FF2B5EF4-FFF2-40B4-BE49-F238E27FC236}">
              <a16:creationId xmlns:a16="http://schemas.microsoft.com/office/drawing/2014/main" id="{87FC5038-9CDC-01A9-4DC4-B6D3502D6A1A}"/>
            </a:ext>
          </a:extLst>
        </xdr:cNvPr>
        <xdr:cNvSpPr/>
      </xdr:nvSpPr>
      <xdr:spPr>
        <a:xfrm rot="8100000">
          <a:off x="730387" y="1754214"/>
          <a:ext cx="220980" cy="220980"/>
        </a:xfrm>
        <a:prstGeom prst="halfFram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clientData/>
  </xdr:twoCellAnchor>
  <xdr:twoCellAnchor>
    <xdr:from>
      <xdr:col>1</xdr:col>
      <xdr:colOff>147320</xdr:colOff>
      <xdr:row>21</xdr:row>
      <xdr:rowOff>42084</xdr:rowOff>
    </xdr:from>
    <xdr:to>
      <xdr:col>3</xdr:col>
      <xdr:colOff>20320</xdr:colOff>
      <xdr:row>25</xdr:row>
      <xdr:rowOff>123364</xdr:rowOff>
    </xdr:to>
    <xdr:grpSp>
      <xdr:nvGrpSpPr>
        <xdr:cNvPr id="5" name="Group 4">
          <a:extLst>
            <a:ext uri="{FF2B5EF4-FFF2-40B4-BE49-F238E27FC236}">
              <a16:creationId xmlns:a16="http://schemas.microsoft.com/office/drawing/2014/main" id="{B2AB8D73-2D24-A8E1-073F-AFEA72082595}"/>
            </a:ext>
          </a:extLst>
        </xdr:cNvPr>
        <xdr:cNvGrpSpPr/>
      </xdr:nvGrpSpPr>
      <xdr:grpSpPr>
        <a:xfrm>
          <a:off x="756920" y="4042584"/>
          <a:ext cx="1092200" cy="843280"/>
          <a:chOff x="477520" y="3443585"/>
          <a:chExt cx="1092200" cy="843280"/>
        </a:xfrm>
      </xdr:grpSpPr>
      <xdr:sp macro="" textlink="">
        <xdr:nvSpPr>
          <xdr:cNvPr id="25" name="Oval 24">
            <a:extLst>
              <a:ext uri="{FF2B5EF4-FFF2-40B4-BE49-F238E27FC236}">
                <a16:creationId xmlns:a16="http://schemas.microsoft.com/office/drawing/2014/main" id="{1D5B8272-6E14-4D32-EB02-A6A67C4BAE2B}"/>
              </a:ext>
            </a:extLst>
          </xdr:cNvPr>
          <xdr:cNvSpPr/>
        </xdr:nvSpPr>
        <xdr:spPr>
          <a:xfrm>
            <a:off x="477520" y="3443585"/>
            <a:ext cx="843280" cy="84328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400">
              <a:latin typeface="Bookman Old Style" panose="02050604050505020204" charset="0"/>
            </a:endParaRPr>
          </a:p>
        </xdr:txBody>
      </xdr:sp>
      <xdr:cxnSp macro="">
        <xdr:nvCxnSpPr>
          <xdr:cNvPr id="26" name="Straight Connector 25">
            <a:extLst>
              <a:ext uri="{FF2B5EF4-FFF2-40B4-BE49-F238E27FC236}">
                <a16:creationId xmlns:a16="http://schemas.microsoft.com/office/drawing/2014/main" id="{1F1611B4-BF13-30CB-EF03-327586D4DFE4}"/>
              </a:ext>
            </a:extLst>
          </xdr:cNvPr>
          <xdr:cNvCxnSpPr/>
        </xdr:nvCxnSpPr>
        <xdr:spPr>
          <a:xfrm>
            <a:off x="1071880" y="3865225"/>
            <a:ext cx="497840" cy="0"/>
          </a:xfrm>
          <a:prstGeom prst="line">
            <a:avLst/>
          </a:prstGeom>
          <a:ln w="53975">
            <a:solidFill>
              <a:schemeClr val="accent2"/>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177800</xdr:colOff>
      <xdr:row>16</xdr:row>
      <xdr:rowOff>110819</xdr:rowOff>
    </xdr:from>
    <xdr:to>
      <xdr:col>3</xdr:col>
      <xdr:colOff>441960</xdr:colOff>
      <xdr:row>18</xdr:row>
      <xdr:rowOff>68373</xdr:rowOff>
    </xdr:to>
    <xdr:sp macro="" textlink="">
      <xdr:nvSpPr>
        <xdr:cNvPr id="6" name="TextBox 18">
          <a:extLst>
            <a:ext uri="{FF2B5EF4-FFF2-40B4-BE49-F238E27FC236}">
              <a16:creationId xmlns:a16="http://schemas.microsoft.com/office/drawing/2014/main" id="{4BEF5007-542D-D0EE-5BBC-F0AF42AA0FDF}"/>
            </a:ext>
          </a:extLst>
        </xdr:cNvPr>
        <xdr:cNvSpPr txBox="1"/>
      </xdr:nvSpPr>
      <xdr:spPr>
        <a:xfrm>
          <a:off x="787400" y="3158819"/>
          <a:ext cx="1483360" cy="338554"/>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latin typeface="Forum" panose="02000000000000000000" pitchFamily="2" charset="0"/>
            </a:rPr>
            <a:t>Mission</a:t>
          </a:r>
        </a:p>
      </xdr:txBody>
    </xdr:sp>
    <xdr:clientData/>
  </xdr:twoCellAnchor>
  <xdr:twoCellAnchor>
    <xdr:from>
      <xdr:col>1</xdr:col>
      <xdr:colOff>0</xdr:colOff>
      <xdr:row>25</xdr:row>
      <xdr:rowOff>163676</xdr:rowOff>
    </xdr:from>
    <xdr:to>
      <xdr:col>3</xdr:col>
      <xdr:colOff>264160</xdr:colOff>
      <xdr:row>27</xdr:row>
      <xdr:rowOff>121230</xdr:rowOff>
    </xdr:to>
    <xdr:sp macro="" textlink="">
      <xdr:nvSpPr>
        <xdr:cNvPr id="7" name="TextBox 19">
          <a:extLst>
            <a:ext uri="{FF2B5EF4-FFF2-40B4-BE49-F238E27FC236}">
              <a16:creationId xmlns:a16="http://schemas.microsoft.com/office/drawing/2014/main" id="{13397670-A343-4EE5-DDC9-F47F21F6A85B}"/>
            </a:ext>
          </a:extLst>
        </xdr:cNvPr>
        <xdr:cNvSpPr txBox="1"/>
      </xdr:nvSpPr>
      <xdr:spPr>
        <a:xfrm>
          <a:off x="609600" y="4926176"/>
          <a:ext cx="1483360" cy="338554"/>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latin typeface="Forum" panose="02000000000000000000" pitchFamily="2" charset="0"/>
            </a:rPr>
            <a:t>Leadership</a:t>
          </a:r>
        </a:p>
      </xdr:txBody>
    </xdr:sp>
    <xdr:clientData/>
  </xdr:twoCellAnchor>
  <xdr:twoCellAnchor>
    <xdr:from>
      <xdr:col>10</xdr:col>
      <xdr:colOff>298381</xdr:colOff>
      <xdr:row>11</xdr:row>
      <xdr:rowOff>184226</xdr:rowOff>
    </xdr:from>
    <xdr:to>
      <xdr:col>12</xdr:col>
      <xdr:colOff>171381</xdr:colOff>
      <xdr:row>16</xdr:row>
      <xdr:rowOff>75006</xdr:rowOff>
    </xdr:to>
    <xdr:grpSp>
      <xdr:nvGrpSpPr>
        <xdr:cNvPr id="8" name="Group 7">
          <a:extLst>
            <a:ext uri="{FF2B5EF4-FFF2-40B4-BE49-F238E27FC236}">
              <a16:creationId xmlns:a16="http://schemas.microsoft.com/office/drawing/2014/main" id="{9A67218B-028C-7DAC-7CE3-7281D04B2669}"/>
            </a:ext>
          </a:extLst>
        </xdr:cNvPr>
        <xdr:cNvGrpSpPr/>
      </xdr:nvGrpSpPr>
      <xdr:grpSpPr>
        <a:xfrm>
          <a:off x="6394381" y="2279726"/>
          <a:ext cx="1092200" cy="843280"/>
          <a:chOff x="477520" y="3443585"/>
          <a:chExt cx="1092200" cy="843280"/>
        </a:xfrm>
      </xdr:grpSpPr>
      <xdr:sp macro="" textlink="">
        <xdr:nvSpPr>
          <xdr:cNvPr id="23" name="Oval 22">
            <a:extLst>
              <a:ext uri="{FF2B5EF4-FFF2-40B4-BE49-F238E27FC236}">
                <a16:creationId xmlns:a16="http://schemas.microsoft.com/office/drawing/2014/main" id="{FD36B859-6FAB-B3CE-4A14-972A73D5DD6E}"/>
              </a:ext>
            </a:extLst>
          </xdr:cNvPr>
          <xdr:cNvSpPr/>
        </xdr:nvSpPr>
        <xdr:spPr>
          <a:xfrm>
            <a:off x="477520" y="3443585"/>
            <a:ext cx="843280" cy="84328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4" name="Straight Connector 23">
            <a:extLst>
              <a:ext uri="{FF2B5EF4-FFF2-40B4-BE49-F238E27FC236}">
                <a16:creationId xmlns:a16="http://schemas.microsoft.com/office/drawing/2014/main" id="{7CB12263-B91D-4468-DFF8-6DC4452CE5A4}"/>
              </a:ext>
            </a:extLst>
          </xdr:cNvPr>
          <xdr:cNvCxnSpPr/>
        </xdr:nvCxnSpPr>
        <xdr:spPr>
          <a:xfrm>
            <a:off x="1071880" y="3865225"/>
            <a:ext cx="497840" cy="0"/>
          </a:xfrm>
          <a:prstGeom prst="line">
            <a:avLst/>
          </a:prstGeom>
          <a:ln w="53975">
            <a:solidFill>
              <a:schemeClr val="accent2"/>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5081</xdr:colOff>
      <xdr:row>16</xdr:row>
      <xdr:rowOff>71644</xdr:rowOff>
    </xdr:from>
    <xdr:to>
      <xdr:col>12</xdr:col>
      <xdr:colOff>269241</xdr:colOff>
      <xdr:row>18</xdr:row>
      <xdr:rowOff>29198</xdr:rowOff>
    </xdr:to>
    <xdr:sp macro="" textlink="">
      <xdr:nvSpPr>
        <xdr:cNvPr id="9" name="TextBox 27">
          <a:extLst>
            <a:ext uri="{FF2B5EF4-FFF2-40B4-BE49-F238E27FC236}">
              <a16:creationId xmlns:a16="http://schemas.microsoft.com/office/drawing/2014/main" id="{DC49C80A-6DAA-6F0B-6729-53C8F2762476}"/>
            </a:ext>
          </a:extLst>
        </xdr:cNvPr>
        <xdr:cNvSpPr txBox="1"/>
      </xdr:nvSpPr>
      <xdr:spPr>
        <a:xfrm>
          <a:off x="6101081" y="3119644"/>
          <a:ext cx="1483360" cy="338554"/>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latin typeface="Forum" panose="02000000000000000000" pitchFamily="2" charset="0"/>
            </a:rPr>
            <a:t>Aim</a:t>
          </a:r>
        </a:p>
      </xdr:txBody>
    </xdr:sp>
    <xdr:clientData/>
  </xdr:twoCellAnchor>
  <xdr:twoCellAnchor>
    <xdr:from>
      <xdr:col>3</xdr:col>
      <xdr:colOff>224191</xdr:colOff>
      <xdr:row>12</xdr:row>
      <xdr:rowOff>83475</xdr:rowOff>
    </xdr:from>
    <xdr:to>
      <xdr:col>9</xdr:col>
      <xdr:colOff>340361</xdr:colOff>
      <xdr:row>16</xdr:row>
      <xdr:rowOff>58710</xdr:rowOff>
    </xdr:to>
    <xdr:sp macro="" textlink="">
      <xdr:nvSpPr>
        <xdr:cNvPr id="10" name="TextBox 29">
          <a:extLst>
            <a:ext uri="{FF2B5EF4-FFF2-40B4-BE49-F238E27FC236}">
              <a16:creationId xmlns:a16="http://schemas.microsoft.com/office/drawing/2014/main" id="{4DD24094-D9B6-1038-932F-71E37B266FCE}"/>
            </a:ext>
          </a:extLst>
        </xdr:cNvPr>
        <xdr:cNvSpPr txBox="1"/>
      </xdr:nvSpPr>
      <xdr:spPr>
        <a:xfrm>
          <a:off x="2052991" y="2369475"/>
          <a:ext cx="3773770" cy="737235"/>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en-US" sz="1400">
              <a:latin typeface="Forum" panose="02000000000000000000" pitchFamily="2" charset="0"/>
            </a:rPr>
            <a:t>We are committed to provide service delivery at a level of</a:t>
          </a:r>
          <a:r>
            <a:rPr lang="en-IN" altLang="en-US" sz="1400">
              <a:latin typeface="Forum" panose="02000000000000000000" pitchFamily="2" charset="0"/>
            </a:rPr>
            <a:t> corporate</a:t>
          </a:r>
          <a:r>
            <a:rPr lang="en-US" sz="1400">
              <a:latin typeface="Forum" panose="02000000000000000000" pitchFamily="2" charset="0"/>
            </a:rPr>
            <a:t> excellence that exceeds the industry standards. </a:t>
          </a:r>
          <a:endParaRPr lang="en-IN" sz="1400">
            <a:latin typeface="Forum" panose="02000000000000000000" pitchFamily="2" charset="0"/>
          </a:endParaRPr>
        </a:p>
      </xdr:txBody>
    </xdr:sp>
    <xdr:clientData/>
  </xdr:twoCellAnchor>
  <xdr:twoCellAnchor>
    <xdr:from>
      <xdr:col>10</xdr:col>
      <xdr:colOff>293300</xdr:colOff>
      <xdr:row>21</xdr:row>
      <xdr:rowOff>65282</xdr:rowOff>
    </xdr:from>
    <xdr:to>
      <xdr:col>12</xdr:col>
      <xdr:colOff>166300</xdr:colOff>
      <xdr:row>25</xdr:row>
      <xdr:rowOff>146562</xdr:rowOff>
    </xdr:to>
    <xdr:grpSp>
      <xdr:nvGrpSpPr>
        <xdr:cNvPr id="11" name="Group 10">
          <a:extLst>
            <a:ext uri="{FF2B5EF4-FFF2-40B4-BE49-F238E27FC236}">
              <a16:creationId xmlns:a16="http://schemas.microsoft.com/office/drawing/2014/main" id="{9012F301-6AA0-2756-7645-447B2DEC1539}"/>
            </a:ext>
          </a:extLst>
        </xdr:cNvPr>
        <xdr:cNvGrpSpPr/>
      </xdr:nvGrpSpPr>
      <xdr:grpSpPr>
        <a:xfrm>
          <a:off x="6389300" y="4065782"/>
          <a:ext cx="1092200" cy="843280"/>
          <a:chOff x="477520" y="3443585"/>
          <a:chExt cx="1092200" cy="843280"/>
        </a:xfrm>
      </xdr:grpSpPr>
      <xdr:sp macro="" textlink="">
        <xdr:nvSpPr>
          <xdr:cNvPr id="21" name="Oval 20">
            <a:extLst>
              <a:ext uri="{FF2B5EF4-FFF2-40B4-BE49-F238E27FC236}">
                <a16:creationId xmlns:a16="http://schemas.microsoft.com/office/drawing/2014/main" id="{FCCE2ECF-52E8-3F81-DAC5-3BA18F375F33}"/>
              </a:ext>
            </a:extLst>
          </xdr:cNvPr>
          <xdr:cNvSpPr/>
        </xdr:nvSpPr>
        <xdr:spPr>
          <a:xfrm>
            <a:off x="477520" y="3443585"/>
            <a:ext cx="843280" cy="84328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2" name="Straight Connector 21">
            <a:extLst>
              <a:ext uri="{FF2B5EF4-FFF2-40B4-BE49-F238E27FC236}">
                <a16:creationId xmlns:a16="http://schemas.microsoft.com/office/drawing/2014/main" id="{B17F2C29-62EC-AC53-130C-DE19B4A03E65}"/>
              </a:ext>
            </a:extLst>
          </xdr:cNvPr>
          <xdr:cNvCxnSpPr/>
        </xdr:nvCxnSpPr>
        <xdr:spPr>
          <a:xfrm>
            <a:off x="1071880" y="3865225"/>
            <a:ext cx="497840" cy="0"/>
          </a:xfrm>
          <a:prstGeom prst="line">
            <a:avLst/>
          </a:prstGeom>
          <a:ln w="53975">
            <a:solidFill>
              <a:schemeClr val="accent2"/>
            </a:solidFill>
            <a:tail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0</xdr:colOff>
      <xdr:row>25</xdr:row>
      <xdr:rowOff>143200</xdr:rowOff>
    </xdr:from>
    <xdr:to>
      <xdr:col>12</xdr:col>
      <xdr:colOff>264160</xdr:colOff>
      <xdr:row>27</xdr:row>
      <xdr:rowOff>100754</xdr:rowOff>
    </xdr:to>
    <xdr:sp macro="" textlink="">
      <xdr:nvSpPr>
        <xdr:cNvPr id="12" name="TextBox 35">
          <a:extLst>
            <a:ext uri="{FF2B5EF4-FFF2-40B4-BE49-F238E27FC236}">
              <a16:creationId xmlns:a16="http://schemas.microsoft.com/office/drawing/2014/main" id="{F8536578-05F5-8ED0-4D80-13C4F6544999}"/>
            </a:ext>
          </a:extLst>
        </xdr:cNvPr>
        <xdr:cNvSpPr txBox="1"/>
      </xdr:nvSpPr>
      <xdr:spPr>
        <a:xfrm>
          <a:off x="6096000" y="4905700"/>
          <a:ext cx="1483360" cy="338554"/>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600" b="1">
              <a:latin typeface="Forum" panose="02000000000000000000" pitchFamily="2" charset="0"/>
            </a:rPr>
            <a:t>USP</a:t>
          </a:r>
        </a:p>
      </xdr:txBody>
    </xdr:sp>
    <xdr:clientData/>
  </xdr:twoCellAnchor>
  <xdr:twoCellAnchor editAs="oneCell">
    <xdr:from>
      <xdr:col>1</xdr:col>
      <xdr:colOff>281097</xdr:colOff>
      <xdr:row>13</xdr:row>
      <xdr:rowOff>18241</xdr:rowOff>
    </xdr:from>
    <xdr:to>
      <xdr:col>2</xdr:col>
      <xdr:colOff>382374</xdr:colOff>
      <xdr:row>16</xdr:row>
      <xdr:rowOff>3029</xdr:rowOff>
    </xdr:to>
    <xdr:pic>
      <xdr:nvPicPr>
        <xdr:cNvPr id="13" name="Picture 12" descr="Shape&#10;&#10;Description automatically generated with low confidence">
          <a:extLst>
            <a:ext uri="{FF2B5EF4-FFF2-40B4-BE49-F238E27FC236}">
              <a16:creationId xmlns:a16="http://schemas.microsoft.com/office/drawing/2014/main" id="{18665794-74C1-5BE1-F4CF-C4390410DA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1746"/>
        <a:stretch>
          <a:fillRect/>
        </a:stretch>
      </xdr:blipFill>
      <xdr:spPr>
        <a:xfrm>
          <a:off x="890697" y="2494741"/>
          <a:ext cx="710877" cy="556288"/>
        </a:xfrm>
        <a:prstGeom prst="rect">
          <a:avLst/>
        </a:prstGeom>
      </xdr:spPr>
    </xdr:pic>
    <xdr:clientData/>
  </xdr:twoCellAnchor>
  <xdr:twoCellAnchor editAs="oneCell">
    <xdr:from>
      <xdr:col>1</xdr:col>
      <xdr:colOff>208848</xdr:colOff>
      <xdr:row>21</xdr:row>
      <xdr:rowOff>176687</xdr:rowOff>
    </xdr:from>
    <xdr:to>
      <xdr:col>2</xdr:col>
      <xdr:colOff>279400</xdr:colOff>
      <xdr:row>24</xdr:row>
      <xdr:rowOff>179260</xdr:rowOff>
    </xdr:to>
    <xdr:pic>
      <xdr:nvPicPr>
        <xdr:cNvPr id="14" name="Picture 13" descr="Shape&#10;&#10;Description automatically generated with low confidence">
          <a:extLst>
            <a:ext uri="{FF2B5EF4-FFF2-40B4-BE49-F238E27FC236}">
              <a16:creationId xmlns:a16="http://schemas.microsoft.com/office/drawing/2014/main" id="{ADCA1C65-5F60-A720-6EEE-63893C1D1B9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5596"/>
        <a:stretch>
          <a:fillRect/>
        </a:stretch>
      </xdr:blipFill>
      <xdr:spPr>
        <a:xfrm>
          <a:off x="818448" y="4177187"/>
          <a:ext cx="680152" cy="574073"/>
        </a:xfrm>
        <a:prstGeom prst="rect">
          <a:avLst/>
        </a:prstGeom>
      </xdr:spPr>
    </xdr:pic>
    <xdr:clientData/>
  </xdr:twoCellAnchor>
  <xdr:twoCellAnchor editAs="oneCell">
    <xdr:from>
      <xdr:col>10</xdr:col>
      <xdr:colOff>163420</xdr:colOff>
      <xdr:row>11</xdr:row>
      <xdr:rowOff>161855</xdr:rowOff>
    </xdr:from>
    <xdr:to>
      <xdr:col>12</xdr:col>
      <xdr:colOff>70261</xdr:colOff>
      <xdr:row>16</xdr:row>
      <xdr:rowOff>94015</xdr:rowOff>
    </xdr:to>
    <xdr:pic>
      <xdr:nvPicPr>
        <xdr:cNvPr id="15" name="Picture 14" descr="Shape&#10;&#10;Description automatically generated with low confidence">
          <a:extLst>
            <a:ext uri="{FF2B5EF4-FFF2-40B4-BE49-F238E27FC236}">
              <a16:creationId xmlns:a16="http://schemas.microsoft.com/office/drawing/2014/main" id="{8881AFA8-5648-ECD9-2A8B-177851EF9E8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1437"/>
        <a:stretch>
          <a:fillRect/>
        </a:stretch>
      </xdr:blipFill>
      <xdr:spPr>
        <a:xfrm>
          <a:off x="6259420" y="2257355"/>
          <a:ext cx="1126041" cy="884660"/>
        </a:xfrm>
        <a:prstGeom prst="rect">
          <a:avLst/>
        </a:prstGeom>
      </xdr:spPr>
    </xdr:pic>
    <xdr:clientData/>
  </xdr:twoCellAnchor>
  <xdr:twoCellAnchor editAs="oneCell">
    <xdr:from>
      <xdr:col>10</xdr:col>
      <xdr:colOff>369476</xdr:colOff>
      <xdr:row>22</xdr:row>
      <xdr:rowOff>23773</xdr:rowOff>
    </xdr:from>
    <xdr:to>
      <xdr:col>11</xdr:col>
      <xdr:colOff>450803</xdr:colOff>
      <xdr:row>25</xdr:row>
      <xdr:rowOff>143200</xdr:rowOff>
    </xdr:to>
    <xdr:pic>
      <xdr:nvPicPr>
        <xdr:cNvPr id="16" name="Picture 15" descr="Shape&#10;&#10;Description automatically generated with low confidence">
          <a:extLst>
            <a:ext uri="{FF2B5EF4-FFF2-40B4-BE49-F238E27FC236}">
              <a16:creationId xmlns:a16="http://schemas.microsoft.com/office/drawing/2014/main" id="{150A5BF3-9968-CD48-5033-45C4980273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65476" y="4214773"/>
          <a:ext cx="690927" cy="690927"/>
        </a:xfrm>
        <a:prstGeom prst="rect">
          <a:avLst/>
        </a:prstGeom>
      </xdr:spPr>
    </xdr:pic>
    <xdr:clientData/>
  </xdr:twoCellAnchor>
  <xdr:twoCellAnchor>
    <xdr:from>
      <xdr:col>1</xdr:col>
      <xdr:colOff>137160</xdr:colOff>
      <xdr:row>1</xdr:row>
      <xdr:rowOff>0</xdr:rowOff>
    </xdr:from>
    <xdr:to>
      <xdr:col>19</xdr:col>
      <xdr:colOff>382179</xdr:colOff>
      <xdr:row>10</xdr:row>
      <xdr:rowOff>185420</xdr:rowOff>
    </xdr:to>
    <xdr:sp macro="" textlink="">
      <xdr:nvSpPr>
        <xdr:cNvPr id="17" name="Content Placeholder 2">
          <a:extLst>
            <a:ext uri="{FF2B5EF4-FFF2-40B4-BE49-F238E27FC236}">
              <a16:creationId xmlns:a16="http://schemas.microsoft.com/office/drawing/2014/main" id="{6A9C528A-2FE0-24FC-B1DC-EB35606E0B3B}"/>
            </a:ext>
          </a:extLst>
        </xdr:cNvPr>
        <xdr:cNvSpPr txBox="1"/>
      </xdr:nvSpPr>
      <xdr:spPr>
        <a:xfrm>
          <a:off x="746760" y="190500"/>
          <a:ext cx="11217819" cy="1899920"/>
        </a:xfrm>
        <a:prstGeom prst="rect">
          <a:avLst/>
        </a:prstGeom>
      </xdr:spPr>
      <xdr:txBody>
        <a:bodyPr wrap="square"/>
        <a:lstStyle>
          <a:defPPr>
            <a:defRPr lang="en-US"/>
          </a:defPPr>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just"/>
          <a:r>
            <a:rPr lang="en-US" sz="1400">
              <a:latin typeface="Forum" panose="02000000000000000000" pitchFamily="2" charset="0"/>
              <a:cs typeface="Bookman Old Style" panose="02050604050505020204" charset="0"/>
            </a:rPr>
            <a:t>Emerzhent Property Management Services LLP is one of the leading Hyderabad-based companies for Integrated Property Management Services across various Real Estate verticals.</a:t>
          </a:r>
        </a:p>
        <a:p>
          <a:pPr algn="just"/>
          <a:r>
            <a:rPr lang="en-US" sz="1400">
              <a:latin typeface="Forum" panose="02000000000000000000" pitchFamily="2" charset="0"/>
              <a:cs typeface="Bookman Old Style" panose="02050604050505020204" charset="0"/>
            </a:rPr>
            <a:t>We have a rich and collaborative experience of more than a decade in serving prestigious companies and helping them achieve their real estate goals. EPMS strives to support clients across varied service lines. Our strategic solutions empower the properties to be more productive and economically efficient.</a:t>
          </a:r>
        </a:p>
      </xdr:txBody>
    </xdr:sp>
    <xdr:clientData/>
  </xdr:twoCellAnchor>
  <xdr:twoCellAnchor>
    <xdr:from>
      <xdr:col>12</xdr:col>
      <xdr:colOff>442631</xdr:colOff>
      <xdr:row>12</xdr:row>
      <xdr:rowOff>87989</xdr:rowOff>
    </xdr:from>
    <xdr:to>
      <xdr:col>19</xdr:col>
      <xdr:colOff>418962</xdr:colOff>
      <xdr:row>16</xdr:row>
      <xdr:rowOff>64653</xdr:rowOff>
    </xdr:to>
    <xdr:sp macro="" textlink="">
      <xdr:nvSpPr>
        <xdr:cNvPr id="18" name="TextBox 31">
          <a:extLst>
            <a:ext uri="{FF2B5EF4-FFF2-40B4-BE49-F238E27FC236}">
              <a16:creationId xmlns:a16="http://schemas.microsoft.com/office/drawing/2014/main" id="{6158AEF9-7993-6936-1953-1904608ED179}"/>
            </a:ext>
          </a:extLst>
        </xdr:cNvPr>
        <xdr:cNvSpPr txBox="1"/>
      </xdr:nvSpPr>
      <xdr:spPr>
        <a:xfrm>
          <a:off x="7757831" y="2373989"/>
          <a:ext cx="4243531" cy="738664"/>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en-US" sz="1400">
              <a:latin typeface="Forum" panose="02000000000000000000" pitchFamily="2" charset="0"/>
            </a:rPr>
            <a:t>EPMS aims to be the most innovative and admired brand by engaging stakeholders to take ownership and building a sustainable enterprise.</a:t>
          </a:r>
        </a:p>
      </xdr:txBody>
    </xdr:sp>
    <xdr:clientData/>
  </xdr:twoCellAnchor>
  <xdr:twoCellAnchor>
    <xdr:from>
      <xdr:col>3</xdr:col>
      <xdr:colOff>224191</xdr:colOff>
      <xdr:row>21</xdr:row>
      <xdr:rowOff>88218</xdr:rowOff>
    </xdr:from>
    <xdr:to>
      <xdr:col>10</xdr:col>
      <xdr:colOff>5081</xdr:colOff>
      <xdr:row>26</xdr:row>
      <xdr:rowOff>89825</xdr:rowOff>
    </xdr:to>
    <xdr:sp macro="" textlink="">
      <xdr:nvSpPr>
        <xdr:cNvPr id="19" name="TextBox 21">
          <a:extLst>
            <a:ext uri="{FF2B5EF4-FFF2-40B4-BE49-F238E27FC236}">
              <a16:creationId xmlns:a16="http://schemas.microsoft.com/office/drawing/2014/main" id="{A1968C6C-8794-D97C-8F5D-00F22CD68FA5}"/>
            </a:ext>
          </a:extLst>
        </xdr:cNvPr>
        <xdr:cNvSpPr txBox="1"/>
      </xdr:nvSpPr>
      <xdr:spPr>
        <a:xfrm>
          <a:off x="2052991" y="4088718"/>
          <a:ext cx="4048090" cy="954107"/>
        </a:xfrm>
        <a:prstGeom prst="rect">
          <a:avLst/>
        </a:prstGeom>
        <a:no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en-US" sz="1400">
              <a:latin typeface="Forum" panose="02000000000000000000" pitchFamily="2" charset="0"/>
            </a:rPr>
            <a:t>Emerzhent is promoted by a group of reputed senior professionals from the fields of Real Estate Development, Construction, Business Consulting and Auditing.</a:t>
          </a:r>
        </a:p>
      </xdr:txBody>
    </xdr:sp>
    <xdr:clientData/>
  </xdr:twoCellAnchor>
  <xdr:twoCellAnchor>
    <xdr:from>
      <xdr:col>12</xdr:col>
      <xdr:colOff>453343</xdr:colOff>
      <xdr:row>18</xdr:row>
      <xdr:rowOff>140935</xdr:rowOff>
    </xdr:from>
    <xdr:to>
      <xdr:col>19</xdr:col>
      <xdr:colOff>382174</xdr:colOff>
      <xdr:row>27</xdr:row>
      <xdr:rowOff>121230</xdr:rowOff>
    </xdr:to>
    <xdr:sp macro="" textlink="">
      <xdr:nvSpPr>
        <xdr:cNvPr id="20" name="Content Placeholder 2">
          <a:extLst>
            <a:ext uri="{FF2B5EF4-FFF2-40B4-BE49-F238E27FC236}">
              <a16:creationId xmlns:a16="http://schemas.microsoft.com/office/drawing/2014/main" id="{3040113B-5C59-E976-B235-D79F42F1C2E9}"/>
            </a:ext>
          </a:extLst>
        </xdr:cNvPr>
        <xdr:cNvSpPr>
          <a:spLocks noGrp="1"/>
        </xdr:cNvSpPr>
      </xdr:nvSpPr>
      <xdr:spPr>
        <a:xfrm>
          <a:off x="7768543" y="3569935"/>
          <a:ext cx="4196031" cy="1694795"/>
        </a:xfrm>
        <a:prstGeom prst="rect">
          <a:avLst/>
        </a:prstGeom>
        <a:noFill/>
        <a:ln w="9525">
          <a:noFill/>
        </a:ln>
      </xdr:spPr>
      <xdr:txBody>
        <a:bodyPr wrap="square"/>
        <a:lstStyle>
          <a:defPPr>
            <a:defRPr lang="en-US"/>
          </a:defPPr>
          <a:lvl1pPr marL="342900" indent="-342900" algn="l" defTabSz="914400" rtl="0" eaLnBrk="1" fontAlgn="base" latinLnBrk="0" hangingPunct="1">
            <a:spcBef>
              <a:spcPct val="20000"/>
            </a:spcBef>
            <a:spcAft>
              <a:spcPct val="0"/>
            </a:spcAft>
            <a:buChar char="•"/>
            <a:defRPr sz="3200" kern="1200">
              <a:solidFill>
                <a:schemeClr val="tx1"/>
              </a:solidFill>
              <a:latin typeface="+mn-lt"/>
              <a:ea typeface="+mn-ea"/>
              <a:cs typeface="+mn-cs"/>
            </a:defRPr>
          </a:lvl1pPr>
          <a:lvl2pPr marL="742950" indent="-285750" algn="l" defTabSz="914400" rtl="0" eaLnBrk="1" fontAlgn="base" latinLnBrk="0" hangingPunct="1">
            <a:spcBef>
              <a:spcPct val="20000"/>
            </a:spcBef>
            <a:spcAft>
              <a:spcPct val="0"/>
            </a:spcAft>
            <a:buChar char="–"/>
            <a:defRPr sz="2800" kern="1200">
              <a:solidFill>
                <a:schemeClr val="tx1"/>
              </a:solidFill>
              <a:latin typeface="+mn-lt"/>
              <a:ea typeface="+mn-ea"/>
              <a:cs typeface="+mn-cs"/>
            </a:defRPr>
          </a:lvl2pPr>
          <a:lvl3pPr marL="1143000" indent="-228600" algn="l" defTabSz="914400" rtl="0" eaLnBrk="1" fontAlgn="base" latinLnBrk="0" hangingPunct="1">
            <a:spcBef>
              <a:spcPct val="20000"/>
            </a:spcBef>
            <a:spcAft>
              <a:spcPct val="0"/>
            </a:spcAft>
            <a:buChar char="•"/>
            <a:defRPr sz="2400" kern="1200">
              <a:solidFill>
                <a:schemeClr val="tx1"/>
              </a:solidFill>
              <a:latin typeface="+mn-lt"/>
              <a:ea typeface="+mn-ea"/>
              <a:cs typeface="+mn-cs"/>
            </a:defRPr>
          </a:lvl3pPr>
          <a:lvl4pPr marL="1600200" indent="-228600" algn="l" defTabSz="914400" rtl="0" eaLnBrk="1" fontAlgn="base" latinLnBrk="0" hangingPunct="1">
            <a:spcBef>
              <a:spcPct val="20000"/>
            </a:spcBef>
            <a:spcAft>
              <a:spcPct val="0"/>
            </a:spcAft>
            <a:buChar char="–"/>
            <a:defRPr sz="2000" kern="1200">
              <a:solidFill>
                <a:schemeClr val="tx1"/>
              </a:solidFill>
              <a:latin typeface="+mn-lt"/>
              <a:ea typeface="+mn-ea"/>
              <a:cs typeface="+mn-cs"/>
            </a:defRPr>
          </a:lvl4pPr>
          <a:lvl5pPr marL="2057400" indent="-228600" algn="l" defTabSz="914400" rtl="0" eaLnBrk="1" fontAlgn="base" latinLnBrk="0" hangingPunct="1">
            <a:spcBef>
              <a:spcPct val="20000"/>
            </a:spcBef>
            <a:spcAft>
              <a:spcPct val="0"/>
            </a:spcAft>
            <a:buChar char="»"/>
            <a:defRPr sz="20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indent="0">
            <a:buNone/>
          </a:pPr>
          <a:r>
            <a:rPr lang="en-US" sz="1400">
              <a:latin typeface="Forum" panose="02000000000000000000" pitchFamily="2" charset="0"/>
              <a:cs typeface="Bookman Old Style" panose="02050604050505020204" charset="0"/>
            </a:rPr>
            <a:t>Our In-house Team has the expertise in day-to-day operations and maintains installed systems, both critical and non-critical. We promote digital integration with smart automated technologies with an emphasis on sustainability, which makes the critical difference in operations and stands out from the rest.</a:t>
          </a:r>
        </a:p>
        <a:p>
          <a:pPr marL="0" indent="0">
            <a:buNone/>
          </a:pPr>
          <a:endParaRPr lang="en-IN" altLang="en-US" sz="1800">
            <a:latin typeface="Forum" panose="02000000000000000000" pitchFamily="2" charset="0"/>
            <a:cs typeface="Bookman Old Style" panose="0205060405050502020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6</xdr:col>
      <xdr:colOff>90782</xdr:colOff>
      <xdr:row>1</xdr:row>
      <xdr:rowOff>178832</xdr:rowOff>
    </xdr:to>
    <xdr:sp macro="" textlink="">
      <xdr:nvSpPr>
        <xdr:cNvPr id="2" name="Text Box 3">
          <a:extLst>
            <a:ext uri="{FF2B5EF4-FFF2-40B4-BE49-F238E27FC236}">
              <a16:creationId xmlns:a16="http://schemas.microsoft.com/office/drawing/2014/main" id="{2E55B85D-A8C0-2A01-3457-EE57E53DC495}"/>
            </a:ext>
          </a:extLst>
        </xdr:cNvPr>
        <xdr:cNvSpPr txBox="1"/>
      </xdr:nvSpPr>
      <xdr:spPr>
        <a:xfrm>
          <a:off x="609600" y="0"/>
          <a:ext cx="4967582"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altLang="en-US" sz="1600">
              <a:latin typeface="Forum" panose="02000000000000000000" pitchFamily="2" charset="0"/>
            </a:rPr>
            <a:t>Energy Consumption measured  in KVAH ‘Units</a:t>
          </a:r>
          <a:r>
            <a:rPr lang="en-IN" altLang="en-US">
              <a:latin typeface="Candara" panose="020E0502030303020204" pitchFamily="34" charset="0"/>
            </a:rPr>
            <a:t>'</a:t>
          </a:r>
        </a:p>
      </xdr:txBody>
    </xdr:sp>
    <xdr:clientData/>
  </xdr:twoCellAnchor>
  <xdr:twoCellAnchor>
    <xdr:from>
      <xdr:col>1</xdr:col>
      <xdr:colOff>0</xdr:colOff>
      <xdr:row>21</xdr:row>
      <xdr:rowOff>0</xdr:rowOff>
    </xdr:from>
    <xdr:to>
      <xdr:col>15</xdr:col>
      <xdr:colOff>265354</xdr:colOff>
      <xdr:row>23</xdr:row>
      <xdr:rowOff>142220</xdr:rowOff>
    </xdr:to>
    <xdr:sp macro="" textlink="">
      <xdr:nvSpPr>
        <xdr:cNvPr id="3" name="TextBox 1">
          <a:extLst>
            <a:ext uri="{FF2B5EF4-FFF2-40B4-BE49-F238E27FC236}">
              <a16:creationId xmlns:a16="http://schemas.microsoft.com/office/drawing/2014/main" id="{6651E089-8717-F2B1-74B4-BE89C830331C}"/>
            </a:ext>
          </a:extLst>
        </xdr:cNvPr>
        <xdr:cNvSpPr txBox="1"/>
      </xdr:nvSpPr>
      <xdr:spPr>
        <a:xfrm>
          <a:off x="609600" y="6372225"/>
          <a:ext cx="10628554" cy="52322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latin typeface="Forum" panose="02000000000000000000"/>
            </a:rPr>
            <a:t>Note: The </a:t>
          </a:r>
          <a:r>
            <a:rPr lang="en-IN" sz="1400">
              <a:latin typeface="Forum" panose="02000000000000000000"/>
              <a:ea typeface="Forum" panose="02000000000000000000"/>
            </a:rPr>
            <a:t>Benchmark</a:t>
          </a:r>
          <a:r>
            <a:rPr lang="en-IN" sz="1400">
              <a:latin typeface="Forum" panose="02000000000000000000"/>
            </a:rPr>
            <a:t> is arrived based on BEE standards, latest revision- 30th June 2014  Annexure –II</a:t>
          </a:r>
        </a:p>
        <a:p>
          <a:r>
            <a:rPr lang="en-IN" sz="1400">
              <a:latin typeface="Forum" panose="02000000000000000000"/>
            </a:rPr>
            <a:t>* ( - ) On par benchmark  and (+) is excess consumption compared to bench mark</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1314450</xdr:colOff>
      <xdr:row>74</xdr:row>
      <xdr:rowOff>152400</xdr:rowOff>
    </xdr:from>
    <xdr:to>
      <xdr:col>2</xdr:col>
      <xdr:colOff>6505575</xdr:colOff>
      <xdr:row>77</xdr:row>
      <xdr:rowOff>1036423</xdr:rowOff>
    </xdr:to>
    <xdr:pic>
      <xdr:nvPicPr>
        <xdr:cNvPr id="2" name="Picture 1">
          <a:extLst>
            <a:ext uri="{FF2B5EF4-FFF2-40B4-BE49-F238E27FC236}">
              <a16:creationId xmlns:a16="http://schemas.microsoft.com/office/drawing/2014/main" id="{31DC4F58-C5EA-2273-A16E-C19258535989}"/>
            </a:ext>
          </a:extLst>
        </xdr:cNvPr>
        <xdr:cNvPicPr>
          <a:picLocks noChangeAspect="1"/>
        </xdr:cNvPicPr>
      </xdr:nvPicPr>
      <xdr:blipFill>
        <a:blip xmlns:r="http://schemas.openxmlformats.org/officeDocument/2006/relationships" r:embed="rId1"/>
        <a:stretch>
          <a:fillRect/>
        </a:stretch>
      </xdr:blipFill>
      <xdr:spPr>
        <a:xfrm>
          <a:off x="1704975" y="14249400"/>
          <a:ext cx="12020550" cy="44273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D52A-2A48-470E-B5E9-8691EA8E5434}">
  <dimension ref="A1:B15"/>
  <sheetViews>
    <sheetView workbookViewId="0">
      <selection activeCell="C10" sqref="C10"/>
    </sheetView>
  </sheetViews>
  <sheetFormatPr defaultColWidth="52" defaultRowHeight="15"/>
  <cols>
    <col min="1" max="1" width="10.42578125" bestFit="1" customWidth="1"/>
    <col min="2" max="2" width="51.7109375" bestFit="1" customWidth="1"/>
  </cols>
  <sheetData>
    <row r="1" spans="1:2" ht="21.75" thickBot="1">
      <c r="A1" s="64" t="s">
        <v>12</v>
      </c>
      <c r="B1" s="65"/>
    </row>
    <row r="2" spans="1:2" ht="21.75" thickTop="1" thickBot="1">
      <c r="A2" s="5" t="s">
        <v>13</v>
      </c>
      <c r="B2" s="5" t="s">
        <v>14</v>
      </c>
    </row>
    <row r="3" spans="1:2" ht="21" thickBot="1">
      <c r="A3" s="6" t="s">
        <v>15</v>
      </c>
      <c r="B3" s="7" t="s">
        <v>16</v>
      </c>
    </row>
    <row r="4" spans="1:2" ht="21" thickBot="1">
      <c r="A4" s="8" t="s">
        <v>17</v>
      </c>
      <c r="B4" s="9" t="s">
        <v>18</v>
      </c>
    </row>
    <row r="5" spans="1:2" ht="21" thickBot="1">
      <c r="A5" s="6" t="s">
        <v>19</v>
      </c>
      <c r="B5" s="7" t="s">
        <v>20</v>
      </c>
    </row>
    <row r="6" spans="1:2" ht="41.25" thickBot="1">
      <c r="A6" s="8" t="s">
        <v>21</v>
      </c>
      <c r="B6" s="9" t="s">
        <v>22</v>
      </c>
    </row>
    <row r="7" spans="1:2" ht="41.25" thickBot="1">
      <c r="A7" s="6" t="s">
        <v>23</v>
      </c>
      <c r="B7" s="7" t="s">
        <v>24</v>
      </c>
    </row>
    <row r="8" spans="1:2" ht="21" thickBot="1">
      <c r="A8" s="8" t="s">
        <v>25</v>
      </c>
      <c r="B8" s="9" t="s">
        <v>26</v>
      </c>
    </row>
    <row r="9" spans="1:2" ht="21.75" thickBot="1">
      <c r="A9" s="6" t="s">
        <v>27</v>
      </c>
      <c r="B9" s="10" t="s">
        <v>28</v>
      </c>
    </row>
    <row r="10" spans="1:2" ht="21" thickBot="1">
      <c r="A10" s="8" t="s">
        <v>29</v>
      </c>
      <c r="B10" s="9" t="s">
        <v>30</v>
      </c>
    </row>
    <row r="11" spans="1:2" ht="21" thickBot="1">
      <c r="A11" s="6" t="s">
        <v>31</v>
      </c>
      <c r="B11" s="7" t="s">
        <v>32</v>
      </c>
    </row>
    <row r="12" spans="1:2" ht="21.75" thickBot="1">
      <c r="A12" s="8" t="s">
        <v>33</v>
      </c>
      <c r="B12" s="11" t="s">
        <v>34</v>
      </c>
    </row>
    <row r="13" spans="1:2" ht="21.75" thickBot="1">
      <c r="A13" s="6" t="s">
        <v>35</v>
      </c>
      <c r="B13" s="10" t="s">
        <v>36</v>
      </c>
    </row>
    <row r="14" spans="1:2" ht="21.75" thickBot="1">
      <c r="A14" s="8" t="s">
        <v>37</v>
      </c>
      <c r="B14" s="11" t="s">
        <v>38</v>
      </c>
    </row>
    <row r="15" spans="1:2" ht="24" thickBot="1">
      <c r="A15" s="12"/>
      <c r="B15" s="13"/>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F38F-B1A5-433B-A834-C5B7361E8D7B}">
  <dimension ref="A1"/>
  <sheetViews>
    <sheetView workbookViewId="0">
      <selection activeCell="R35" sqref="R35"/>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A16" sqref="A16"/>
    </sheetView>
  </sheetViews>
  <sheetFormatPr defaultColWidth="52" defaultRowHeight="15"/>
  <cols>
    <col min="1" max="1" width="37.7109375" bestFit="1" customWidth="1"/>
    <col min="2" max="2" width="9.42578125" bestFit="1" customWidth="1"/>
    <col min="3" max="3" width="15.42578125" bestFit="1" customWidth="1"/>
  </cols>
  <sheetData>
    <row r="1" spans="1:3" ht="15.75" thickBot="1"/>
    <row r="2" spans="1:3" ht="38.25" thickBot="1">
      <c r="A2" s="18" t="s">
        <v>184</v>
      </c>
      <c r="B2" s="19" t="s">
        <v>46</v>
      </c>
      <c r="C2" s="19" t="s">
        <v>47</v>
      </c>
    </row>
    <row r="3" spans="1:3" ht="21">
      <c r="A3" s="1" t="s">
        <v>5</v>
      </c>
      <c r="B3" s="2">
        <v>1</v>
      </c>
      <c r="C3" s="2">
        <v>1</v>
      </c>
    </row>
    <row r="4" spans="1:3" ht="21">
      <c r="A4" s="1" t="s">
        <v>6</v>
      </c>
      <c r="B4" s="2">
        <v>1</v>
      </c>
      <c r="C4" s="2">
        <v>1</v>
      </c>
    </row>
    <row r="5" spans="1:3" ht="21">
      <c r="A5" s="1" t="s">
        <v>7</v>
      </c>
      <c r="B5" s="2">
        <v>1</v>
      </c>
      <c r="C5" s="2">
        <v>1</v>
      </c>
    </row>
    <row r="6" spans="1:3" ht="21">
      <c r="A6" s="1" t="s">
        <v>8</v>
      </c>
      <c r="B6" s="2">
        <v>1</v>
      </c>
      <c r="C6" s="2">
        <v>1</v>
      </c>
    </row>
    <row r="7" spans="1:3" ht="21">
      <c r="A7" s="1" t="s">
        <v>9</v>
      </c>
      <c r="B7" s="2">
        <v>22</v>
      </c>
      <c r="C7" s="2">
        <v>18</v>
      </c>
    </row>
    <row r="8" spans="1:3" ht="21">
      <c r="A8" s="1" t="s">
        <v>10</v>
      </c>
      <c r="B8" s="2">
        <v>32</v>
      </c>
      <c r="C8" s="2">
        <v>25</v>
      </c>
    </row>
    <row r="9" spans="1:3" ht="21">
      <c r="A9" s="3" t="s">
        <v>11</v>
      </c>
      <c r="B9" s="4">
        <f>SUM(B3:B8)</f>
        <v>58</v>
      </c>
      <c r="C9" s="4">
        <f>SUM(C3:C8)</f>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84AC-3FDB-4CDC-B672-3EE19F500EF4}">
  <dimension ref="A1:B6"/>
  <sheetViews>
    <sheetView workbookViewId="0">
      <selection activeCell="B11" sqref="B11"/>
    </sheetView>
  </sheetViews>
  <sheetFormatPr defaultRowHeight="15"/>
  <cols>
    <col min="1" max="1" width="27.5703125" bestFit="1" customWidth="1"/>
    <col min="2" max="2" width="33.7109375" bestFit="1" customWidth="1"/>
  </cols>
  <sheetData>
    <row r="1" spans="1:2" ht="18">
      <c r="A1" s="85" t="s">
        <v>4</v>
      </c>
      <c r="B1" s="86"/>
    </row>
    <row r="2" spans="1:2" ht="18">
      <c r="A2" s="15" t="s">
        <v>39</v>
      </c>
      <c r="B2" s="16" t="s">
        <v>40</v>
      </c>
    </row>
    <row r="3" spans="1:2" ht="18">
      <c r="A3" s="15" t="s">
        <v>41</v>
      </c>
      <c r="B3" s="16" t="s">
        <v>42</v>
      </c>
    </row>
    <row r="4" spans="1:2" ht="36">
      <c r="A4" s="15" t="s">
        <v>43</v>
      </c>
      <c r="B4" s="16" t="s">
        <v>40</v>
      </c>
    </row>
    <row r="5" spans="1:2">
      <c r="A5" s="66" t="s">
        <v>44</v>
      </c>
      <c r="B5" s="68" t="s">
        <v>45</v>
      </c>
    </row>
    <row r="6" spans="1:2">
      <c r="A6" s="67"/>
      <c r="B6" s="69"/>
    </row>
  </sheetData>
  <mergeCells count="3">
    <mergeCell ref="A5:A6"/>
    <mergeCell ref="B5:B6"/>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57E4-5942-4283-BEA3-2139D5FD1202}">
  <dimension ref="B1:D11"/>
  <sheetViews>
    <sheetView workbookViewId="0">
      <selection activeCell="F22" sqref="F22"/>
    </sheetView>
  </sheetViews>
  <sheetFormatPr defaultRowHeight="15"/>
  <cols>
    <col min="2" max="2" width="27.140625" customWidth="1"/>
    <col min="3" max="3" width="12.140625" customWidth="1"/>
    <col min="4" max="4" width="17" customWidth="1"/>
  </cols>
  <sheetData>
    <row r="1" spans="2:4" ht="15.75" thickBot="1"/>
    <row r="2" spans="2:4" ht="24" thickBot="1">
      <c r="B2" s="17"/>
      <c r="C2" s="70" t="s">
        <v>4</v>
      </c>
      <c r="D2" s="71"/>
    </row>
    <row r="3" spans="2:4" ht="38.25" thickBot="1">
      <c r="B3" s="18" t="s">
        <v>184</v>
      </c>
      <c r="C3" s="19" t="s">
        <v>46</v>
      </c>
      <c r="D3" s="19" t="s">
        <v>47</v>
      </c>
    </row>
    <row r="4" spans="2:4" ht="19.5" thickBot="1">
      <c r="B4" s="20" t="s">
        <v>48</v>
      </c>
      <c r="C4" s="20">
        <v>0</v>
      </c>
      <c r="D4" s="21">
        <v>0</v>
      </c>
    </row>
    <row r="5" spans="2:4" ht="19.5" thickBot="1">
      <c r="B5" s="20" t="s">
        <v>41</v>
      </c>
      <c r="C5" s="20">
        <v>43</v>
      </c>
      <c r="D5" s="21">
        <v>41</v>
      </c>
    </row>
    <row r="6" spans="2:4" ht="38.25" thickBot="1">
      <c r="B6" s="20" t="s">
        <v>49</v>
      </c>
      <c r="C6" s="20">
        <v>6</v>
      </c>
      <c r="D6" s="21">
        <v>6</v>
      </c>
    </row>
    <row r="7" spans="2:4" ht="19.5" thickBot="1">
      <c r="B7" s="20" t="s">
        <v>44</v>
      </c>
      <c r="C7" s="20">
        <v>5</v>
      </c>
      <c r="D7" s="21">
        <v>5</v>
      </c>
    </row>
    <row r="8" spans="2:4" ht="19.5" thickBot="1">
      <c r="B8" s="20" t="s">
        <v>50</v>
      </c>
      <c r="C8" s="20">
        <v>3</v>
      </c>
      <c r="D8" s="21">
        <v>3</v>
      </c>
    </row>
    <row r="9" spans="2:4" ht="19.5" thickBot="1">
      <c r="B9" s="20" t="s">
        <v>51</v>
      </c>
      <c r="C9" s="21">
        <v>1</v>
      </c>
      <c r="D9" s="21">
        <v>1</v>
      </c>
    </row>
    <row r="10" spans="2:4" ht="19.5" thickBot="1">
      <c r="B10" s="20" t="s">
        <v>52</v>
      </c>
      <c r="C10" s="21">
        <v>1</v>
      </c>
      <c r="D10" s="21">
        <v>1</v>
      </c>
    </row>
    <row r="11" spans="2:4" ht="19.5" thickBot="1">
      <c r="B11" s="22" t="s">
        <v>53</v>
      </c>
      <c r="C11" s="22">
        <v>59</v>
      </c>
      <c r="D11" s="23">
        <v>57</v>
      </c>
    </row>
  </sheetData>
  <mergeCells count="1">
    <mergeCell ref="C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F313-36EC-4A86-887D-E1A9236E7C0F}">
  <dimension ref="B3:D20"/>
  <sheetViews>
    <sheetView workbookViewId="0">
      <selection activeCell="I16" sqref="I16"/>
    </sheetView>
  </sheetViews>
  <sheetFormatPr defaultRowHeight="15"/>
  <cols>
    <col min="2" max="2" width="5.85546875" bestFit="1" customWidth="1"/>
    <col min="3" max="3" width="7.7109375" bestFit="1" customWidth="1"/>
    <col min="4" max="4" width="10.140625" bestFit="1" customWidth="1"/>
  </cols>
  <sheetData>
    <row r="3" spans="2:4" ht="31.5">
      <c r="B3" s="24" t="s">
        <v>54</v>
      </c>
      <c r="C3" s="24" t="s">
        <v>55</v>
      </c>
      <c r="D3" s="24" t="s">
        <v>4</v>
      </c>
    </row>
    <row r="4" spans="2:4" ht="15.75">
      <c r="B4" s="25">
        <v>1</v>
      </c>
      <c r="C4" s="58" t="s">
        <v>110</v>
      </c>
      <c r="D4" s="59">
        <v>715200</v>
      </c>
    </row>
    <row r="5" spans="2:4" ht="15.75">
      <c r="B5" s="25">
        <v>2</v>
      </c>
      <c r="C5" s="58" t="s">
        <v>99</v>
      </c>
      <c r="D5" s="59">
        <v>685575</v>
      </c>
    </row>
    <row r="6" spans="2:4" ht="15.75">
      <c r="B6" s="25">
        <v>3</v>
      </c>
      <c r="C6" s="58" t="s">
        <v>100</v>
      </c>
      <c r="D6" s="59">
        <v>703275</v>
      </c>
    </row>
    <row r="7" spans="2:4" ht="15.75">
      <c r="B7" s="25">
        <v>4</v>
      </c>
      <c r="C7" s="58" t="s">
        <v>101</v>
      </c>
      <c r="D7" s="59">
        <v>798225</v>
      </c>
    </row>
    <row r="8" spans="2:4" ht="15.75">
      <c r="B8" s="25">
        <v>5</v>
      </c>
      <c r="C8" s="58" t="s">
        <v>102</v>
      </c>
      <c r="D8" s="59">
        <v>856275</v>
      </c>
    </row>
    <row r="9" spans="2:4" ht="15.75">
      <c r="B9" s="25">
        <v>6</v>
      </c>
      <c r="C9" s="58" t="s">
        <v>103</v>
      </c>
      <c r="D9" s="59">
        <v>881175</v>
      </c>
    </row>
    <row r="10" spans="2:4" ht="15.75">
      <c r="B10" s="25">
        <v>7</v>
      </c>
      <c r="C10" s="58" t="s">
        <v>104</v>
      </c>
      <c r="D10" s="59">
        <v>819975</v>
      </c>
    </row>
    <row r="11" spans="2:4" ht="15.75">
      <c r="B11" s="25">
        <v>8</v>
      </c>
      <c r="C11" s="58" t="s">
        <v>105</v>
      </c>
      <c r="D11" s="59">
        <v>815700</v>
      </c>
    </row>
    <row r="12" spans="2:4" ht="15.75">
      <c r="B12" s="25">
        <v>9</v>
      </c>
      <c r="C12" s="58" t="s">
        <v>106</v>
      </c>
      <c r="D12" s="59">
        <v>765975</v>
      </c>
    </row>
    <row r="13" spans="2:4" ht="15.75">
      <c r="B13" s="25">
        <v>10</v>
      </c>
      <c r="C13" s="58" t="s">
        <v>107</v>
      </c>
      <c r="D13" s="26">
        <v>764363</v>
      </c>
    </row>
    <row r="14" spans="2:4" ht="15.75">
      <c r="B14" s="25">
        <v>11</v>
      </c>
      <c r="C14" s="58" t="s">
        <v>108</v>
      </c>
      <c r="D14" s="26">
        <v>765375</v>
      </c>
    </row>
    <row r="15" spans="2:4" ht="15.75">
      <c r="B15" s="25">
        <v>12</v>
      </c>
      <c r="C15" s="58" t="s">
        <v>109</v>
      </c>
      <c r="D15" s="26">
        <v>699075</v>
      </c>
    </row>
    <row r="16" spans="2:4" ht="31.5" customHeight="1">
      <c r="B16" s="72" t="s">
        <v>56</v>
      </c>
      <c r="C16" s="73"/>
      <c r="D16" s="26">
        <v>921450</v>
      </c>
    </row>
    <row r="17" spans="2:4" ht="47.25" customHeight="1">
      <c r="B17" s="72" t="s">
        <v>57</v>
      </c>
      <c r="C17" s="73"/>
      <c r="D17" s="26">
        <v>783185</v>
      </c>
    </row>
    <row r="18" spans="2:4" ht="47.25" customHeight="1">
      <c r="B18" s="72" t="s">
        <v>58</v>
      </c>
      <c r="C18" s="73"/>
      <c r="D18" s="26">
        <v>820684</v>
      </c>
    </row>
    <row r="19" spans="2:4" ht="47.25" customHeight="1">
      <c r="B19" s="72" t="s">
        <v>59</v>
      </c>
      <c r="C19" s="73"/>
      <c r="D19" s="26">
        <v>-37500</v>
      </c>
    </row>
    <row r="20" spans="2:4" ht="47.25" customHeight="1">
      <c r="B20" s="72" t="s">
        <v>60</v>
      </c>
      <c r="C20" s="73"/>
      <c r="D20" s="25">
        <v>-1250</v>
      </c>
    </row>
  </sheetData>
  <mergeCells count="5">
    <mergeCell ref="B16:C16"/>
    <mergeCell ref="B17:C17"/>
    <mergeCell ref="B18:C18"/>
    <mergeCell ref="B19:C19"/>
    <mergeCell ref="B20:C20"/>
  </mergeCells>
  <phoneticPr fontId="3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A7EB-344C-471A-9089-270B857191BD}">
  <dimension ref="A1:B10"/>
  <sheetViews>
    <sheetView workbookViewId="0">
      <selection sqref="A1:XFD1"/>
    </sheetView>
  </sheetViews>
  <sheetFormatPr defaultColWidth="62" defaultRowHeight="15"/>
  <cols>
    <col min="1" max="1" width="44.42578125" bestFit="1" customWidth="1"/>
    <col min="2" max="2" width="14.42578125" bestFit="1" customWidth="1"/>
  </cols>
  <sheetData>
    <row r="1" spans="1:2" ht="15.75">
      <c r="A1" s="29" t="s">
        <v>26</v>
      </c>
      <c r="B1" s="24" t="s">
        <v>4</v>
      </c>
    </row>
    <row r="2" spans="1:2" ht="15.75">
      <c r="A2" s="30" t="s">
        <v>61</v>
      </c>
      <c r="B2" s="27">
        <v>921450</v>
      </c>
    </row>
    <row r="3" spans="1:2" ht="15.75">
      <c r="A3" s="30" t="s">
        <v>62</v>
      </c>
      <c r="B3" s="26">
        <v>810600</v>
      </c>
    </row>
    <row r="4" spans="1:2" ht="15.75">
      <c r="A4" s="30" t="s">
        <v>63</v>
      </c>
      <c r="B4" s="28">
        <v>0.88</v>
      </c>
    </row>
    <row r="5" spans="1:2" ht="15.75">
      <c r="A5" s="30" t="s">
        <v>64</v>
      </c>
      <c r="B5" s="27">
        <v>527065</v>
      </c>
    </row>
    <row r="6" spans="1:2" ht="15.75">
      <c r="A6" s="30" t="s">
        <v>65</v>
      </c>
      <c r="B6" s="28"/>
    </row>
    <row r="7" spans="1:2" ht="15.75">
      <c r="A7" s="30" t="s">
        <v>66</v>
      </c>
      <c r="B7" s="28"/>
    </row>
    <row r="8" spans="1:2" ht="15.75">
      <c r="A8" s="30" t="s">
        <v>67</v>
      </c>
      <c r="B8" s="28"/>
    </row>
    <row r="9" spans="1:2" ht="15.75">
      <c r="A9" s="30" t="s">
        <v>68</v>
      </c>
      <c r="B9" s="28"/>
    </row>
    <row r="10" spans="1:2" ht="15.75">
      <c r="A10" s="30" t="s">
        <v>69</v>
      </c>
      <c r="B10" s="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8"/>
  <sheetViews>
    <sheetView workbookViewId="0">
      <selection sqref="A1:A1048576"/>
    </sheetView>
  </sheetViews>
  <sheetFormatPr defaultRowHeight="15"/>
  <cols>
    <col min="1" max="1" width="48" customWidth="1"/>
    <col min="2" max="2" width="13.42578125" bestFit="1" customWidth="1"/>
  </cols>
  <sheetData>
    <row r="2" spans="1:2" ht="15.75" thickBot="1"/>
    <row r="3" spans="1:2" ht="40.5" customHeight="1" thickBot="1">
      <c r="A3" s="74" t="s">
        <v>70</v>
      </c>
      <c r="B3" s="75"/>
    </row>
    <row r="4" spans="1:2" ht="24" thickBot="1">
      <c r="A4" s="31"/>
      <c r="B4" s="32"/>
    </row>
    <row r="5" spans="1:2" ht="21" thickBot="1">
      <c r="A5" s="33" t="s">
        <v>71</v>
      </c>
      <c r="B5" s="34">
        <v>758209</v>
      </c>
    </row>
    <row r="6" spans="1:2" ht="21" thickBot="1">
      <c r="A6" s="33" t="s">
        <v>72</v>
      </c>
      <c r="B6" s="34">
        <v>720886</v>
      </c>
    </row>
    <row r="7" spans="1:2" ht="21" thickBot="1">
      <c r="A7" s="33" t="s">
        <v>73</v>
      </c>
      <c r="B7" s="34">
        <v>29124</v>
      </c>
    </row>
    <row r="8" spans="1:2" ht="21" thickBot="1">
      <c r="A8" s="33" t="s">
        <v>74</v>
      </c>
      <c r="B8" s="34">
        <v>8199</v>
      </c>
    </row>
  </sheetData>
  <mergeCells count="1">
    <mergeCell ref="A3:B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5FCD-8B23-4DE2-B9BF-C9E361158CBC}">
  <dimension ref="B3:P17"/>
  <sheetViews>
    <sheetView workbookViewId="0">
      <selection activeCell="U6" sqref="U6"/>
    </sheetView>
  </sheetViews>
  <sheetFormatPr defaultRowHeight="15"/>
  <sheetData>
    <row r="3" spans="2:16" ht="40.5" customHeight="1">
      <c r="B3" s="76" t="s">
        <v>122</v>
      </c>
      <c r="C3" s="77"/>
      <c r="D3" s="35"/>
      <c r="E3" s="36"/>
      <c r="F3" s="36"/>
      <c r="G3" s="36"/>
      <c r="H3" s="36"/>
      <c r="I3" s="36"/>
      <c r="J3" s="37"/>
      <c r="K3" s="36"/>
      <c r="L3" s="36"/>
      <c r="M3" s="36"/>
      <c r="N3" s="36"/>
      <c r="O3" s="36"/>
      <c r="P3" s="36"/>
    </row>
    <row r="4" spans="2:16" ht="34.5">
      <c r="B4" s="38" t="s">
        <v>75</v>
      </c>
      <c r="C4" s="38" t="s">
        <v>76</v>
      </c>
      <c r="D4" s="39" t="s">
        <v>103</v>
      </c>
      <c r="E4" s="39" t="s">
        <v>111</v>
      </c>
      <c r="F4" s="39" t="s">
        <v>112</v>
      </c>
      <c r="G4" s="39" t="s">
        <v>113</v>
      </c>
      <c r="H4" s="39" t="s">
        <v>114</v>
      </c>
      <c r="I4" s="39" t="s">
        <v>115</v>
      </c>
      <c r="J4" s="39" t="s">
        <v>116</v>
      </c>
      <c r="K4" s="39" t="s">
        <v>117</v>
      </c>
      <c r="L4" s="39" t="s">
        <v>118</v>
      </c>
      <c r="M4" s="39" t="s">
        <v>119</v>
      </c>
      <c r="N4" s="39" t="s">
        <v>120</v>
      </c>
      <c r="O4" s="39" t="s">
        <v>121</v>
      </c>
      <c r="P4" s="39" t="s">
        <v>103</v>
      </c>
    </row>
    <row r="5" spans="2:16" ht="21">
      <c r="B5" s="40">
        <v>1</v>
      </c>
      <c r="C5" s="41" t="s">
        <v>77</v>
      </c>
      <c r="D5" s="42">
        <v>6</v>
      </c>
      <c r="E5" s="42">
        <v>14</v>
      </c>
      <c r="F5" s="42">
        <v>23</v>
      </c>
      <c r="G5" s="42">
        <v>18</v>
      </c>
      <c r="H5" s="42">
        <v>12</v>
      </c>
      <c r="I5" s="42">
        <v>6</v>
      </c>
      <c r="J5" s="43">
        <v>20</v>
      </c>
      <c r="K5" s="43">
        <v>13</v>
      </c>
      <c r="L5" s="43">
        <v>16</v>
      </c>
      <c r="M5" s="42">
        <v>17</v>
      </c>
      <c r="N5" s="43">
        <v>17</v>
      </c>
      <c r="O5" s="44">
        <v>44</v>
      </c>
      <c r="P5" s="44">
        <v>59</v>
      </c>
    </row>
    <row r="6" spans="2:16" ht="39">
      <c r="B6" s="40">
        <v>2</v>
      </c>
      <c r="C6" s="41" t="s">
        <v>78</v>
      </c>
      <c r="D6" s="42">
        <v>24</v>
      </c>
      <c r="E6" s="42">
        <v>59</v>
      </c>
      <c r="F6" s="42">
        <v>6</v>
      </c>
      <c r="G6" s="42">
        <v>24</v>
      </c>
      <c r="H6" s="42">
        <v>76</v>
      </c>
      <c r="I6" s="42">
        <v>75</v>
      </c>
      <c r="J6" s="43">
        <v>48</v>
      </c>
      <c r="K6" s="43">
        <v>45</v>
      </c>
      <c r="L6" s="43">
        <v>31</v>
      </c>
      <c r="M6" s="42">
        <v>16</v>
      </c>
      <c r="N6" s="43">
        <v>25</v>
      </c>
      <c r="O6" s="44">
        <v>50</v>
      </c>
      <c r="P6" s="44">
        <v>82</v>
      </c>
    </row>
    <row r="7" spans="2:16" ht="21">
      <c r="B7" s="40">
        <v>3</v>
      </c>
      <c r="C7" s="41" t="s">
        <v>79</v>
      </c>
      <c r="D7" s="42">
        <v>2</v>
      </c>
      <c r="E7" s="42">
        <v>5</v>
      </c>
      <c r="F7" s="42">
        <v>81</v>
      </c>
      <c r="G7" s="42">
        <v>54</v>
      </c>
      <c r="H7" s="42">
        <v>3</v>
      </c>
      <c r="I7" s="42">
        <v>2</v>
      </c>
      <c r="J7" s="43">
        <v>1</v>
      </c>
      <c r="K7" s="43">
        <v>1</v>
      </c>
      <c r="L7" s="43">
        <v>0</v>
      </c>
      <c r="M7" s="42">
        <v>0</v>
      </c>
      <c r="N7" s="43">
        <v>1</v>
      </c>
      <c r="O7" s="44">
        <v>0</v>
      </c>
      <c r="P7" s="44">
        <v>0</v>
      </c>
    </row>
    <row r="8" spans="2:16" ht="21">
      <c r="B8" s="78" t="s">
        <v>80</v>
      </c>
      <c r="C8" s="79"/>
      <c r="D8" s="45">
        <v>32</v>
      </c>
      <c r="E8" s="45">
        <v>78</v>
      </c>
      <c r="F8" s="45">
        <v>110</v>
      </c>
      <c r="G8" s="45">
        <v>96</v>
      </c>
      <c r="H8" s="45">
        <v>91</v>
      </c>
      <c r="I8" s="45">
        <v>83</v>
      </c>
      <c r="J8" s="46">
        <v>69</v>
      </c>
      <c r="K8" s="46">
        <v>59</v>
      </c>
      <c r="L8" s="46">
        <v>47</v>
      </c>
      <c r="M8" s="46">
        <v>33</v>
      </c>
      <c r="N8" s="46">
        <v>43</v>
      </c>
      <c r="O8" s="46">
        <v>94</v>
      </c>
      <c r="P8" s="46">
        <v>141</v>
      </c>
    </row>
    <row r="9" spans="2:16" ht="78" customHeight="1">
      <c r="B9" s="80" t="s">
        <v>81</v>
      </c>
      <c r="C9" s="81"/>
      <c r="D9" s="82"/>
      <c r="E9" s="83"/>
      <c r="F9" s="83"/>
      <c r="G9" s="83"/>
      <c r="H9" s="83"/>
      <c r="I9" s="83"/>
      <c r="J9" s="83"/>
      <c r="K9" s="83"/>
      <c r="L9" s="83"/>
      <c r="M9" s="83"/>
      <c r="N9" s="84"/>
      <c r="O9" s="47"/>
      <c r="P9" s="48"/>
    </row>
    <row r="10" spans="2:16" ht="34.5">
      <c r="B10" s="49" t="s">
        <v>82</v>
      </c>
      <c r="C10" s="49" t="s">
        <v>83</v>
      </c>
      <c r="D10" s="39" t="s">
        <v>103</v>
      </c>
      <c r="E10" s="39" t="s">
        <v>111</v>
      </c>
      <c r="F10" s="39" t="s">
        <v>112</v>
      </c>
      <c r="G10" s="39" t="s">
        <v>113</v>
      </c>
      <c r="H10" s="39" t="s">
        <v>114</v>
      </c>
      <c r="I10" s="39" t="s">
        <v>115</v>
      </c>
      <c r="J10" s="39" t="s">
        <v>116</v>
      </c>
      <c r="K10" s="39" t="s">
        <v>117</v>
      </c>
      <c r="L10" s="39" t="s">
        <v>118</v>
      </c>
      <c r="M10" s="39" t="s">
        <v>119</v>
      </c>
      <c r="N10" s="39" t="s">
        <v>120</v>
      </c>
      <c r="O10" s="39" t="s">
        <v>121</v>
      </c>
      <c r="P10" s="39" t="s">
        <v>103</v>
      </c>
    </row>
    <row r="11" spans="2:16" ht="35.25">
      <c r="B11" s="50">
        <v>1</v>
      </c>
      <c r="C11" s="51" t="s">
        <v>84</v>
      </c>
      <c r="D11" s="42">
        <v>1</v>
      </c>
      <c r="E11" s="42">
        <v>1</v>
      </c>
      <c r="F11" s="42">
        <v>2</v>
      </c>
      <c r="G11" s="42">
        <v>2</v>
      </c>
      <c r="H11" s="42">
        <v>0</v>
      </c>
      <c r="I11" s="42">
        <v>2</v>
      </c>
      <c r="J11" s="42">
        <v>0</v>
      </c>
      <c r="K11" s="42">
        <v>0</v>
      </c>
      <c r="L11" s="42">
        <v>0</v>
      </c>
      <c r="M11" s="52">
        <v>2</v>
      </c>
      <c r="N11" s="53">
        <v>0</v>
      </c>
      <c r="O11" s="42">
        <v>1</v>
      </c>
      <c r="P11" s="42">
        <v>6</v>
      </c>
    </row>
    <row r="12" spans="2:16" ht="21">
      <c r="B12" s="50">
        <v>2</v>
      </c>
      <c r="C12" s="51" t="s">
        <v>85</v>
      </c>
      <c r="D12" s="42">
        <v>4</v>
      </c>
      <c r="E12" s="42">
        <v>10</v>
      </c>
      <c r="F12" s="42">
        <v>18</v>
      </c>
      <c r="G12" s="42">
        <v>11</v>
      </c>
      <c r="H12" s="42">
        <v>8</v>
      </c>
      <c r="I12" s="42">
        <v>4</v>
      </c>
      <c r="J12" s="42">
        <v>20</v>
      </c>
      <c r="K12" s="42">
        <v>12</v>
      </c>
      <c r="L12" s="42">
        <v>15</v>
      </c>
      <c r="M12" s="52">
        <v>14</v>
      </c>
      <c r="N12" s="53">
        <v>12</v>
      </c>
      <c r="O12" s="42">
        <v>18</v>
      </c>
      <c r="P12" s="42">
        <v>21</v>
      </c>
    </row>
    <row r="13" spans="2:16" ht="21">
      <c r="B13" s="50">
        <v>3</v>
      </c>
      <c r="C13" s="51" t="s">
        <v>86</v>
      </c>
      <c r="D13" s="42">
        <v>0</v>
      </c>
      <c r="E13" s="42">
        <v>0</v>
      </c>
      <c r="F13" s="42">
        <v>0</v>
      </c>
      <c r="G13" s="42">
        <v>1</v>
      </c>
      <c r="H13" s="42">
        <v>1</v>
      </c>
      <c r="I13" s="42">
        <v>0</v>
      </c>
      <c r="J13" s="42">
        <v>0</v>
      </c>
      <c r="K13" s="42">
        <v>0</v>
      </c>
      <c r="L13" s="42">
        <v>1</v>
      </c>
      <c r="M13" s="52">
        <v>0</v>
      </c>
      <c r="N13" s="53">
        <v>0</v>
      </c>
      <c r="O13" s="42">
        <v>0</v>
      </c>
      <c r="P13" s="42">
        <v>8</v>
      </c>
    </row>
    <row r="14" spans="2:16" ht="35.25">
      <c r="B14" s="50">
        <v>4</v>
      </c>
      <c r="C14" s="51" t="s">
        <v>87</v>
      </c>
      <c r="D14" s="42">
        <v>1</v>
      </c>
      <c r="E14" s="42">
        <v>1</v>
      </c>
      <c r="F14" s="42">
        <v>1</v>
      </c>
      <c r="G14" s="42">
        <v>1</v>
      </c>
      <c r="H14" s="42">
        <v>0</v>
      </c>
      <c r="I14" s="42">
        <v>0</v>
      </c>
      <c r="J14" s="42">
        <v>0</v>
      </c>
      <c r="K14" s="42">
        <v>0</v>
      </c>
      <c r="L14" s="42">
        <v>0</v>
      </c>
      <c r="M14" s="52">
        <v>0</v>
      </c>
      <c r="N14" s="53">
        <v>1</v>
      </c>
      <c r="O14" s="42">
        <v>2</v>
      </c>
      <c r="P14" s="42">
        <v>12</v>
      </c>
    </row>
    <row r="15" spans="2:16" ht="87">
      <c r="B15" s="50">
        <v>5</v>
      </c>
      <c r="C15" s="51" t="s">
        <v>88</v>
      </c>
      <c r="D15" s="42">
        <v>0</v>
      </c>
      <c r="E15" s="42">
        <v>1</v>
      </c>
      <c r="F15" s="42">
        <v>2</v>
      </c>
      <c r="G15" s="42">
        <v>1</v>
      </c>
      <c r="H15" s="42">
        <v>0</v>
      </c>
      <c r="I15" s="42">
        <v>0</v>
      </c>
      <c r="J15" s="42">
        <v>0</v>
      </c>
      <c r="K15" s="42">
        <v>0</v>
      </c>
      <c r="L15" s="42">
        <v>0</v>
      </c>
      <c r="M15" s="52">
        <v>1</v>
      </c>
      <c r="N15" s="53">
        <v>1</v>
      </c>
      <c r="O15" s="42">
        <v>3</v>
      </c>
      <c r="P15" s="42">
        <v>1</v>
      </c>
    </row>
    <row r="16" spans="2:16" ht="52.5">
      <c r="B16" s="50">
        <v>6</v>
      </c>
      <c r="C16" s="51" t="s">
        <v>89</v>
      </c>
      <c r="D16" s="42">
        <v>0</v>
      </c>
      <c r="E16" s="42">
        <v>1</v>
      </c>
      <c r="F16" s="42">
        <v>0</v>
      </c>
      <c r="G16" s="42">
        <v>2</v>
      </c>
      <c r="H16" s="42">
        <v>3</v>
      </c>
      <c r="I16" s="42">
        <v>0</v>
      </c>
      <c r="J16" s="42">
        <v>0</v>
      </c>
      <c r="K16" s="42">
        <v>1</v>
      </c>
      <c r="L16" s="42">
        <v>0</v>
      </c>
      <c r="M16" s="52">
        <v>0</v>
      </c>
      <c r="N16" s="53">
        <v>3</v>
      </c>
      <c r="O16" s="42">
        <v>20</v>
      </c>
      <c r="P16" s="42">
        <v>11</v>
      </c>
    </row>
    <row r="17" spans="2:16" ht="19.5">
      <c r="B17" s="54"/>
      <c r="C17" s="55" t="s">
        <v>80</v>
      </c>
      <c r="D17" s="56">
        <v>6</v>
      </c>
      <c r="E17" s="56">
        <v>14</v>
      </c>
      <c r="F17" s="56">
        <v>23</v>
      </c>
      <c r="G17" s="56">
        <v>18</v>
      </c>
      <c r="H17" s="56">
        <v>12</v>
      </c>
      <c r="I17" s="56">
        <v>6</v>
      </c>
      <c r="J17" s="56">
        <v>20</v>
      </c>
      <c r="K17" s="56">
        <v>13</v>
      </c>
      <c r="L17" s="56">
        <v>16</v>
      </c>
      <c r="M17" s="56">
        <v>17</v>
      </c>
      <c r="N17" s="56">
        <v>17</v>
      </c>
      <c r="O17" s="56">
        <v>44</v>
      </c>
      <c r="P17" s="56">
        <v>59</v>
      </c>
    </row>
  </sheetData>
  <mergeCells count="4">
    <mergeCell ref="B3:C3"/>
    <mergeCell ref="B8:C8"/>
    <mergeCell ref="B9:C9"/>
    <mergeCell ref="D9:N9"/>
  </mergeCells>
  <phoneticPr fontId="3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1906-9594-4AA5-BA9E-4FC6B19EB27A}">
  <dimension ref="A1:C74"/>
  <sheetViews>
    <sheetView workbookViewId="0">
      <selection activeCell="C26" sqref="C26"/>
    </sheetView>
  </sheetViews>
  <sheetFormatPr defaultColWidth="10.42578125" defaultRowHeight="93" customHeight="1"/>
  <cols>
    <col min="1" max="1" width="7.42578125" style="60" bestFit="1" customWidth="1"/>
    <col min="2" max="2" width="102.42578125" style="60" bestFit="1" customWidth="1"/>
    <col min="3" max="3" width="127.7109375" style="60" customWidth="1"/>
    <col min="4" max="16384" width="10.42578125" style="60"/>
  </cols>
  <sheetData>
    <row r="1" spans="1:3" ht="15">
      <c r="A1" s="61" t="s">
        <v>123</v>
      </c>
      <c r="B1" s="61" t="s">
        <v>124</v>
      </c>
      <c r="C1" s="61" t="s">
        <v>125</v>
      </c>
    </row>
    <row r="2" spans="1:3" ht="30">
      <c r="A2" s="62">
        <v>1</v>
      </c>
      <c r="B2" s="62" t="s">
        <v>126</v>
      </c>
      <c r="C2" s="62" t="s">
        <v>127</v>
      </c>
    </row>
    <row r="3" spans="1:3" ht="30">
      <c r="A3" s="62">
        <v>2</v>
      </c>
      <c r="B3" s="62" t="s">
        <v>128</v>
      </c>
      <c r="C3" s="62" t="s">
        <v>129</v>
      </c>
    </row>
    <row r="4" spans="1:3" ht="30">
      <c r="A4" s="62">
        <v>3</v>
      </c>
      <c r="B4" s="62" t="s">
        <v>130</v>
      </c>
      <c r="C4" s="62" t="s">
        <v>161</v>
      </c>
    </row>
    <row r="5" spans="1:3" ht="15">
      <c r="A5" s="62">
        <v>4</v>
      </c>
      <c r="B5" s="62" t="s">
        <v>131</v>
      </c>
      <c r="C5" s="62" t="s">
        <v>132</v>
      </c>
    </row>
    <row r="6" spans="1:3" ht="15">
      <c r="A6" s="62">
        <v>5</v>
      </c>
      <c r="B6" s="62" t="s">
        <v>133</v>
      </c>
      <c r="C6" s="62" t="s">
        <v>132</v>
      </c>
    </row>
    <row r="7" spans="1:3" ht="15">
      <c r="A7" s="62">
        <v>6</v>
      </c>
      <c r="B7" s="62" t="s">
        <v>134</v>
      </c>
      <c r="C7" s="62" t="s">
        <v>132</v>
      </c>
    </row>
    <row r="8" spans="1:3" ht="15">
      <c r="A8" s="62">
        <v>7</v>
      </c>
      <c r="B8" s="62" t="s">
        <v>135</v>
      </c>
      <c r="C8" s="62" t="s">
        <v>160</v>
      </c>
    </row>
    <row r="9" spans="1:3" ht="15">
      <c r="A9" s="62">
        <v>8</v>
      </c>
      <c r="B9" s="62" t="s">
        <v>136</v>
      </c>
      <c r="C9" s="62" t="s">
        <v>137</v>
      </c>
    </row>
    <row r="10" spans="1:3" ht="15">
      <c r="A10" s="62">
        <v>9</v>
      </c>
      <c r="B10" s="62" t="s">
        <v>138</v>
      </c>
      <c r="C10" s="62" t="s">
        <v>144</v>
      </c>
    </row>
    <row r="11" spans="1:3" ht="15">
      <c r="A11" s="62">
        <v>10</v>
      </c>
      <c r="B11" s="62" t="s">
        <v>139</v>
      </c>
      <c r="C11" s="62" t="s">
        <v>140</v>
      </c>
    </row>
    <row r="12" spans="1:3" ht="15">
      <c r="A12" s="62">
        <v>11</v>
      </c>
      <c r="B12" s="62" t="s">
        <v>141</v>
      </c>
      <c r="C12" s="62" t="s">
        <v>142</v>
      </c>
    </row>
    <row r="13" spans="1:3" ht="30">
      <c r="A13" s="62">
        <v>12</v>
      </c>
      <c r="B13" s="62" t="s">
        <v>162</v>
      </c>
      <c r="C13" s="62" t="s">
        <v>143</v>
      </c>
    </row>
    <row r="14" spans="1:3" ht="15">
      <c r="A14" s="62">
        <v>13</v>
      </c>
      <c r="B14" s="62" t="s">
        <v>145</v>
      </c>
      <c r="C14" s="62" t="s">
        <v>146</v>
      </c>
    </row>
    <row r="15" spans="1:3" ht="30">
      <c r="A15" s="62">
        <v>14</v>
      </c>
      <c r="B15" s="62" t="s">
        <v>147</v>
      </c>
      <c r="C15" s="62" t="s">
        <v>163</v>
      </c>
    </row>
    <row r="16" spans="1:3" ht="15">
      <c r="A16" s="62">
        <v>15</v>
      </c>
      <c r="B16" s="62" t="s">
        <v>148</v>
      </c>
      <c r="C16" s="62" t="s">
        <v>149</v>
      </c>
    </row>
    <row r="17" spans="1:3" ht="15">
      <c r="A17" s="62">
        <v>16</v>
      </c>
      <c r="B17" s="62" t="s">
        <v>150</v>
      </c>
      <c r="C17" s="62" t="s">
        <v>151</v>
      </c>
    </row>
    <row r="18" spans="1:3" ht="15">
      <c r="A18" s="62">
        <v>17</v>
      </c>
      <c r="B18" s="62" t="s">
        <v>152</v>
      </c>
      <c r="C18" s="62" t="s">
        <v>153</v>
      </c>
    </row>
    <row r="19" spans="1:3" ht="15">
      <c r="A19" s="62">
        <v>18</v>
      </c>
      <c r="B19" s="62" t="s">
        <v>154</v>
      </c>
      <c r="C19" s="62" t="s">
        <v>153</v>
      </c>
    </row>
    <row r="20" spans="1:3" ht="30">
      <c r="A20" s="62">
        <v>19</v>
      </c>
      <c r="B20" s="62" t="s">
        <v>155</v>
      </c>
      <c r="C20" s="62" t="s">
        <v>164</v>
      </c>
    </row>
    <row r="21" spans="1:3" ht="15">
      <c r="A21" s="62">
        <v>20</v>
      </c>
      <c r="B21" s="62" t="s">
        <v>156</v>
      </c>
      <c r="C21" s="62" t="s">
        <v>157</v>
      </c>
    </row>
    <row r="22" spans="1:3" ht="15">
      <c r="A22" s="62">
        <v>21</v>
      </c>
      <c r="B22" s="62" t="s">
        <v>158</v>
      </c>
      <c r="C22" s="62" t="s">
        <v>159</v>
      </c>
    </row>
    <row r="23" spans="1:3" ht="15"/>
    <row r="24" spans="1:3" ht="15"/>
    <row r="25" spans="1:3" ht="15"/>
    <row r="26" spans="1:3" ht="15"/>
    <row r="27" spans="1:3" ht="15"/>
    <row r="28" spans="1:3" ht="15"/>
    <row r="29" spans="1:3" ht="15"/>
    <row r="30" spans="1:3" ht="15"/>
    <row r="31" spans="1:3" ht="15"/>
    <row r="32" spans="1:3"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tabSelected="1" workbookViewId="0">
      <selection activeCell="P12" sqref="P12"/>
    </sheetView>
  </sheetViews>
  <sheetFormatPr defaultRowHeight="15"/>
  <sheetData>
    <row r="1" spans="1:4">
      <c r="A1" t="s">
        <v>0</v>
      </c>
    </row>
    <row r="4" spans="1:4" ht="72">
      <c r="B4" s="14" t="s">
        <v>90</v>
      </c>
      <c r="C4" s="14" t="s">
        <v>91</v>
      </c>
      <c r="D4" s="14" t="s">
        <v>4</v>
      </c>
    </row>
    <row r="5" spans="1:4" ht="90">
      <c r="B5" s="15">
        <v>1</v>
      </c>
      <c r="C5" s="57" t="s">
        <v>92</v>
      </c>
      <c r="D5" s="16" t="s">
        <v>93</v>
      </c>
    </row>
    <row r="6" spans="1:4" ht="54">
      <c r="B6" s="15">
        <v>2</v>
      </c>
      <c r="C6" s="57" t="s">
        <v>94</v>
      </c>
      <c r="D6" s="16" t="s">
        <v>93</v>
      </c>
    </row>
    <row r="7" spans="1:4" ht="54">
      <c r="B7" s="15">
        <v>3</v>
      </c>
      <c r="C7" s="57" t="s">
        <v>95</v>
      </c>
      <c r="D7" s="16" t="s">
        <v>93</v>
      </c>
    </row>
    <row r="8" spans="1:4" ht="18">
      <c r="B8" s="15">
        <v>4</v>
      </c>
      <c r="C8" s="57" t="s">
        <v>96</v>
      </c>
      <c r="D8" s="16" t="s">
        <v>97</v>
      </c>
    </row>
    <row r="9" spans="1:4" ht="72">
      <c r="B9" s="15">
        <v>5</v>
      </c>
      <c r="C9" s="57" t="s">
        <v>98</v>
      </c>
      <c r="D9" s="16" t="s">
        <v>93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sheetData>
    <row r="1" spans="1:1">
      <c r="A1" t="s">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R12" sqref="P4:R12"/>
    </sheetView>
  </sheetViews>
  <sheetFormatPr defaultRowHeight="15"/>
  <cols>
    <col min="2" max="2" width="10.7109375" bestFit="1" customWidth="1"/>
    <col min="3" max="3" width="16.140625" bestFit="1" customWidth="1"/>
    <col min="4" max="4" width="34.140625" customWidth="1"/>
    <col min="5" max="5" width="10.7109375" bestFit="1" customWidth="1"/>
  </cols>
  <sheetData>
    <row r="1" spans="1:5">
      <c r="A1" t="s">
        <v>165</v>
      </c>
      <c r="B1" t="s">
        <v>166</v>
      </c>
      <c r="C1" t="s">
        <v>167</v>
      </c>
      <c r="D1" t="s">
        <v>168</v>
      </c>
      <c r="E1" t="s">
        <v>169</v>
      </c>
    </row>
    <row r="2" spans="1:5" ht="30">
      <c r="A2">
        <v>1</v>
      </c>
      <c r="B2" t="s">
        <v>109</v>
      </c>
      <c r="C2" t="s">
        <v>170</v>
      </c>
      <c r="D2" s="63" t="s">
        <v>171</v>
      </c>
      <c r="E2" t="s">
        <v>172</v>
      </c>
    </row>
    <row r="3" spans="1:5" ht="45">
      <c r="A3">
        <v>2</v>
      </c>
      <c r="B3" t="s">
        <v>109</v>
      </c>
      <c r="C3" t="s">
        <v>173</v>
      </c>
      <c r="D3" s="63" t="s">
        <v>174</v>
      </c>
      <c r="E3" t="s">
        <v>172</v>
      </c>
    </row>
    <row r="4" spans="1:5" ht="45">
      <c r="A4">
        <v>3</v>
      </c>
      <c r="B4" t="s">
        <v>109</v>
      </c>
      <c r="C4" s="63" t="s">
        <v>175</v>
      </c>
      <c r="D4" s="63" t="s">
        <v>176</v>
      </c>
      <c r="E4" t="s">
        <v>177</v>
      </c>
    </row>
    <row r="5" spans="1:5" ht="30">
      <c r="A5">
        <v>4</v>
      </c>
      <c r="B5" t="s">
        <v>109</v>
      </c>
      <c r="C5" t="s">
        <v>178</v>
      </c>
      <c r="D5" s="63" t="s">
        <v>179</v>
      </c>
      <c r="E5" t="s">
        <v>180</v>
      </c>
    </row>
    <row r="6" spans="1:5">
      <c r="A6">
        <v>5</v>
      </c>
      <c r="B6" t="s">
        <v>109</v>
      </c>
      <c r="C6" t="s">
        <v>181</v>
      </c>
      <c r="D6" s="63" t="s">
        <v>182</v>
      </c>
      <c r="E6" t="s">
        <v>183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sheetData>
    <row r="1" spans="1:1">
      <c r="A1" t="s">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Q29" sqref="Q29"/>
    </sheetView>
  </sheetViews>
  <sheetFormatPr defaultRowHeight="15"/>
  <sheetData>
    <row r="1" spans="1:1">
      <c r="A1"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Table_of_Contents</vt:lpstr>
      <vt:lpstr>Introduction</vt:lpstr>
      <vt:lpstr>In_House_Team</vt:lpstr>
      <vt:lpstr>List_of_Vendors</vt:lpstr>
      <vt:lpstr>Deployment_by_Vendor</vt:lpstr>
      <vt:lpstr>Energy_Consumption</vt:lpstr>
      <vt:lpstr>Electricity_Per_SFT</vt:lpstr>
      <vt:lpstr>Space_Occupancy</vt:lpstr>
      <vt:lpstr>Summary_of_Complaints</vt:lpstr>
      <vt:lpstr>CAPEX_2025_26</vt:lpstr>
      <vt:lpstr>E_Facility_Application</vt:lpstr>
      <vt:lpstr>Way_Forward</vt:lpstr>
      <vt:lpstr>Training_Schedule</vt:lpstr>
      <vt:lpstr>Disputes</vt:lpstr>
      <vt:lpstr>Issues_and_Observations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Venu</cp:lastModifiedBy>
  <dcterms:created xsi:type="dcterms:W3CDTF">2025-12-05T11:07:26Z</dcterms:created>
  <dcterms:modified xsi:type="dcterms:W3CDTF">2026-03-10T09:52:17Z</dcterms:modified>
</cp:coreProperties>
</file>