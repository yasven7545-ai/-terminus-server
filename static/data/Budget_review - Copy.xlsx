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Venu\Desktop\"/>
    </mc:Choice>
  </mc:AlternateContent>
  <xr:revisionPtr revIDLastSave="0" documentId="13_ncr:1_{FB23064B-B00D-4EFA-9659-DD6E9AE74A77}" xr6:coauthVersionLast="47" xr6:coauthVersionMax="47" xr10:uidLastSave="{00000000-0000-0000-0000-000000000000}"/>
  <bookViews>
    <workbookView xWindow="-120" yWindow="-120" windowWidth="29040" windowHeight="15840" tabRatio="967" firstSheet="6" activeTab="17" xr2:uid="{00000000-000D-0000-FFFF-FFFF00000000}"/>
  </bookViews>
  <sheets>
    <sheet name="INDEX" sheetId="126" r:id="rId1"/>
    <sheet name="Area Summary" sheetId="129" r:id="rId2"/>
    <sheet name="Area-Mall" sheetId="147" r:id="rId3"/>
    <sheet name="Area-Office" sheetId="148" r:id="rId4"/>
    <sheet name="Area-Comm" sheetId="136" r:id="rId5"/>
    <sheet name="Common Services" sheetId="100" r:id="rId6"/>
    <sheet name="CAM Variables" sheetId="77" r:id="rId7"/>
    <sheet name="CAM Charges Summary" sheetId="146" r:id="rId8"/>
    <sheet name="CAM Charges" sheetId="117" r:id="rId9"/>
    <sheet name="AMC Cost" sheetId="138" r:id="rId10"/>
    <sheet name="Comm Electrical load" sheetId="67" r:id="rId11"/>
    <sheet name="Load Breakup" sheetId="144" r:id="rId12"/>
    <sheet name="HVAC-Mall" sheetId="116" r:id="rId13"/>
    <sheet name="Mall AHU Load" sheetId="145" r:id="rId14"/>
    <sheet name="Manpower" sheetId="127" r:id="rId15"/>
    <sheet name="Salary Breakup" sheetId="119" r:id="rId16"/>
    <sheet name="HK - Secr Equipments" sheetId="118" r:id="rId17"/>
    <sheet name="SinkingFundEstimation" sheetId="125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___APC1">[1]Report!$F$13</definedName>
    <definedName name="___ARR1">[1]Report!$G$8</definedName>
    <definedName name="___INDEX_SHEET___" localSheetId="1">#REF!</definedName>
    <definedName name="___INDEX_SHEET___" localSheetId="8">#REF!</definedName>
    <definedName name="___INDEX_SHEET___" localSheetId="7">#REF!</definedName>
    <definedName name="___INDEX_SHEET___" localSheetId="16">#REF!</definedName>
    <definedName name="___INDEX_SHEET___" localSheetId="12">#REF!</definedName>
    <definedName name="___INDEX_SHEET___" localSheetId="11">#REF!</definedName>
    <definedName name="___INDEX_SHEET___" localSheetId="14">#REF!</definedName>
    <definedName name="___INDEX_SHEET___" localSheetId="15">#REF!</definedName>
    <definedName name="___INDEX_SHEET___" localSheetId="17">#REF!</definedName>
    <definedName name="___INDEX_SHEET___">#REF!</definedName>
    <definedName name="__APC1">[1]Report!$F$13</definedName>
    <definedName name="__ARR1">[1]Report!$G$8</definedName>
    <definedName name="__Mth1" localSheetId="1">#REF!</definedName>
    <definedName name="__Mth1" localSheetId="8">#REF!</definedName>
    <definedName name="__Mth1" localSheetId="7">#REF!</definedName>
    <definedName name="__Mth1" localSheetId="16">#REF!</definedName>
    <definedName name="__Mth1" localSheetId="12">#REF!</definedName>
    <definedName name="__Mth1" localSheetId="11">#REF!</definedName>
    <definedName name="__Mth1" localSheetId="14">#REF!</definedName>
    <definedName name="__Mth1" localSheetId="15">#REF!</definedName>
    <definedName name="__Mth1" localSheetId="17">#REF!</definedName>
    <definedName name="__Mth1">#REF!</definedName>
    <definedName name="__Mth2" localSheetId="1">#REF!</definedName>
    <definedName name="__Mth2" localSheetId="8">#REF!</definedName>
    <definedName name="__Mth2" localSheetId="7">#REF!</definedName>
    <definedName name="__Mth2" localSheetId="12">#REF!</definedName>
    <definedName name="__Mth2" localSheetId="11">#REF!</definedName>
    <definedName name="__Mth2" localSheetId="14">#REF!</definedName>
    <definedName name="__Mth2">#REF!</definedName>
    <definedName name="__Mth4" localSheetId="1">#REF!</definedName>
    <definedName name="__Mth4" localSheetId="8">#REF!</definedName>
    <definedName name="__Mth4" localSheetId="7">#REF!</definedName>
    <definedName name="__Mth4" localSheetId="12">#REF!</definedName>
    <definedName name="__Mth4" localSheetId="11">#REF!</definedName>
    <definedName name="__Mth4" localSheetId="14">#REF!</definedName>
    <definedName name="__Mth4">#REF!</definedName>
    <definedName name="_APC1">[2]Report!$F$13</definedName>
    <definedName name="_ARR1">[2]Report!$G$8</definedName>
    <definedName name="_Mth5" localSheetId="1">#REF!</definedName>
    <definedName name="_Mth5" localSheetId="8">#REF!</definedName>
    <definedName name="_Mth5" localSheetId="7">#REF!</definedName>
    <definedName name="_Mth5" localSheetId="16">#REF!</definedName>
    <definedName name="_Mth5" localSheetId="12">#REF!</definedName>
    <definedName name="_Mth5" localSheetId="11">#REF!</definedName>
    <definedName name="_Mth5" localSheetId="14">#REF!</definedName>
    <definedName name="_Mth5" localSheetId="15">#REF!</definedName>
    <definedName name="_Mth5" localSheetId="17">#REF!</definedName>
    <definedName name="_Mth5">#REF!</definedName>
    <definedName name="_Mth6" localSheetId="1">#REF!</definedName>
    <definedName name="_Mth6" localSheetId="8">#REF!</definedName>
    <definedName name="_Mth6" localSheetId="7">#REF!</definedName>
    <definedName name="_Mth6" localSheetId="12">#REF!</definedName>
    <definedName name="_Mth6" localSheetId="11">#REF!</definedName>
    <definedName name="_Mth6" localSheetId="14">#REF!</definedName>
    <definedName name="_Mth6">#REF!</definedName>
    <definedName name="ABSENTISM" comment="if absentism more than 15%" localSheetId="1">[3]MANPOWER!#REF!</definedName>
    <definedName name="ABSENTISM" comment="if absentism more than 15%" localSheetId="7">[3]MANPOWER!#REF!</definedName>
    <definedName name="ABSENTISM" comment="if absentism more than 15%" localSheetId="11">[3]MANPOWER!#REF!</definedName>
    <definedName name="ABSENTISM" comment="if absentism more than 15%" localSheetId="14">[3]MANPOWER!#REF!</definedName>
    <definedName name="ABSENTISM" comment="if absentism more than 15%">[3]MANPOWER!#REF!</definedName>
    <definedName name="area">[4]Workings!$A$39:$D$58</definedName>
    <definedName name="Capex_yr">[2]Input!$H$41</definedName>
    <definedName name="Capexinc">[2]Report!$R$8</definedName>
    <definedName name="crore">'[5]Maldives-COD'!$C$7</definedName>
    <definedName name="DATA1" localSheetId="1">'[6]TB-12-13'!#REF!</definedName>
    <definedName name="DATA1" localSheetId="7">'[6]TB-12-13'!#REF!</definedName>
    <definedName name="DATA1" localSheetId="11">'[6]TB-12-13'!#REF!</definedName>
    <definedName name="DATA1" localSheetId="14">'[6]TB-12-13'!#REF!</definedName>
    <definedName name="DATA1">'[6]TB-12-13'!#REF!</definedName>
    <definedName name="DATA2" localSheetId="1">'[6]TB-12-13'!#REF!</definedName>
    <definedName name="DATA2" localSheetId="7">'[6]TB-12-13'!#REF!</definedName>
    <definedName name="DATA2" localSheetId="11">'[6]TB-12-13'!#REF!</definedName>
    <definedName name="DATA2" localSheetId="14">'[6]TB-12-13'!#REF!</definedName>
    <definedName name="DATA2">'[6]TB-12-13'!#REF!</definedName>
    <definedName name="DATA3" localSheetId="1">'[6]TB-12-13'!#REF!</definedName>
    <definedName name="DATA3" localSheetId="7">'[6]TB-12-13'!#REF!</definedName>
    <definedName name="DATA3" localSheetId="11">'[6]TB-12-13'!#REF!</definedName>
    <definedName name="DATA3" localSheetId="14">'[6]TB-12-13'!#REF!</definedName>
    <definedName name="DATA3">'[6]TB-12-13'!#REF!</definedName>
    <definedName name="DATA4" localSheetId="1">'[6]TB-12-13'!#REF!</definedName>
    <definedName name="DATA4" localSheetId="7">'[6]TB-12-13'!#REF!</definedName>
    <definedName name="DATA4" localSheetId="11">'[6]TB-12-13'!#REF!</definedName>
    <definedName name="DATA4" localSheetId="14">'[6]TB-12-13'!#REF!</definedName>
    <definedName name="DATA4">'[6]TB-12-13'!#REF!</definedName>
    <definedName name="DATA5" localSheetId="1">'[6]TB-12-13'!#REF!</definedName>
    <definedName name="DATA5" localSheetId="7">'[6]TB-12-13'!#REF!</definedName>
    <definedName name="DATA5" localSheetId="11">'[6]TB-12-13'!#REF!</definedName>
    <definedName name="DATA5" localSheetId="14">'[6]TB-12-13'!#REF!</definedName>
    <definedName name="DATA5">'[6]TB-12-13'!#REF!</definedName>
    <definedName name="DATA6" localSheetId="1">'[6]TB-12-13'!#REF!</definedName>
    <definedName name="DATA6" localSheetId="7">'[6]TB-12-13'!#REF!</definedName>
    <definedName name="DATA6" localSheetId="11">'[6]TB-12-13'!#REF!</definedName>
    <definedName name="DATA6" localSheetId="14">'[6]TB-12-13'!#REF!</definedName>
    <definedName name="DATA6">'[6]TB-12-13'!#REF!</definedName>
    <definedName name="DATA7" localSheetId="1">#REF!</definedName>
    <definedName name="DATA7" localSheetId="7">#REF!</definedName>
    <definedName name="DATA7" localSheetId="11">#REF!</definedName>
    <definedName name="DATA7" localSheetId="14">#REF!</definedName>
    <definedName name="DATA7">#REF!</definedName>
    <definedName name="DATA8" localSheetId="1">#REF!</definedName>
    <definedName name="DATA8" localSheetId="7">#REF!</definedName>
    <definedName name="DATA8" localSheetId="11">#REF!</definedName>
    <definedName name="DATA8" localSheetId="14">#REF!</definedName>
    <definedName name="DATA8">#REF!</definedName>
    <definedName name="DATA9" localSheetId="1">#REF!</definedName>
    <definedName name="DATA9" localSheetId="7">#REF!</definedName>
    <definedName name="DATA9" localSheetId="11">#REF!</definedName>
    <definedName name="DATA9" localSheetId="14">#REF!</definedName>
    <definedName name="DATA9">#REF!</definedName>
    <definedName name="EPF_EMP">12</definedName>
    <definedName name="Equity_Debt">[2]Report!$L$4</definedName>
    <definedName name="Equity_part">[1]Input!$L$24</definedName>
    <definedName name="ESI_EMP">1.75</definedName>
    <definedName name="Excel_BuiltIn_Print_Area_1" localSheetId="7">#REF!</definedName>
    <definedName name="Excel_BuiltIn_Print_Area_1" localSheetId="11">#REF!</definedName>
    <definedName name="Excel_BuiltIn_Print_Area_1">#REF!</definedName>
    <definedName name="Excel_BuiltIn_Print_Titles_11" localSheetId="7">#REF!</definedName>
    <definedName name="Excel_BuiltIn_Print_Titles_11" localSheetId="11">#REF!</definedName>
    <definedName name="Excel_BuiltIn_Print_Titles_11">#REF!</definedName>
    <definedName name="Excel_BuiltIn_Print_Titles_12" localSheetId="7">#REF!</definedName>
    <definedName name="Excel_BuiltIn_Print_Titles_12" localSheetId="11">#REF!</definedName>
    <definedName name="Excel_BuiltIn_Print_Titles_12">#REF!</definedName>
    <definedName name="Excel_BuiltIn_Print_Titles_2" localSheetId="7">#REF!</definedName>
    <definedName name="Excel_BuiltIn_Print_Titles_2" localSheetId="11">#REF!</definedName>
    <definedName name="Excel_BuiltIn_Print_Titles_2">#REF!</definedName>
    <definedName name="ExrateBt" localSheetId="1">#REF!</definedName>
    <definedName name="ExrateBt" localSheetId="8">#REF!</definedName>
    <definedName name="ExrateBt" localSheetId="7">#REF!</definedName>
    <definedName name="ExrateBt" localSheetId="16">#REF!</definedName>
    <definedName name="ExrateBt" localSheetId="12">#REF!</definedName>
    <definedName name="ExrateBt" localSheetId="11">#REF!</definedName>
    <definedName name="ExrateBt" localSheetId="14">#REF!</definedName>
    <definedName name="ExrateBt" localSheetId="15">#REF!</definedName>
    <definedName name="ExrateBt" localSheetId="17">#REF!</definedName>
    <definedName name="ExrateBt">#REF!</definedName>
    <definedName name="ExrateInd" localSheetId="1">#REF!</definedName>
    <definedName name="ExrateInd" localSheetId="8">#REF!</definedName>
    <definedName name="ExrateInd" localSheetId="7">#REF!</definedName>
    <definedName name="ExrateInd" localSheetId="12">#REF!</definedName>
    <definedName name="ExrateInd" localSheetId="11">#REF!</definedName>
    <definedName name="ExrateInd" localSheetId="14">#REF!</definedName>
    <definedName name="ExrateInd">#REF!</definedName>
    <definedName name="ExrateSing" localSheetId="1">#REF!</definedName>
    <definedName name="ExrateSing" localSheetId="8">#REF!</definedName>
    <definedName name="ExrateSing" localSheetId="7">#REF!</definedName>
    <definedName name="ExrateSing" localSheetId="12">#REF!</definedName>
    <definedName name="ExrateSing" localSheetId="11">#REF!</definedName>
    <definedName name="ExrateSing" localSheetId="14">#REF!</definedName>
    <definedName name="ExrateSing">#REF!</definedName>
    <definedName name="ExrateUS" localSheetId="1">#REF!</definedName>
    <definedName name="ExrateUS" localSheetId="7">#REF!</definedName>
    <definedName name="ExrateUS" localSheetId="11">#REF!</definedName>
    <definedName name="ExrateUS" localSheetId="14">#REF!</definedName>
    <definedName name="ExrateUS">#REF!</definedName>
    <definedName name="_xlnm.Extract" localSheetId="1">#REF!</definedName>
    <definedName name="_xlnm.Extract" localSheetId="7">#REF!</definedName>
    <definedName name="_xlnm.Extract" localSheetId="11">#REF!</definedName>
    <definedName name="_xlnm.Extract" localSheetId="14">#REF!</definedName>
    <definedName name="_xlnm.Extract">#REF!</definedName>
    <definedName name="Fact" localSheetId="1">[7]Sheet1!#REF!</definedName>
    <definedName name="Fact" localSheetId="8">[7]Sheet1!#REF!</definedName>
    <definedName name="Fact" localSheetId="7">[7]Sheet1!#REF!</definedName>
    <definedName name="Fact" localSheetId="16">[7]Sheet1!#REF!</definedName>
    <definedName name="Fact" localSheetId="12">[7]Sheet1!#REF!</definedName>
    <definedName name="Fact" localSheetId="11">[7]Sheet1!#REF!</definedName>
    <definedName name="Fact" localSheetId="14">[7]Sheet1!#REF!</definedName>
    <definedName name="Fact" localSheetId="15">[7]Sheet1!#REF!</definedName>
    <definedName name="Fact" localSheetId="17">[7]Sheet1!#REF!</definedName>
    <definedName name="Fact">[7]Sheet1!#REF!</definedName>
    <definedName name="Fees_Add">[2]Report!$L$14</definedName>
    <definedName name="Fees_Var">[2]Report!$L$13</definedName>
    <definedName name="gadha" localSheetId="1">#REF!</definedName>
    <definedName name="gadha" localSheetId="7">#REF!</definedName>
    <definedName name="gadha" localSheetId="11">#REF!</definedName>
    <definedName name="gadha" localSheetId="14">#REF!</definedName>
    <definedName name="gadha">#REF!</definedName>
    <definedName name="gadhac386" localSheetId="1">#REF!</definedName>
    <definedName name="gadhac386" localSheetId="7">#REF!</definedName>
    <definedName name="gadhac386" localSheetId="11">#REF!</definedName>
    <definedName name="gadhac386" localSheetId="14">#REF!</definedName>
    <definedName name="gadhac386">#REF!</definedName>
    <definedName name="Land">[2]Report!$Q$5</definedName>
    <definedName name="Land_cost">[2]Input!$L$6</definedName>
    <definedName name="Land1" localSheetId="1">#REF!</definedName>
    <definedName name="Land1" localSheetId="7">#REF!</definedName>
    <definedName name="Land1" localSheetId="11">#REF!</definedName>
    <definedName name="Land1" localSheetId="14">#REF!</definedName>
    <definedName name="Land1">#REF!</definedName>
    <definedName name="Land3" localSheetId="1">#REF!</definedName>
    <definedName name="Land3" localSheetId="7">#REF!</definedName>
    <definedName name="Land3" localSheetId="11">#REF!</definedName>
    <definedName name="Land3" localSheetId="14">#REF!</definedName>
    <definedName name="Land3">#REF!</definedName>
    <definedName name="LandP" localSheetId="1">#REF!</definedName>
    <definedName name="LandP" localSheetId="7">#REF!</definedName>
    <definedName name="LandP" localSheetId="11">#REF!</definedName>
    <definedName name="LandP" localSheetId="14">#REF!</definedName>
    <definedName name="LandP">#REF!</definedName>
    <definedName name="LEASE_RENT">[2]Input!$H$24</definedName>
    <definedName name="lel" localSheetId="1">#REF!</definedName>
    <definedName name="lel" localSheetId="8">#REF!</definedName>
    <definedName name="lel" localSheetId="7">#REF!</definedName>
    <definedName name="lel" localSheetId="16">#REF!</definedName>
    <definedName name="lel" localSheetId="12">#REF!</definedName>
    <definedName name="lel" localSheetId="11">#REF!</definedName>
    <definedName name="lel" localSheetId="14">#REF!</definedName>
    <definedName name="lel" localSheetId="15">#REF!</definedName>
    <definedName name="lel" localSheetId="17">#REF!</definedName>
    <definedName name="lel">#REF!</definedName>
    <definedName name="minni" localSheetId="1">#REF!</definedName>
    <definedName name="minni" localSheetId="7">#REF!</definedName>
    <definedName name="minni" localSheetId="12">#REF!</definedName>
    <definedName name="minni" localSheetId="11">#REF!</definedName>
    <definedName name="minni" localSheetId="14">#REF!</definedName>
    <definedName name="minni">#REF!</definedName>
    <definedName name="Mth0" localSheetId="1">#REF!</definedName>
    <definedName name="Mth0" localSheetId="8">#REF!</definedName>
    <definedName name="Mth0" localSheetId="7">#REF!</definedName>
    <definedName name="Mth0" localSheetId="12">#REF!</definedName>
    <definedName name="Mth0" localSheetId="11">#REF!</definedName>
    <definedName name="Mth0" localSheetId="14">#REF!</definedName>
    <definedName name="Mth0">#REF!</definedName>
    <definedName name="normal" localSheetId="1">#REF!</definedName>
    <definedName name="normal" localSheetId="7">#REF!</definedName>
    <definedName name="normal" localSheetId="11">#REF!</definedName>
    <definedName name="normal" localSheetId="14">#REF!</definedName>
    <definedName name="normal">#REF!</definedName>
    <definedName name="op" localSheetId="1">#REF!</definedName>
    <definedName name="op" localSheetId="8">#REF!</definedName>
    <definedName name="op" localSheetId="7">#REF!</definedName>
    <definedName name="op" localSheetId="12">#REF!</definedName>
    <definedName name="op" localSheetId="11">#REF!</definedName>
    <definedName name="op" localSheetId="14">#REF!</definedName>
    <definedName name="op">#REF!</definedName>
    <definedName name="Payments" localSheetId="1">#REF!</definedName>
    <definedName name="Payments" localSheetId="8">#REF!</definedName>
    <definedName name="Payments" localSheetId="7">#REF!</definedName>
    <definedName name="Payments" localSheetId="12">#REF!</definedName>
    <definedName name="Payments" localSheetId="11">#REF!</definedName>
    <definedName name="Payments" localSheetId="14">#REF!</definedName>
    <definedName name="Payments">#REF!</definedName>
    <definedName name="_xlnm.Print_Area" localSheetId="9">'AMC Cost'!$A$1:$H$23</definedName>
    <definedName name="_xlnm.Print_Area" localSheetId="1">'Area Summary'!$A$1:$E$32</definedName>
    <definedName name="_xlnm.Print_Area" localSheetId="4">'Area-Comm'!$B$1:$Q$45</definedName>
    <definedName name="_xlnm.Print_Area" localSheetId="2">'Area-Mall'!$A$1:$I$49</definedName>
    <definedName name="_xlnm.Print_Area" localSheetId="3">'Area-Office'!$A$1:$I$46</definedName>
    <definedName name="_xlnm.Print_Area" localSheetId="8">'CAM Charges'!$A$2:$AI$68</definedName>
    <definedName name="_xlnm.Print_Area" localSheetId="7">'CAM Charges Summary'!$A$1:$N$22</definedName>
    <definedName name="_xlnm.Print_Area" localSheetId="6">'CAM Variables'!$A$1:$G$15</definedName>
    <definedName name="_xlnm.Print_Area" localSheetId="10">'Comm Electrical load'!$A$1:$D$29</definedName>
    <definedName name="_xlnm.Print_Area" localSheetId="5">'Common Services'!$A$1:$F$53</definedName>
    <definedName name="_xlnm.Print_Area" localSheetId="16">'HK - Secr Equipments'!$A$1:$J$22</definedName>
    <definedName name="_xlnm.Print_Area" localSheetId="12">'HVAC-Mall'!$A$1:$C$26</definedName>
    <definedName name="_xlnm.Print_Area" localSheetId="0">INDEX!$A$1:$A$19</definedName>
    <definedName name="_xlnm.Print_Area" localSheetId="11">'Load Breakup'!$A$1:$I$294</definedName>
    <definedName name="_xlnm.Print_Area" localSheetId="13">'Mall AHU Load'!$A$1:$K$29</definedName>
    <definedName name="_xlnm.Print_Area" localSheetId="14">Manpower!$C$1:$M$84</definedName>
    <definedName name="_xlnm.Print_Area" localSheetId="15">'Salary Breakup'!$A$1:$AE$34</definedName>
    <definedName name="_xlnm.Print_Area" localSheetId="17">SinkingFundEstimation!$A$1:$U$40</definedName>
    <definedName name="_xlnm.Print_Titles" localSheetId="4">'Area-Comm'!$1:$3</definedName>
    <definedName name="_xlnm.Print_Titles" localSheetId="2">'Area-Mall'!$1:$3</definedName>
    <definedName name="_xlnm.Print_Titles" localSheetId="8">'CAM Charges'!$A:$C,'CAM Charges'!$2:$6</definedName>
    <definedName name="_xlnm.Print_Titles" localSheetId="7">'CAM Charges Summary'!$1:$4</definedName>
    <definedName name="_xlnm.Print_Titles" localSheetId="6">'CAM Variables'!$1:$2</definedName>
    <definedName name="_xlnm.Print_Titles" localSheetId="11">'Load Breakup'!$1:$3</definedName>
    <definedName name="_xlnm.Print_Titles" localSheetId="13">'Mall AHU Load'!$1:$2</definedName>
    <definedName name="_xlnm.Print_Titles" localSheetId="14">Manpower!$1:$3</definedName>
    <definedName name="_xlnm.Print_Titles" localSheetId="15">'Salary Breakup'!$A:$C,'Salary Breakup'!$1:$5</definedName>
    <definedName name="ProjecT_Cost_per_Room">[2]Input!$L$5</definedName>
    <definedName name="Receipts" localSheetId="1">#REF!</definedName>
    <definedName name="Receipts" localSheetId="8">#REF!</definedName>
    <definedName name="Receipts" localSheetId="7">#REF!</definedName>
    <definedName name="Receipts" localSheetId="16">#REF!</definedName>
    <definedName name="Receipts" localSheetId="12">#REF!</definedName>
    <definedName name="Receipts" localSheetId="11">#REF!</definedName>
    <definedName name="Receipts" localSheetId="14">#REF!</definedName>
    <definedName name="Receipts" localSheetId="15">#REF!</definedName>
    <definedName name="Receipts" localSheetId="17">#REF!</definedName>
    <definedName name="Receipts">#REF!</definedName>
    <definedName name="Rent" localSheetId="1">#REF!</definedName>
    <definedName name="Rent" localSheetId="7">#REF!</definedName>
    <definedName name="Rent" localSheetId="11">#REF!</definedName>
    <definedName name="Rent" localSheetId="14">#REF!</definedName>
    <definedName name="Rent">#REF!</definedName>
    <definedName name="Rent1" localSheetId="1">#REF!</definedName>
    <definedName name="Rent1" localSheetId="7">#REF!</definedName>
    <definedName name="Rent1" localSheetId="11">#REF!</definedName>
    <definedName name="Rent1" localSheetId="14">#REF!</definedName>
    <definedName name="Rent1">#REF!</definedName>
    <definedName name="Rent2" localSheetId="1">#REF!</definedName>
    <definedName name="Rent2" localSheetId="7">#REF!</definedName>
    <definedName name="Rent2" localSheetId="11">#REF!</definedName>
    <definedName name="Rent2" localSheetId="14">#REF!</definedName>
    <definedName name="Rent2">#REF!</definedName>
    <definedName name="Rooms">[2]Input!$D$5</definedName>
    <definedName name="ScenarioList">OFFSET([2]Report!$X$8,1,0,COUNTA([2]Report!$X$9:$X$17),1)</definedName>
    <definedName name="SD">[2]Input!$L$47</definedName>
    <definedName name="SDL" localSheetId="1">#REF!</definedName>
    <definedName name="SDL" localSheetId="7">#REF!</definedName>
    <definedName name="SDL" localSheetId="11">#REF!</definedName>
    <definedName name="SDL" localSheetId="14">#REF!</definedName>
    <definedName name="SDL">#REF!</definedName>
    <definedName name="SHOP_AREA">[2]Input!$C$19</definedName>
    <definedName name="SHOP_FEES">[2]Input!$C$18</definedName>
    <definedName name="staff">'[4]Emp Details'!$A$1:$G$910</definedName>
    <definedName name="TEST0" localSheetId="1">#REF!</definedName>
    <definedName name="TEST0" localSheetId="7">#REF!</definedName>
    <definedName name="TEST0" localSheetId="11">#REF!</definedName>
    <definedName name="TEST0" localSheetId="14">#REF!</definedName>
    <definedName name="TEST0">#REF!</definedName>
    <definedName name="TESTHKEY" localSheetId="1">#REF!</definedName>
    <definedName name="TESTHKEY" localSheetId="7">#REF!</definedName>
    <definedName name="TESTHKEY" localSheetId="11">#REF!</definedName>
    <definedName name="TESTHKEY" localSheetId="14">#REF!</definedName>
    <definedName name="TESTHKEY">#REF!</definedName>
    <definedName name="TESTKEYS" localSheetId="1">'[6]TB-12-13'!#REF!</definedName>
    <definedName name="TESTKEYS" localSheetId="7">'[6]TB-12-13'!#REF!</definedName>
    <definedName name="TESTKEYS" localSheetId="11">'[6]TB-12-13'!#REF!</definedName>
    <definedName name="TESTKEYS" localSheetId="14">'[6]TB-12-13'!#REF!</definedName>
    <definedName name="TESTKEYS">'[6]TB-12-13'!#REF!</definedName>
    <definedName name="TESTVKEY" localSheetId="1">'[6]TB-12-13'!#REF!</definedName>
    <definedName name="TESTVKEY" localSheetId="7">'[6]TB-12-13'!#REF!</definedName>
    <definedName name="TESTVKEY" localSheetId="11">'[6]TB-12-13'!#REF!</definedName>
    <definedName name="TESTVKEY" localSheetId="14">'[6]TB-12-13'!#REF!</definedName>
    <definedName name="TESTVKEY">'[6]TB-12-13'!#REF!</definedName>
    <definedName name="travel">[4]Workings!$D$23:$F$27</definedName>
    <definedName name="uel" localSheetId="1">#REF!</definedName>
    <definedName name="uel" localSheetId="8">#REF!</definedName>
    <definedName name="uel" localSheetId="7">#REF!</definedName>
    <definedName name="uel" localSheetId="16">#REF!</definedName>
    <definedName name="uel" localSheetId="12">#REF!</definedName>
    <definedName name="uel" localSheetId="11">#REF!</definedName>
    <definedName name="uel" localSheetId="14">#REF!</definedName>
    <definedName name="uel" localSheetId="15">#REF!</definedName>
    <definedName name="uel" localSheetId="17">#REF!</definedName>
    <definedName name="uel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0" i="148" l="1"/>
  <c r="K40" i="148"/>
  <c r="J41" i="148"/>
  <c r="K41" i="148"/>
  <c r="J42" i="148"/>
  <c r="K42" i="148"/>
  <c r="J43" i="148"/>
  <c r="K43" i="148"/>
  <c r="J44" i="148"/>
  <c r="K44" i="148"/>
  <c r="K39" i="148"/>
  <c r="J39" i="148"/>
  <c r="J32" i="148"/>
  <c r="K32" i="148"/>
  <c r="J33" i="148"/>
  <c r="K33" i="148"/>
  <c r="J34" i="148"/>
  <c r="K34" i="148"/>
  <c r="J35" i="148"/>
  <c r="K35" i="148"/>
  <c r="J36" i="148"/>
  <c r="K36" i="148"/>
  <c r="K31" i="148"/>
  <c r="J31" i="148"/>
  <c r="J24" i="148"/>
  <c r="K24" i="148"/>
  <c r="J25" i="148"/>
  <c r="K25" i="148"/>
  <c r="J26" i="148"/>
  <c r="K26" i="148"/>
  <c r="J27" i="148"/>
  <c r="K27" i="148"/>
  <c r="J28" i="148"/>
  <c r="K28" i="148"/>
  <c r="J23" i="148"/>
  <c r="K23" i="148"/>
  <c r="K22" i="148"/>
  <c r="J22" i="148"/>
  <c r="J15" i="148"/>
  <c r="K15" i="148"/>
  <c r="J16" i="148"/>
  <c r="K16" i="148"/>
  <c r="J17" i="148"/>
  <c r="K17" i="148"/>
  <c r="J18" i="148"/>
  <c r="K18" i="148"/>
  <c r="J19" i="148"/>
  <c r="K19" i="148"/>
  <c r="K14" i="148"/>
  <c r="J14" i="148"/>
  <c r="J6" i="148"/>
  <c r="K6" i="148"/>
  <c r="J7" i="148"/>
  <c r="K7" i="148"/>
  <c r="J8" i="148"/>
  <c r="K8" i="148"/>
  <c r="J9" i="148"/>
  <c r="K9" i="148"/>
  <c r="J10" i="148"/>
  <c r="K10" i="148"/>
  <c r="K5" i="148"/>
  <c r="J5" i="148"/>
  <c r="J32" i="147"/>
  <c r="K32" i="147"/>
  <c r="J33" i="147"/>
  <c r="K33" i="147"/>
  <c r="J34" i="147"/>
  <c r="K34" i="147"/>
  <c r="J35" i="147"/>
  <c r="K35" i="147"/>
  <c r="J36" i="147"/>
  <c r="K36" i="147"/>
  <c r="J37" i="147"/>
  <c r="K37" i="147"/>
  <c r="J38" i="147"/>
  <c r="K38" i="147"/>
  <c r="J39" i="147"/>
  <c r="K39" i="147"/>
  <c r="J40" i="147"/>
  <c r="K40" i="147"/>
  <c r="K31" i="147"/>
  <c r="J31" i="147"/>
  <c r="J21" i="147"/>
  <c r="K21" i="147"/>
  <c r="J22" i="147"/>
  <c r="K22" i="147"/>
  <c r="J23" i="147"/>
  <c r="K23" i="147"/>
  <c r="J24" i="147"/>
  <c r="K24" i="147"/>
  <c r="J25" i="147"/>
  <c r="K25" i="147"/>
  <c r="J26" i="147"/>
  <c r="K26" i="147"/>
  <c r="J27" i="147"/>
  <c r="K27" i="147"/>
  <c r="K20" i="147"/>
  <c r="J20" i="147"/>
  <c r="K16" i="147"/>
  <c r="K14" i="147"/>
  <c r="K13" i="147"/>
  <c r="K12" i="147"/>
  <c r="K11" i="147"/>
  <c r="K10" i="147"/>
  <c r="K9" i="147"/>
  <c r="K8" i="147"/>
  <c r="K7" i="147"/>
  <c r="K6" i="147"/>
  <c r="K5" i="147"/>
  <c r="J16" i="147"/>
  <c r="J14" i="147"/>
  <c r="J13" i="147"/>
  <c r="J12" i="147"/>
  <c r="J11" i="147"/>
  <c r="J10" i="147"/>
  <c r="J9" i="147"/>
  <c r="J8" i="147"/>
  <c r="J7" i="147"/>
  <c r="J6" i="147"/>
  <c r="J5" i="147"/>
  <c r="C4" i="136"/>
  <c r="D16" i="129"/>
  <c r="Z66" i="117"/>
  <c r="O66" i="117"/>
  <c r="D66" i="117"/>
  <c r="F41" i="147" l="1"/>
  <c r="C18" i="129" s="1"/>
  <c r="F28" i="147"/>
  <c r="C17" i="129" s="1"/>
  <c r="F17" i="147"/>
  <c r="C16" i="129" s="1"/>
  <c r="F45" i="148"/>
  <c r="C28" i="129" s="1"/>
  <c r="F37" i="148"/>
  <c r="C27" i="129" s="1"/>
  <c r="F29" i="148"/>
  <c r="C26" i="129" s="1"/>
  <c r="F20" i="148"/>
  <c r="C25" i="129" s="1"/>
  <c r="F11" i="148"/>
  <c r="C24" i="129" s="1"/>
  <c r="D28" i="129"/>
  <c r="D27" i="129"/>
  <c r="D26" i="129"/>
  <c r="D25" i="129"/>
  <c r="D24" i="129"/>
  <c r="D18" i="129"/>
  <c r="D17" i="129"/>
  <c r="I57" i="147"/>
  <c r="I49" i="147"/>
  <c r="D19" i="129" s="1"/>
  <c r="D29" i="129" l="1"/>
  <c r="I52" i="147"/>
  <c r="I55" i="147" s="1"/>
  <c r="I56" i="147" s="1"/>
  <c r="I58" i="147" s="1"/>
  <c r="D20" i="129"/>
  <c r="C29" i="116" s="1"/>
  <c r="G9" i="138"/>
  <c r="H9" i="138" s="1"/>
  <c r="F6" i="138"/>
  <c r="G6" i="138" s="1"/>
  <c r="H6" i="138" s="1"/>
  <c r="F5" i="138"/>
  <c r="G5" i="138" s="1"/>
  <c r="H5" i="138" s="1"/>
  <c r="F4" i="138"/>
  <c r="G4" i="138" s="1"/>
  <c r="H4" i="138" s="1"/>
  <c r="G18" i="118"/>
  <c r="G19" i="118" s="1"/>
  <c r="L71" i="127" l="1"/>
  <c r="C71" i="127"/>
  <c r="E10" i="127" l="1"/>
  <c r="E7" i="127"/>
  <c r="E6" i="127"/>
  <c r="E5" i="127"/>
  <c r="H49" i="127" l="1"/>
  <c r="I49" i="127"/>
  <c r="J49" i="127"/>
  <c r="K49" i="127"/>
  <c r="G49" i="127"/>
  <c r="H45" i="127"/>
  <c r="I45" i="127"/>
  <c r="J45" i="127"/>
  <c r="G45" i="127"/>
  <c r="L47" i="127"/>
  <c r="C47" i="127"/>
  <c r="L42" i="127"/>
  <c r="C42" i="127"/>
  <c r="I4" i="116" l="1"/>
  <c r="I5" i="116"/>
  <c r="I6" i="116"/>
  <c r="I3" i="116"/>
  <c r="C6" i="116"/>
  <c r="D6" i="116" s="1"/>
  <c r="D5" i="144"/>
  <c r="D194" i="144"/>
  <c r="H207" i="144"/>
  <c r="I207" i="144" s="1"/>
  <c r="H206" i="144"/>
  <c r="I206" i="144" s="1"/>
  <c r="H205" i="144"/>
  <c r="I205" i="144" s="1"/>
  <c r="H204" i="144"/>
  <c r="I204" i="144" s="1"/>
  <c r="H203" i="144"/>
  <c r="I203" i="144" s="1"/>
  <c r="H202" i="144"/>
  <c r="I202" i="144" s="1"/>
  <c r="H201" i="144"/>
  <c r="I201" i="144" s="1"/>
  <c r="H200" i="144"/>
  <c r="I200" i="144" s="1"/>
  <c r="H199" i="144"/>
  <c r="I199" i="144" s="1"/>
  <c r="H198" i="144"/>
  <c r="I198" i="144" s="1"/>
  <c r="H197" i="144"/>
  <c r="I197" i="144" s="1"/>
  <c r="H196" i="144"/>
  <c r="I196" i="144" s="1"/>
  <c r="H195" i="144"/>
  <c r="I195" i="144" s="1"/>
  <c r="H17" i="144"/>
  <c r="I17" i="144" s="1"/>
  <c r="H16" i="144"/>
  <c r="I16" i="144" s="1"/>
  <c r="H15" i="144"/>
  <c r="I15" i="144" s="1"/>
  <c r="H14" i="144"/>
  <c r="I14" i="144" s="1"/>
  <c r="H13" i="144"/>
  <c r="I13" i="144" s="1"/>
  <c r="H12" i="144"/>
  <c r="I12" i="144" s="1"/>
  <c r="H11" i="144"/>
  <c r="I11" i="144" s="1"/>
  <c r="H10" i="144"/>
  <c r="I10" i="144" s="1"/>
  <c r="H9" i="144"/>
  <c r="I9" i="144" s="1"/>
  <c r="I7" i="116" l="1"/>
  <c r="C9" i="116" s="1"/>
  <c r="I194" i="144"/>
  <c r="H194" i="144"/>
  <c r="O20" i="117"/>
  <c r="D20" i="117"/>
  <c r="K159" i="144" l="1"/>
  <c r="K19" i="144"/>
  <c r="E20" i="129" l="1"/>
  <c r="C4" i="116" s="1"/>
  <c r="D5" i="116"/>
  <c r="F19" i="127"/>
  <c r="F18" i="127"/>
  <c r="F16" i="127"/>
  <c r="F15" i="127"/>
  <c r="F14" i="127"/>
  <c r="F13" i="127"/>
  <c r="F12" i="127"/>
  <c r="F11" i="127"/>
  <c r="F10" i="127"/>
  <c r="F7" i="127"/>
  <c r="F6" i="127"/>
  <c r="F5" i="127"/>
  <c r="F17" i="127"/>
  <c r="K72" i="127" l="1"/>
  <c r="L72" i="127" s="1"/>
  <c r="H68" i="127"/>
  <c r="I68" i="127"/>
  <c r="J68" i="127"/>
  <c r="K60" i="127"/>
  <c r="K67" i="127"/>
  <c r="AG62" i="117"/>
  <c r="AC62" i="117"/>
  <c r="Z59" i="117"/>
  <c r="Z56" i="117"/>
  <c r="AG51" i="117"/>
  <c r="AC51" i="117"/>
  <c r="AG40" i="117"/>
  <c r="AC40" i="117"/>
  <c r="AG32" i="117"/>
  <c r="AC32" i="117"/>
  <c r="O30" i="117"/>
  <c r="Z30" i="117" s="1"/>
  <c r="V24" i="117"/>
  <c r="AG24" i="117" s="1"/>
  <c r="V23" i="117"/>
  <c r="AG23" i="117" s="1"/>
  <c r="V21" i="117"/>
  <c r="R24" i="117"/>
  <c r="AC24" i="117" s="1"/>
  <c r="R23" i="117"/>
  <c r="AC23" i="117" s="1"/>
  <c r="R21" i="117"/>
  <c r="AC21" i="117" s="1"/>
  <c r="V14" i="117"/>
  <c r="AG14" i="117" s="1"/>
  <c r="V15" i="117"/>
  <c r="V9" i="117"/>
  <c r="AG9" i="117" s="1"/>
  <c r="R10" i="117"/>
  <c r="AC10" i="117" s="1"/>
  <c r="R11" i="117"/>
  <c r="AC11" i="117" s="1"/>
  <c r="R12" i="117"/>
  <c r="R14" i="117"/>
  <c r="AC14" i="117" s="1"/>
  <c r="R15" i="117"/>
  <c r="AC15" i="117" s="1"/>
  <c r="R9" i="117"/>
  <c r="AC9" i="117" s="1"/>
  <c r="O11" i="117"/>
  <c r="Z11" i="117" s="1"/>
  <c r="V62" i="117"/>
  <c r="R62" i="117"/>
  <c r="O59" i="117"/>
  <c r="O56" i="117"/>
  <c r="V51" i="117"/>
  <c r="R51" i="117"/>
  <c r="V40" i="117"/>
  <c r="R40" i="117"/>
  <c r="V32" i="117"/>
  <c r="R32" i="117"/>
  <c r="V20" i="117"/>
  <c r="AG20" i="117" s="1"/>
  <c r="J7" i="125"/>
  <c r="K19" i="125" s="1"/>
  <c r="C19" i="125"/>
  <c r="D19" i="125"/>
  <c r="E19" i="125"/>
  <c r="F19" i="125"/>
  <c r="G19" i="125"/>
  <c r="H19" i="125"/>
  <c r="I19" i="125"/>
  <c r="J19" i="125"/>
  <c r="L19" i="125"/>
  <c r="M19" i="125"/>
  <c r="N19" i="125"/>
  <c r="O19" i="125"/>
  <c r="P19" i="125"/>
  <c r="Q19" i="125"/>
  <c r="R19" i="125"/>
  <c r="S19" i="125"/>
  <c r="T19" i="125"/>
  <c r="C20" i="125"/>
  <c r="D20" i="125"/>
  <c r="E20" i="125"/>
  <c r="F20" i="125"/>
  <c r="G20" i="125"/>
  <c r="H20" i="125"/>
  <c r="I20" i="125"/>
  <c r="J20" i="125"/>
  <c r="K20" i="125"/>
  <c r="L20" i="125"/>
  <c r="M20" i="125"/>
  <c r="N20" i="125"/>
  <c r="O20" i="125"/>
  <c r="P20" i="125"/>
  <c r="Q20" i="125"/>
  <c r="R20" i="125"/>
  <c r="S20" i="125"/>
  <c r="T20" i="125"/>
  <c r="U20" i="125"/>
  <c r="B20" i="125"/>
  <c r="B19" i="125"/>
  <c r="C18" i="125"/>
  <c r="D18" i="125"/>
  <c r="E18" i="125"/>
  <c r="F18" i="125"/>
  <c r="G18" i="125"/>
  <c r="H18" i="125"/>
  <c r="I18" i="125"/>
  <c r="J18" i="125"/>
  <c r="K18" i="125"/>
  <c r="L18" i="125"/>
  <c r="M18" i="125"/>
  <c r="N18" i="125"/>
  <c r="O18" i="125"/>
  <c r="P18" i="125"/>
  <c r="Q18" i="125"/>
  <c r="R18" i="125"/>
  <c r="S18" i="125"/>
  <c r="T18" i="125"/>
  <c r="U18" i="125"/>
  <c r="B18" i="125"/>
  <c r="C17" i="125"/>
  <c r="D17" i="125"/>
  <c r="E17" i="125"/>
  <c r="F17" i="125"/>
  <c r="G17" i="125"/>
  <c r="H17" i="125"/>
  <c r="I17" i="125"/>
  <c r="J17" i="125"/>
  <c r="K17" i="125"/>
  <c r="L17" i="125"/>
  <c r="M17" i="125"/>
  <c r="N17" i="125"/>
  <c r="O17" i="125"/>
  <c r="P17" i="125"/>
  <c r="Q17" i="125"/>
  <c r="R17" i="125"/>
  <c r="S17" i="125"/>
  <c r="T17" i="125"/>
  <c r="U17" i="125"/>
  <c r="B17" i="125"/>
  <c r="C16" i="125"/>
  <c r="D16" i="125"/>
  <c r="E16" i="125"/>
  <c r="F16" i="125"/>
  <c r="G16" i="125"/>
  <c r="H16" i="125"/>
  <c r="I16" i="125"/>
  <c r="J16" i="125"/>
  <c r="K16" i="125"/>
  <c r="L16" i="125"/>
  <c r="M16" i="125"/>
  <c r="N16" i="125"/>
  <c r="O16" i="125"/>
  <c r="P16" i="125"/>
  <c r="Q16" i="125"/>
  <c r="R16" i="125"/>
  <c r="S16" i="125"/>
  <c r="T16" i="125"/>
  <c r="U16" i="125"/>
  <c r="B16" i="125"/>
  <c r="C15" i="125"/>
  <c r="D15" i="125"/>
  <c r="E15" i="125"/>
  <c r="F15" i="125"/>
  <c r="G15" i="125"/>
  <c r="H15" i="125"/>
  <c r="I15" i="125"/>
  <c r="J15" i="125"/>
  <c r="K15" i="125"/>
  <c r="L15" i="125"/>
  <c r="M15" i="125"/>
  <c r="N15" i="125"/>
  <c r="O15" i="125"/>
  <c r="P15" i="125"/>
  <c r="Q15" i="125"/>
  <c r="R15" i="125"/>
  <c r="S15" i="125"/>
  <c r="T15" i="125"/>
  <c r="U15" i="125"/>
  <c r="B15" i="125"/>
  <c r="A15" i="125"/>
  <c r="A16" i="125"/>
  <c r="A17" i="125"/>
  <c r="A18" i="125"/>
  <c r="A19" i="125"/>
  <c r="A20" i="125"/>
  <c r="D41" i="136"/>
  <c r="E41" i="136"/>
  <c r="F41" i="136"/>
  <c r="G41" i="136"/>
  <c r="H41" i="136"/>
  <c r="I41" i="136"/>
  <c r="J41" i="136"/>
  <c r="K41" i="136"/>
  <c r="L41" i="136"/>
  <c r="M41" i="136"/>
  <c r="N41" i="136"/>
  <c r="O41" i="136"/>
  <c r="C41" i="136"/>
  <c r="D4" i="136"/>
  <c r="E4" i="136"/>
  <c r="F4" i="136"/>
  <c r="G4" i="136"/>
  <c r="H4" i="136"/>
  <c r="I4" i="136"/>
  <c r="J4" i="136"/>
  <c r="K4" i="136"/>
  <c r="L4" i="136"/>
  <c r="M4" i="136"/>
  <c r="N4" i="136"/>
  <c r="O4" i="136"/>
  <c r="P28" i="136"/>
  <c r="D35" i="136"/>
  <c r="E35" i="136"/>
  <c r="F35" i="136"/>
  <c r="G35" i="136"/>
  <c r="H35" i="136"/>
  <c r="I35" i="136"/>
  <c r="J35" i="136"/>
  <c r="K35" i="136"/>
  <c r="L35" i="136"/>
  <c r="M35" i="136"/>
  <c r="N35" i="136"/>
  <c r="O35" i="136"/>
  <c r="C35" i="136"/>
  <c r="D30" i="136"/>
  <c r="E30" i="136"/>
  <c r="F30" i="136"/>
  <c r="G30" i="136"/>
  <c r="H30" i="136"/>
  <c r="I30" i="136"/>
  <c r="J30" i="136"/>
  <c r="K30" i="136"/>
  <c r="L30" i="136"/>
  <c r="M30" i="136"/>
  <c r="N30" i="136"/>
  <c r="O30" i="136"/>
  <c r="C30" i="136"/>
  <c r="D23" i="136"/>
  <c r="E23" i="136"/>
  <c r="F23" i="136"/>
  <c r="G23" i="136"/>
  <c r="H23" i="136"/>
  <c r="I23" i="136"/>
  <c r="J23" i="136"/>
  <c r="K23" i="136"/>
  <c r="L23" i="136"/>
  <c r="M23" i="136"/>
  <c r="N23" i="136"/>
  <c r="O23" i="136"/>
  <c r="C23" i="136"/>
  <c r="P26" i="136"/>
  <c r="P25" i="136"/>
  <c r="P24" i="136"/>
  <c r="P17" i="136"/>
  <c r="P18" i="136"/>
  <c r="P19" i="136"/>
  <c r="P20" i="136"/>
  <c r="P21" i="136"/>
  <c r="P16" i="136"/>
  <c r="P15" i="136"/>
  <c r="P14" i="136"/>
  <c r="P13" i="136"/>
  <c r="P12" i="136"/>
  <c r="P11" i="136"/>
  <c r="P10" i="136"/>
  <c r="P9" i="136"/>
  <c r="P8" i="136"/>
  <c r="P7" i="136"/>
  <c r="P6" i="136"/>
  <c r="P5" i="136"/>
  <c r="J26" i="145"/>
  <c r="K26" i="145" s="1"/>
  <c r="J25" i="145"/>
  <c r="K25" i="145" s="1"/>
  <c r="J24" i="145"/>
  <c r="K24" i="145" s="1"/>
  <c r="J23" i="145"/>
  <c r="K23" i="145" s="1"/>
  <c r="J22" i="145"/>
  <c r="K22" i="145" s="1"/>
  <c r="J21" i="145"/>
  <c r="K21" i="145" s="1"/>
  <c r="J20" i="145"/>
  <c r="K20" i="145" s="1"/>
  <c r="J19" i="145"/>
  <c r="K19" i="145" s="1"/>
  <c r="J18" i="145"/>
  <c r="K18" i="145" s="1"/>
  <c r="J17" i="145"/>
  <c r="K17" i="145" s="1"/>
  <c r="J16" i="145"/>
  <c r="K16" i="145" s="1"/>
  <c r="J15" i="145"/>
  <c r="K15" i="145" s="1"/>
  <c r="J14" i="145"/>
  <c r="K14" i="145" s="1"/>
  <c r="J13" i="145"/>
  <c r="K13" i="145" s="1"/>
  <c r="J12" i="145"/>
  <c r="K12" i="145" s="1"/>
  <c r="J11" i="145"/>
  <c r="K11" i="145" s="1"/>
  <c r="J10" i="145"/>
  <c r="K10" i="145" s="1"/>
  <c r="J9" i="145"/>
  <c r="K9" i="145" s="1"/>
  <c r="J8" i="145"/>
  <c r="K8" i="145" s="1"/>
  <c r="J7" i="145"/>
  <c r="K7" i="145" s="1"/>
  <c r="J6" i="145"/>
  <c r="K6" i="145" s="1"/>
  <c r="J5" i="145"/>
  <c r="K5" i="145" s="1"/>
  <c r="J4" i="145"/>
  <c r="K4" i="145" s="1"/>
  <c r="J3" i="145"/>
  <c r="K3" i="145" s="1"/>
  <c r="D292" i="144"/>
  <c r="H247" i="144"/>
  <c r="I247" i="144" s="1"/>
  <c r="H248" i="144"/>
  <c r="I248" i="144" s="1"/>
  <c r="H249" i="144"/>
  <c r="I249" i="144" s="1"/>
  <c r="H250" i="144"/>
  <c r="I250" i="144" s="1"/>
  <c r="H251" i="144"/>
  <c r="I251" i="144" s="1"/>
  <c r="H252" i="144"/>
  <c r="I252" i="144" s="1"/>
  <c r="H253" i="144"/>
  <c r="I253" i="144" s="1"/>
  <c r="H254" i="144"/>
  <c r="I254" i="144" s="1"/>
  <c r="H255" i="144"/>
  <c r="I255" i="144" s="1"/>
  <c r="H256" i="144"/>
  <c r="I256" i="144" s="1"/>
  <c r="H257" i="144"/>
  <c r="I257" i="144" s="1"/>
  <c r="H258" i="144"/>
  <c r="I258" i="144" s="1"/>
  <c r="H259" i="144"/>
  <c r="I259" i="144" s="1"/>
  <c r="H260" i="144"/>
  <c r="I260" i="144" s="1"/>
  <c r="H261" i="144"/>
  <c r="I261" i="144" s="1"/>
  <c r="H262" i="144"/>
  <c r="I262" i="144" s="1"/>
  <c r="D263" i="144"/>
  <c r="B28" i="67"/>
  <c r="B18" i="67"/>
  <c r="D237" i="144"/>
  <c r="H241" i="144"/>
  <c r="I241" i="144" s="1"/>
  <c r="H240" i="144"/>
  <c r="I240" i="144" s="1"/>
  <c r="H239" i="144"/>
  <c r="I239" i="144" s="1"/>
  <c r="H238" i="144"/>
  <c r="I238" i="144" s="1"/>
  <c r="D209" i="144"/>
  <c r="H224" i="144"/>
  <c r="I224" i="144" s="1"/>
  <c r="H223" i="144"/>
  <c r="I223" i="144" s="1"/>
  <c r="H222" i="144"/>
  <c r="I222" i="144" s="1"/>
  <c r="H221" i="144"/>
  <c r="I221" i="144" s="1"/>
  <c r="H220" i="144"/>
  <c r="I220" i="144" s="1"/>
  <c r="H219" i="144"/>
  <c r="I219" i="144" s="1"/>
  <c r="H218" i="144"/>
  <c r="I218" i="144" s="1"/>
  <c r="H217" i="144"/>
  <c r="I217" i="144" s="1"/>
  <c r="H216" i="144"/>
  <c r="I216" i="144" s="1"/>
  <c r="H215" i="144"/>
  <c r="I215" i="144" s="1"/>
  <c r="H214" i="144"/>
  <c r="I214" i="144" s="1"/>
  <c r="H213" i="144"/>
  <c r="I213" i="144" s="1"/>
  <c r="H212" i="144"/>
  <c r="I212" i="144" s="1"/>
  <c r="H211" i="144"/>
  <c r="I211" i="144" s="1"/>
  <c r="H210" i="144"/>
  <c r="I210" i="144" s="1"/>
  <c r="D170" i="144"/>
  <c r="H188" i="144"/>
  <c r="I188" i="144" s="1"/>
  <c r="H187" i="144"/>
  <c r="I187" i="144" s="1"/>
  <c r="H186" i="144"/>
  <c r="I186" i="144" s="1"/>
  <c r="H185" i="144"/>
  <c r="I185" i="144" s="1"/>
  <c r="H184" i="144"/>
  <c r="I184" i="144" s="1"/>
  <c r="H183" i="144"/>
  <c r="I183" i="144" s="1"/>
  <c r="H182" i="144"/>
  <c r="I182" i="144" s="1"/>
  <c r="H181" i="144"/>
  <c r="I181" i="144" s="1"/>
  <c r="H180" i="144"/>
  <c r="I180" i="144" s="1"/>
  <c r="H179" i="144"/>
  <c r="I179" i="144" s="1"/>
  <c r="H178" i="144"/>
  <c r="I178" i="144" s="1"/>
  <c r="H177" i="144"/>
  <c r="I177" i="144" s="1"/>
  <c r="H176" i="144"/>
  <c r="I176" i="144" s="1"/>
  <c r="H175" i="144"/>
  <c r="I175" i="144" s="1"/>
  <c r="H174" i="144"/>
  <c r="I174" i="144" s="1"/>
  <c r="H173" i="144"/>
  <c r="I173" i="144" s="1"/>
  <c r="H172" i="144"/>
  <c r="I172" i="144" s="1"/>
  <c r="H171" i="144"/>
  <c r="I171" i="144" s="1"/>
  <c r="D160" i="144"/>
  <c r="H168" i="144"/>
  <c r="I168" i="144" s="1"/>
  <c r="H167" i="144"/>
  <c r="I167" i="144" s="1"/>
  <c r="H166" i="144"/>
  <c r="I166" i="144" s="1"/>
  <c r="H165" i="144"/>
  <c r="I165" i="144" s="1"/>
  <c r="H164" i="144"/>
  <c r="I164" i="144" s="1"/>
  <c r="H163" i="144"/>
  <c r="I163" i="144" s="1"/>
  <c r="H162" i="144"/>
  <c r="I162" i="144" s="1"/>
  <c r="H161" i="144"/>
  <c r="I161" i="144" s="1"/>
  <c r="D148" i="144"/>
  <c r="H158" i="144"/>
  <c r="I158" i="144" s="1"/>
  <c r="H157" i="144"/>
  <c r="I157" i="144" s="1"/>
  <c r="H156" i="144"/>
  <c r="I156" i="144" s="1"/>
  <c r="H155" i="144"/>
  <c r="I155" i="144" s="1"/>
  <c r="H154" i="144"/>
  <c r="I154" i="144" s="1"/>
  <c r="H153" i="144"/>
  <c r="I153" i="144" s="1"/>
  <c r="H152" i="144"/>
  <c r="I152" i="144" s="1"/>
  <c r="H151" i="144"/>
  <c r="I151" i="144" s="1"/>
  <c r="H150" i="144"/>
  <c r="I150" i="144" s="1"/>
  <c r="H149" i="144"/>
  <c r="I149" i="144" s="1"/>
  <c r="G27" i="144"/>
  <c r="H27" i="144" s="1"/>
  <c r="I27" i="144" s="1"/>
  <c r="G26" i="144"/>
  <c r="H26" i="144" s="1"/>
  <c r="I26" i="144" s="1"/>
  <c r="G25" i="144"/>
  <c r="H25" i="144" s="1"/>
  <c r="I25" i="144" s="1"/>
  <c r="G24" i="144"/>
  <c r="H24" i="144" s="1"/>
  <c r="I24" i="144" s="1"/>
  <c r="G23" i="144"/>
  <c r="H23" i="144" s="1"/>
  <c r="I23" i="144" s="1"/>
  <c r="G22" i="144"/>
  <c r="H22" i="144" s="1"/>
  <c r="I22" i="144" s="1"/>
  <c r="G21" i="144"/>
  <c r="H21" i="144" s="1"/>
  <c r="I21" i="144" s="1"/>
  <c r="G20" i="144"/>
  <c r="H20" i="144" s="1"/>
  <c r="I20" i="144" s="1"/>
  <c r="D139" i="144"/>
  <c r="G142" i="144"/>
  <c r="H142" i="144" s="1"/>
  <c r="I142" i="144" s="1"/>
  <c r="G141" i="144"/>
  <c r="H141" i="144" s="1"/>
  <c r="I141" i="144" s="1"/>
  <c r="G140" i="144"/>
  <c r="H140" i="144" s="1"/>
  <c r="I140" i="144" s="1"/>
  <c r="G146" i="144"/>
  <c r="H146" i="144" s="1"/>
  <c r="I146" i="144" s="1"/>
  <c r="G145" i="144"/>
  <c r="H145" i="144" s="1"/>
  <c r="I145" i="144" s="1"/>
  <c r="G144" i="144"/>
  <c r="H144" i="144" s="1"/>
  <c r="I144" i="144" s="1"/>
  <c r="G143" i="144"/>
  <c r="H143" i="144" s="1"/>
  <c r="I143" i="144" s="1"/>
  <c r="D127" i="144"/>
  <c r="H137" i="144"/>
  <c r="I137" i="144" s="1"/>
  <c r="H136" i="144"/>
  <c r="I136" i="144" s="1"/>
  <c r="H135" i="144"/>
  <c r="I135" i="144" s="1"/>
  <c r="H134" i="144"/>
  <c r="I134" i="144" s="1"/>
  <c r="H133" i="144"/>
  <c r="I133" i="144" s="1"/>
  <c r="H132" i="144"/>
  <c r="I132" i="144" s="1"/>
  <c r="H131" i="144"/>
  <c r="I131" i="144" s="1"/>
  <c r="H130" i="144"/>
  <c r="I130" i="144" s="1"/>
  <c r="H129" i="144"/>
  <c r="I129" i="144" s="1"/>
  <c r="H128" i="144"/>
  <c r="I128" i="144" s="1"/>
  <c r="D19" i="144"/>
  <c r="H125" i="144"/>
  <c r="I125" i="144" s="1"/>
  <c r="G118" i="144"/>
  <c r="H118" i="144" s="1"/>
  <c r="I118" i="144" s="1"/>
  <c r="G117" i="144"/>
  <c r="H117" i="144" s="1"/>
  <c r="I117" i="144" s="1"/>
  <c r="G116" i="144"/>
  <c r="H116" i="144" s="1"/>
  <c r="I116" i="144" s="1"/>
  <c r="G115" i="144"/>
  <c r="H115" i="144" s="1"/>
  <c r="I115" i="144" s="1"/>
  <c r="G114" i="144"/>
  <c r="H114" i="144" s="1"/>
  <c r="I114" i="144" s="1"/>
  <c r="G113" i="144"/>
  <c r="H113" i="144" s="1"/>
  <c r="I113" i="144" s="1"/>
  <c r="G112" i="144"/>
  <c r="H112" i="144" s="1"/>
  <c r="I112" i="144" s="1"/>
  <c r="G111" i="144"/>
  <c r="H111" i="144" s="1"/>
  <c r="I111" i="144" s="1"/>
  <c r="G110" i="144"/>
  <c r="H110" i="144" s="1"/>
  <c r="I110" i="144" s="1"/>
  <c r="G109" i="144"/>
  <c r="H109" i="144" s="1"/>
  <c r="I109" i="144" s="1"/>
  <c r="G108" i="144"/>
  <c r="H108" i="144" s="1"/>
  <c r="I108" i="144" s="1"/>
  <c r="G107" i="144"/>
  <c r="H107" i="144" s="1"/>
  <c r="I107" i="144" s="1"/>
  <c r="G106" i="144"/>
  <c r="H106" i="144" s="1"/>
  <c r="I106" i="144" s="1"/>
  <c r="G105" i="144"/>
  <c r="H105" i="144" s="1"/>
  <c r="I105" i="144" s="1"/>
  <c r="G104" i="144"/>
  <c r="H104" i="144" s="1"/>
  <c r="I104" i="144" s="1"/>
  <c r="G103" i="144"/>
  <c r="H103" i="144" s="1"/>
  <c r="I103" i="144" s="1"/>
  <c r="G102" i="144"/>
  <c r="H102" i="144" s="1"/>
  <c r="I102" i="144" s="1"/>
  <c r="G101" i="144"/>
  <c r="H101" i="144" s="1"/>
  <c r="I101" i="144" s="1"/>
  <c r="G100" i="144"/>
  <c r="H100" i="144" s="1"/>
  <c r="I100" i="144" s="1"/>
  <c r="G99" i="144"/>
  <c r="H99" i="144" s="1"/>
  <c r="I99" i="144" s="1"/>
  <c r="G98" i="144"/>
  <c r="H98" i="144" s="1"/>
  <c r="I98" i="144" s="1"/>
  <c r="G97" i="144"/>
  <c r="H97" i="144" s="1"/>
  <c r="I97" i="144" s="1"/>
  <c r="G96" i="144"/>
  <c r="H96" i="144" s="1"/>
  <c r="I96" i="144" s="1"/>
  <c r="G95" i="144"/>
  <c r="H95" i="144" s="1"/>
  <c r="I95" i="144" s="1"/>
  <c r="G94" i="144"/>
  <c r="H94" i="144" s="1"/>
  <c r="I94" i="144" s="1"/>
  <c r="G93" i="144"/>
  <c r="H93" i="144" s="1"/>
  <c r="I93" i="144" s="1"/>
  <c r="G92" i="144"/>
  <c r="H92" i="144" s="1"/>
  <c r="I92" i="144" s="1"/>
  <c r="G91" i="144"/>
  <c r="H91" i="144" s="1"/>
  <c r="I91" i="144" s="1"/>
  <c r="G90" i="144"/>
  <c r="H90" i="144" s="1"/>
  <c r="I90" i="144" s="1"/>
  <c r="G89" i="144"/>
  <c r="H89" i="144" s="1"/>
  <c r="I89" i="144" s="1"/>
  <c r="G88" i="144"/>
  <c r="H88" i="144" s="1"/>
  <c r="I88" i="144" s="1"/>
  <c r="G87" i="144"/>
  <c r="H87" i="144" s="1"/>
  <c r="I87" i="144" s="1"/>
  <c r="G86" i="144"/>
  <c r="H86" i="144" s="1"/>
  <c r="I86" i="144" s="1"/>
  <c r="G85" i="144"/>
  <c r="H85" i="144" s="1"/>
  <c r="I85" i="144" s="1"/>
  <c r="G84" i="144"/>
  <c r="H84" i="144" s="1"/>
  <c r="I84" i="144" s="1"/>
  <c r="G83" i="144"/>
  <c r="H83" i="144" s="1"/>
  <c r="I83" i="144" s="1"/>
  <c r="G82" i="144"/>
  <c r="H82" i="144" s="1"/>
  <c r="I82" i="144" s="1"/>
  <c r="G81" i="144"/>
  <c r="H81" i="144" s="1"/>
  <c r="I81" i="144" s="1"/>
  <c r="G80" i="144"/>
  <c r="H80" i="144" s="1"/>
  <c r="I80" i="144" s="1"/>
  <c r="G79" i="144"/>
  <c r="H79" i="144" s="1"/>
  <c r="I79" i="144" s="1"/>
  <c r="G78" i="144"/>
  <c r="H78" i="144" s="1"/>
  <c r="I78" i="144" s="1"/>
  <c r="G77" i="144"/>
  <c r="H77" i="144" s="1"/>
  <c r="I77" i="144" s="1"/>
  <c r="G76" i="144"/>
  <c r="H76" i="144" s="1"/>
  <c r="I76" i="144" s="1"/>
  <c r="G75" i="144"/>
  <c r="H75" i="144" s="1"/>
  <c r="I75" i="144" s="1"/>
  <c r="G74" i="144"/>
  <c r="H74" i="144" s="1"/>
  <c r="I74" i="144" s="1"/>
  <c r="G73" i="144"/>
  <c r="H73" i="144" s="1"/>
  <c r="I73" i="144" s="1"/>
  <c r="G72" i="144"/>
  <c r="H72" i="144" s="1"/>
  <c r="I72" i="144" s="1"/>
  <c r="G71" i="144"/>
  <c r="H71" i="144" s="1"/>
  <c r="I71" i="144" s="1"/>
  <c r="G70" i="144"/>
  <c r="H70" i="144" s="1"/>
  <c r="I70" i="144" s="1"/>
  <c r="G69" i="144"/>
  <c r="H69" i="144" s="1"/>
  <c r="I69" i="144" s="1"/>
  <c r="G68" i="144"/>
  <c r="H68" i="144" s="1"/>
  <c r="I68" i="144" s="1"/>
  <c r="G67" i="144"/>
  <c r="H67" i="144" s="1"/>
  <c r="I67" i="144" s="1"/>
  <c r="G66" i="144"/>
  <c r="H66" i="144" s="1"/>
  <c r="I66" i="144" s="1"/>
  <c r="G65" i="144"/>
  <c r="H65" i="144" s="1"/>
  <c r="I65" i="144" s="1"/>
  <c r="G64" i="144"/>
  <c r="H64" i="144" s="1"/>
  <c r="I64" i="144" s="1"/>
  <c r="G63" i="144"/>
  <c r="H63" i="144" s="1"/>
  <c r="I63" i="144" s="1"/>
  <c r="G62" i="144"/>
  <c r="H62" i="144" s="1"/>
  <c r="I62" i="144" s="1"/>
  <c r="G61" i="144"/>
  <c r="H61" i="144" s="1"/>
  <c r="I61" i="144" s="1"/>
  <c r="G60" i="144"/>
  <c r="H60" i="144" s="1"/>
  <c r="I60" i="144" s="1"/>
  <c r="G59" i="144"/>
  <c r="H59" i="144" s="1"/>
  <c r="I59" i="144" s="1"/>
  <c r="G58" i="144"/>
  <c r="H58" i="144" s="1"/>
  <c r="I58" i="144" s="1"/>
  <c r="G57" i="144"/>
  <c r="H57" i="144" s="1"/>
  <c r="I57" i="144" s="1"/>
  <c r="G56" i="144"/>
  <c r="H56" i="144" s="1"/>
  <c r="I56" i="144" s="1"/>
  <c r="G55" i="144"/>
  <c r="H55" i="144" s="1"/>
  <c r="I55" i="144" s="1"/>
  <c r="G54" i="144"/>
  <c r="H54" i="144" s="1"/>
  <c r="I54" i="144" s="1"/>
  <c r="G53" i="144"/>
  <c r="H53" i="144" s="1"/>
  <c r="I53" i="144" s="1"/>
  <c r="G52" i="144"/>
  <c r="H52" i="144" s="1"/>
  <c r="I52" i="144" s="1"/>
  <c r="G51" i="144"/>
  <c r="H51" i="144" s="1"/>
  <c r="I51" i="144" s="1"/>
  <c r="G50" i="144"/>
  <c r="H50" i="144" s="1"/>
  <c r="I50" i="144" s="1"/>
  <c r="G49" i="144"/>
  <c r="H49" i="144" s="1"/>
  <c r="I49" i="144" s="1"/>
  <c r="G48" i="144"/>
  <c r="H48" i="144" s="1"/>
  <c r="I48" i="144" s="1"/>
  <c r="G47" i="144"/>
  <c r="H47" i="144" s="1"/>
  <c r="I47" i="144" s="1"/>
  <c r="G46" i="144"/>
  <c r="H46" i="144" s="1"/>
  <c r="I46" i="144" s="1"/>
  <c r="G45" i="144"/>
  <c r="H45" i="144" s="1"/>
  <c r="I45" i="144" s="1"/>
  <c r="G44" i="144"/>
  <c r="H44" i="144" s="1"/>
  <c r="I44" i="144" s="1"/>
  <c r="G43" i="144"/>
  <c r="H43" i="144" s="1"/>
  <c r="I43" i="144" s="1"/>
  <c r="G42" i="144"/>
  <c r="H42" i="144" s="1"/>
  <c r="I42" i="144" s="1"/>
  <c r="G41" i="144"/>
  <c r="H41" i="144" s="1"/>
  <c r="I41" i="144" s="1"/>
  <c r="G40" i="144"/>
  <c r="H40" i="144" s="1"/>
  <c r="I40" i="144" s="1"/>
  <c r="G39" i="144"/>
  <c r="H39" i="144" s="1"/>
  <c r="I39" i="144" s="1"/>
  <c r="H123" i="144"/>
  <c r="I123" i="144" s="1"/>
  <c r="H122" i="144"/>
  <c r="I122" i="144" s="1"/>
  <c r="H121" i="144"/>
  <c r="I121" i="144" s="1"/>
  <c r="H120" i="144"/>
  <c r="I120" i="144" s="1"/>
  <c r="H119" i="144"/>
  <c r="I119" i="144" s="1"/>
  <c r="H124" i="144"/>
  <c r="I124" i="144" s="1"/>
  <c r="H38" i="144"/>
  <c r="I38" i="144" s="1"/>
  <c r="H37" i="144"/>
  <c r="I37" i="144" s="1"/>
  <c r="H36" i="144"/>
  <c r="I36" i="144" s="1"/>
  <c r="H35" i="144"/>
  <c r="I35" i="144" s="1"/>
  <c r="H34" i="144"/>
  <c r="I34" i="144" s="1"/>
  <c r="H28" i="144"/>
  <c r="I28" i="144" s="1"/>
  <c r="H29" i="144"/>
  <c r="I29" i="144" s="1"/>
  <c r="H33" i="144"/>
  <c r="I33" i="144" s="1"/>
  <c r="H32" i="144"/>
  <c r="I32" i="144" s="1"/>
  <c r="H31" i="144"/>
  <c r="I31" i="144" s="1"/>
  <c r="H30" i="144"/>
  <c r="I30" i="144" s="1"/>
  <c r="H234" i="144"/>
  <c r="I234" i="144" s="1"/>
  <c r="H232" i="144"/>
  <c r="I232" i="144" s="1"/>
  <c r="H235" i="144"/>
  <c r="I235" i="144" s="1"/>
  <c r="H233" i="144"/>
  <c r="I233" i="144" s="1"/>
  <c r="H8" i="144"/>
  <c r="I8" i="144" s="1"/>
  <c r="H7" i="144"/>
  <c r="I7" i="144" s="1"/>
  <c r="H6" i="144"/>
  <c r="P32" i="136"/>
  <c r="P33" i="136"/>
  <c r="P27" i="136"/>
  <c r="P31" i="136"/>
  <c r="D59" i="117"/>
  <c r="H23" i="138"/>
  <c r="G23" i="138"/>
  <c r="F23" i="138"/>
  <c r="AC26" i="117" s="1"/>
  <c r="E23" i="138"/>
  <c r="R26" i="117" s="1"/>
  <c r="D23" i="138"/>
  <c r="K26" i="117" s="1"/>
  <c r="E18" i="138"/>
  <c r="V26" i="117" s="1"/>
  <c r="F18" i="138"/>
  <c r="AG26" i="117" s="1"/>
  <c r="G18" i="138"/>
  <c r="H18" i="138"/>
  <c r="D18" i="138"/>
  <c r="G26" i="117" s="1"/>
  <c r="J76" i="127"/>
  <c r="I76" i="127"/>
  <c r="G76" i="127"/>
  <c r="L75" i="127"/>
  <c r="L76" i="127" s="1"/>
  <c r="C75" i="127"/>
  <c r="C74" i="127"/>
  <c r="J73" i="127"/>
  <c r="I73" i="127"/>
  <c r="G73" i="127"/>
  <c r="C72" i="127"/>
  <c r="L70" i="127"/>
  <c r="C70" i="127"/>
  <c r="C69" i="127"/>
  <c r="L48" i="127"/>
  <c r="L49" i="127" s="1"/>
  <c r="C48" i="127"/>
  <c r="C46" i="127"/>
  <c r="K44" i="127"/>
  <c r="C44" i="127"/>
  <c r="L43" i="127"/>
  <c r="C43" i="127"/>
  <c r="C41" i="127"/>
  <c r="D15" i="117"/>
  <c r="O15" i="117" s="1"/>
  <c r="Z15" i="117" s="1"/>
  <c r="D12" i="138"/>
  <c r="D13" i="138" s="1"/>
  <c r="D26" i="117" s="1"/>
  <c r="E11" i="138"/>
  <c r="F11" i="138" s="1"/>
  <c r="G11" i="138" s="1"/>
  <c r="H11" i="138" s="1"/>
  <c r="L44" i="127" l="1"/>
  <c r="L45" i="127" s="1"/>
  <c r="K45" i="127"/>
  <c r="I6" i="144"/>
  <c r="I5" i="144" s="1"/>
  <c r="H5" i="144"/>
  <c r="K68" i="127"/>
  <c r="U19" i="125"/>
  <c r="AC12" i="117"/>
  <c r="AG15" i="117"/>
  <c r="AG21" i="117"/>
  <c r="Z32" i="117"/>
  <c r="Z40" i="117"/>
  <c r="O40" i="117"/>
  <c r="O32" i="117"/>
  <c r="P4" i="136"/>
  <c r="P23" i="136"/>
  <c r="Q23" i="136" s="1"/>
  <c r="P30" i="136"/>
  <c r="Q30" i="136" s="1"/>
  <c r="C3" i="116" s="1"/>
  <c r="K27" i="145"/>
  <c r="I263" i="144"/>
  <c r="I237" i="144"/>
  <c r="I209" i="144"/>
  <c r="H237" i="144"/>
  <c r="H209" i="144"/>
  <c r="I148" i="144"/>
  <c r="I160" i="144"/>
  <c r="H148" i="144"/>
  <c r="H160" i="144"/>
  <c r="I170" i="144"/>
  <c r="H170" i="144"/>
  <c r="D190" i="144"/>
  <c r="D230" i="144"/>
  <c r="D243" i="144" s="1"/>
  <c r="I139" i="144"/>
  <c r="H139" i="144"/>
  <c r="I127" i="144"/>
  <c r="H127" i="144"/>
  <c r="I19" i="144"/>
  <c r="H19" i="144"/>
  <c r="H231" i="144"/>
  <c r="L73" i="127"/>
  <c r="V22" i="117"/>
  <c r="AG22" i="117" s="1"/>
  <c r="R22" i="117"/>
  <c r="AC22" i="117" s="1"/>
  <c r="E7" i="138"/>
  <c r="F7" i="138" s="1"/>
  <c r="G7" i="138" s="1"/>
  <c r="H7" i="138" s="1"/>
  <c r="H21" i="118"/>
  <c r="K33" i="127"/>
  <c r="J33" i="127"/>
  <c r="I33" i="127"/>
  <c r="H33" i="127"/>
  <c r="G33" i="127"/>
  <c r="K84" i="127"/>
  <c r="J84" i="127"/>
  <c r="I84" i="127"/>
  <c r="H84" i="127"/>
  <c r="G84" i="127"/>
  <c r="M83" i="127"/>
  <c r="C83" i="127"/>
  <c r="L62" i="127"/>
  <c r="C62" i="127"/>
  <c r="L82" i="127"/>
  <c r="C82" i="127"/>
  <c r="L81" i="127"/>
  <c r="C81" i="127"/>
  <c r="L80" i="127"/>
  <c r="C80" i="127"/>
  <c r="L79" i="127"/>
  <c r="C79" i="127"/>
  <c r="L78" i="127"/>
  <c r="C78" i="127"/>
  <c r="C77" i="127"/>
  <c r="G68" i="127"/>
  <c r="L67" i="127"/>
  <c r="C67" i="127"/>
  <c r="L66" i="127"/>
  <c r="C66" i="127"/>
  <c r="D33" i="127"/>
  <c r="M56" i="127"/>
  <c r="J40" i="127"/>
  <c r="I40" i="127"/>
  <c r="H40" i="127"/>
  <c r="G40" i="127"/>
  <c r="K20" i="127"/>
  <c r="J20" i="127"/>
  <c r="I20" i="127"/>
  <c r="H20" i="127"/>
  <c r="G20" i="127"/>
  <c r="K8" i="127"/>
  <c r="J8" i="127"/>
  <c r="I8" i="127"/>
  <c r="H8" i="127"/>
  <c r="G8" i="127"/>
  <c r="L7" i="127"/>
  <c r="C7" i="127"/>
  <c r="L6" i="127"/>
  <c r="C6" i="127"/>
  <c r="L5" i="127"/>
  <c r="C5" i="127"/>
  <c r="H226" i="144" l="1"/>
  <c r="B24" i="116"/>
  <c r="D226" i="144"/>
  <c r="AG19" i="117"/>
  <c r="I226" i="144"/>
  <c r="V19" i="117"/>
  <c r="Q4" i="136"/>
  <c r="I231" i="144"/>
  <c r="I230" i="144" s="1"/>
  <c r="H230" i="144"/>
  <c r="H243" i="144" s="1"/>
  <c r="H190" i="144"/>
  <c r="L84" i="127"/>
  <c r="M5" i="127"/>
  <c r="M6" i="127"/>
  <c r="M7" i="127"/>
  <c r="L8" i="127"/>
  <c r="I243" i="144" l="1"/>
  <c r="B25" i="67" s="1"/>
  <c r="I190" i="144"/>
  <c r="B15" i="67"/>
  <c r="M8" i="127"/>
  <c r="G10" i="138"/>
  <c r="H10" i="138" s="1"/>
  <c r="E3" i="138"/>
  <c r="E12" i="138" l="1"/>
  <c r="E13" i="138" s="1"/>
  <c r="O26" i="117" s="1"/>
  <c r="F3" i="138"/>
  <c r="B5" i="67"/>
  <c r="D9" i="117"/>
  <c r="P42" i="136"/>
  <c r="P41" i="136" s="1"/>
  <c r="Q41" i="136" s="1"/>
  <c r="P38" i="136"/>
  <c r="P37" i="136"/>
  <c r="P36" i="136"/>
  <c r="G3" i="138" l="1"/>
  <c r="F12" i="138"/>
  <c r="F13" i="138" s="1"/>
  <c r="Z26" i="117" s="1"/>
  <c r="P35" i="136"/>
  <c r="Q35" i="136" s="1"/>
  <c r="O9" i="117"/>
  <c r="C20" i="129"/>
  <c r="D13" i="129"/>
  <c r="C14" i="129"/>
  <c r="H3" i="138" l="1"/>
  <c r="H12" i="138" s="1"/>
  <c r="H13" i="138" s="1"/>
  <c r="G12" i="138"/>
  <c r="G13" i="138" s="1"/>
  <c r="G3" i="77"/>
  <c r="L4" i="117" s="1"/>
  <c r="E29" i="129"/>
  <c r="P45" i="136"/>
  <c r="Q45" i="136"/>
  <c r="S35" i="136"/>
  <c r="Z9" i="117"/>
  <c r="C29" i="129"/>
  <c r="C10" i="127"/>
  <c r="L10" i="127"/>
  <c r="M10" i="127" s="1"/>
  <c r="L65" i="127"/>
  <c r="C65" i="127"/>
  <c r="L64" i="127"/>
  <c r="C64" i="127"/>
  <c r="L63" i="127"/>
  <c r="C63" i="127"/>
  <c r="L61" i="127"/>
  <c r="C61" i="127"/>
  <c r="C60" i="127"/>
  <c r="C59" i="127"/>
  <c r="C57" i="127"/>
  <c r="C55" i="127"/>
  <c r="C54" i="127"/>
  <c r="L52" i="127"/>
  <c r="C52" i="127"/>
  <c r="L51" i="127"/>
  <c r="C51" i="127"/>
  <c r="C50" i="127"/>
  <c r="L39" i="127"/>
  <c r="C39" i="127"/>
  <c r="L38" i="127"/>
  <c r="C38" i="127"/>
  <c r="L36" i="127"/>
  <c r="C36" i="127"/>
  <c r="L35" i="127"/>
  <c r="C35" i="127"/>
  <c r="L37" i="127"/>
  <c r="C37" i="127"/>
  <c r="C34" i="127"/>
  <c r="L32" i="127"/>
  <c r="C32" i="127"/>
  <c r="L31" i="127"/>
  <c r="C31" i="127"/>
  <c r="L30" i="127"/>
  <c r="C30" i="127"/>
  <c r="L29" i="127"/>
  <c r="C29" i="127"/>
  <c r="L28" i="127"/>
  <c r="C28" i="127"/>
  <c r="L27" i="127"/>
  <c r="C27" i="127"/>
  <c r="L26" i="127"/>
  <c r="C26" i="127"/>
  <c r="L25" i="127"/>
  <c r="C25" i="127"/>
  <c r="L24" i="127"/>
  <c r="C24" i="127"/>
  <c r="L23" i="127"/>
  <c r="C23" i="127"/>
  <c r="L22" i="127"/>
  <c r="C22" i="127"/>
  <c r="C21" i="127"/>
  <c r="L19" i="127"/>
  <c r="M19" i="127" s="1"/>
  <c r="C19" i="127"/>
  <c r="L18" i="127"/>
  <c r="M18" i="127" s="1"/>
  <c r="C18" i="127"/>
  <c r="L17" i="127"/>
  <c r="M17" i="127" s="1"/>
  <c r="C17" i="127"/>
  <c r="L16" i="127"/>
  <c r="M16" i="127" s="1"/>
  <c r="C16" i="127"/>
  <c r="L15" i="127"/>
  <c r="M15" i="127" s="1"/>
  <c r="C15" i="127"/>
  <c r="L12" i="127"/>
  <c r="M12" i="127" s="1"/>
  <c r="C12" i="127"/>
  <c r="L11" i="127"/>
  <c r="M11" i="127" s="1"/>
  <c r="C11" i="127"/>
  <c r="L14" i="127"/>
  <c r="M14" i="127" s="1"/>
  <c r="C14" i="127"/>
  <c r="L13" i="127"/>
  <c r="M13" i="127" s="1"/>
  <c r="C13" i="127"/>
  <c r="W4" i="117" l="1"/>
  <c r="AH4" i="117" s="1"/>
  <c r="AH63" i="117" s="1"/>
  <c r="AI63" i="117" s="1"/>
  <c r="W16" i="117"/>
  <c r="AH16" i="117"/>
  <c r="L16" i="117"/>
  <c r="L26" i="117"/>
  <c r="W26" i="117"/>
  <c r="L9" i="117"/>
  <c r="W9" i="117"/>
  <c r="AH9" i="117"/>
  <c r="W15" i="117"/>
  <c r="W14" i="117"/>
  <c r="L14" i="117"/>
  <c r="AH26" i="117"/>
  <c r="AH15" i="117"/>
  <c r="L15" i="117"/>
  <c r="AH14" i="117"/>
  <c r="W63" i="117"/>
  <c r="X63" i="117" s="1"/>
  <c r="L33" i="127"/>
  <c r="L60" i="127"/>
  <c r="L68" i="127" s="1"/>
  <c r="L40" i="127"/>
  <c r="O22" i="117" s="1"/>
  <c r="K40" i="127"/>
  <c r="L58" i="127"/>
  <c r="L20" i="127"/>
  <c r="G2" i="77"/>
  <c r="J3" i="77" s="1"/>
  <c r="D32" i="129"/>
  <c r="L53" i="127"/>
  <c r="K28" i="119"/>
  <c r="D55" i="117" l="1"/>
  <c r="O55" i="117" s="1"/>
  <c r="H4" i="117"/>
  <c r="Z22" i="117"/>
  <c r="M55" i="127"/>
  <c r="M58" i="127" s="1"/>
  <c r="D23" i="117" s="1"/>
  <c r="O23" i="117" s="1"/>
  <c r="M20" i="127"/>
  <c r="D10" i="117" s="1"/>
  <c r="AD16" i="117" l="1"/>
  <c r="S16" i="117"/>
  <c r="H16" i="117"/>
  <c r="O51" i="117"/>
  <c r="Z55" i="117"/>
  <c r="Z51" i="117" s="1"/>
  <c r="K160" i="144"/>
  <c r="E4" i="117"/>
  <c r="D14" i="138"/>
  <c r="F14" i="138"/>
  <c r="E14" i="138"/>
  <c r="N8" i="127"/>
  <c r="G14" i="138"/>
  <c r="H14" i="138"/>
  <c r="S4" i="117"/>
  <c r="S26" i="117"/>
  <c r="AD11" i="117"/>
  <c r="S11" i="117"/>
  <c r="H10" i="117"/>
  <c r="H11" i="117"/>
  <c r="AD26" i="117"/>
  <c r="AD14" i="117"/>
  <c r="AD10" i="117"/>
  <c r="S14" i="117"/>
  <c r="H26" i="117"/>
  <c r="H14" i="117"/>
  <c r="S15" i="117"/>
  <c r="AD9" i="117"/>
  <c r="S9" i="117"/>
  <c r="S10" i="117"/>
  <c r="H9" i="117"/>
  <c r="H12" i="117"/>
  <c r="AD15" i="117"/>
  <c r="S12" i="117"/>
  <c r="H15" i="117"/>
  <c r="AD12" i="117"/>
  <c r="Z23" i="117"/>
  <c r="O10" i="117"/>
  <c r="N58" i="127"/>
  <c r="N20" i="127"/>
  <c r="P20" i="127" s="1"/>
  <c r="AA23" i="117" l="1"/>
  <c r="AA55" i="117"/>
  <c r="E10" i="117"/>
  <c r="I10" i="117" s="1"/>
  <c r="P23" i="117"/>
  <c r="AD46" i="117"/>
  <c r="AA56" i="117"/>
  <c r="AA41" i="117"/>
  <c r="AA60" i="117"/>
  <c r="AA36" i="117"/>
  <c r="AA59" i="117"/>
  <c r="AD21" i="117"/>
  <c r="AD54" i="117"/>
  <c r="AA49" i="117"/>
  <c r="AA58" i="117"/>
  <c r="AD49" i="117"/>
  <c r="AD45" i="117"/>
  <c r="AD41" i="117"/>
  <c r="AA54" i="117"/>
  <c r="AD38" i="117"/>
  <c r="P4" i="117"/>
  <c r="AH57" i="117"/>
  <c r="AD48" i="117"/>
  <c r="AA38" i="117"/>
  <c r="AH23" i="117"/>
  <c r="AD59" i="117"/>
  <c r="AA44" i="117"/>
  <c r="AH24" i="117"/>
  <c r="AA43" i="117"/>
  <c r="AD52" i="117"/>
  <c r="AA15" i="117"/>
  <c r="P44" i="117"/>
  <c r="P49" i="117"/>
  <c r="P56" i="117"/>
  <c r="W65" i="117"/>
  <c r="W53" i="117"/>
  <c r="S47" i="117"/>
  <c r="S43" i="117"/>
  <c r="S37" i="117"/>
  <c r="S21" i="117"/>
  <c r="P60" i="117"/>
  <c r="S54" i="117"/>
  <c r="S46" i="117"/>
  <c r="S33" i="117"/>
  <c r="S44" i="117"/>
  <c r="W66" i="117"/>
  <c r="P42" i="117"/>
  <c r="W35" i="117"/>
  <c r="W58" i="117"/>
  <c r="W43" i="117"/>
  <c r="P37" i="117"/>
  <c r="S65" i="117"/>
  <c r="P35" i="117"/>
  <c r="AH62" i="117"/>
  <c r="AA57" i="117"/>
  <c r="S66" i="117"/>
  <c r="AD57" i="117"/>
  <c r="AH48" i="117"/>
  <c r="AH44" i="117"/>
  <c r="AH38" i="117"/>
  <c r="AA53" i="117"/>
  <c r="AH37" i="117"/>
  <c r="AH60" i="117"/>
  <c r="AH56" i="117"/>
  <c r="AH47" i="117"/>
  <c r="AD36" i="117"/>
  <c r="AH20" i="117"/>
  <c r="AD56" i="117"/>
  <c r="AA37" i="117"/>
  <c r="AD23" i="117"/>
  <c r="AE23" i="117" s="1"/>
  <c r="AH45" i="117"/>
  <c r="AD55" i="117"/>
  <c r="AA34" i="117"/>
  <c r="AA30" i="117"/>
  <c r="AA11" i="117"/>
  <c r="AE11" i="117" s="1"/>
  <c r="W21" i="117"/>
  <c r="P48" i="117"/>
  <c r="P43" i="117"/>
  <c r="S62" i="117"/>
  <c r="P59" i="117"/>
  <c r="S60" i="117"/>
  <c r="P52" i="117"/>
  <c r="W46" i="117"/>
  <c r="W42" i="117"/>
  <c r="P30" i="117"/>
  <c r="W20" i="117"/>
  <c r="S58" i="117"/>
  <c r="S53" i="117"/>
  <c r="AD42" i="117"/>
  <c r="AA52" i="117"/>
  <c r="AH42" i="117"/>
  <c r="AA42" i="117"/>
  <c r="AH58" i="117"/>
  <c r="AH43" i="117"/>
  <c r="AD65" i="117"/>
  <c r="AD34" i="117"/>
  <c r="AH49" i="117"/>
  <c r="AD62" i="117"/>
  <c r="AA26" i="117"/>
  <c r="S35" i="117"/>
  <c r="P45" i="117"/>
  <c r="W62" i="117"/>
  <c r="S49" i="117"/>
  <c r="S41" i="117"/>
  <c r="P11" i="117"/>
  <c r="T11" i="117" s="1"/>
  <c r="S52" i="117"/>
  <c r="W41" i="117"/>
  <c r="P38" i="117"/>
  <c r="P53" i="117"/>
  <c r="W36" i="117"/>
  <c r="W56" i="117"/>
  <c r="W34" i="117"/>
  <c r="S59" i="117"/>
  <c r="P15" i="117"/>
  <c r="E15" i="117"/>
  <c r="AD33" i="117"/>
  <c r="AH65" i="117"/>
  <c r="AD47" i="117"/>
  <c r="AD37" i="117"/>
  <c r="AH36" i="117"/>
  <c r="AH55" i="117"/>
  <c r="AH34" i="117"/>
  <c r="AH54" i="117"/>
  <c r="AD24" i="117"/>
  <c r="AD58" i="117"/>
  <c r="AA33" i="117"/>
  <c r="P34" i="117"/>
  <c r="P47" i="117"/>
  <c r="D63" i="117"/>
  <c r="W48" i="117"/>
  <c r="W38" i="117"/>
  <c r="P65" i="117"/>
  <c r="W49" i="117"/>
  <c r="W57" i="117"/>
  <c r="W33" i="117"/>
  <c r="P46" i="117"/>
  <c r="W24" i="117"/>
  <c r="W55" i="117"/>
  <c r="P33" i="117"/>
  <c r="E11" i="117"/>
  <c r="I11" i="117" s="1"/>
  <c r="AA45" i="117"/>
  <c r="AD60" i="117"/>
  <c r="AH46" i="117"/>
  <c r="AH66" i="117"/>
  <c r="AH35" i="117"/>
  <c r="AH52" i="117"/>
  <c r="AH33" i="117"/>
  <c r="AA48" i="117"/>
  <c r="AH41" i="117"/>
  <c r="AA66" i="117"/>
  <c r="P41" i="117"/>
  <c r="S34" i="117"/>
  <c r="P58" i="117"/>
  <c r="S45" i="117"/>
  <c r="S24" i="117"/>
  <c r="P57" i="117"/>
  <c r="W45" i="117"/>
  <c r="W52" i="117"/>
  <c r="P26" i="117"/>
  <c r="AH53" i="117"/>
  <c r="AD44" i="117"/>
  <c r="AD53" i="117"/>
  <c r="S57" i="117"/>
  <c r="S42" i="117"/>
  <c r="W37" i="117"/>
  <c r="S36" i="117"/>
  <c r="P66" i="117"/>
  <c r="AD43" i="117"/>
  <c r="AD66" i="117"/>
  <c r="S23" i="117"/>
  <c r="W44" i="117"/>
  <c r="W47" i="117"/>
  <c r="W60" i="117"/>
  <c r="W54" i="117"/>
  <c r="AA35" i="117"/>
  <c r="AA46" i="117"/>
  <c r="AD35" i="117"/>
  <c r="W23" i="117"/>
  <c r="P54" i="117"/>
  <c r="W59" i="117"/>
  <c r="S56" i="117"/>
  <c r="AA65" i="117"/>
  <c r="AH59" i="117"/>
  <c r="AA47" i="117"/>
  <c r="P36" i="117"/>
  <c r="S55" i="117"/>
  <c r="S38" i="117"/>
  <c r="S48" i="117"/>
  <c r="AH21" i="117"/>
  <c r="W22" i="117"/>
  <c r="S22" i="117"/>
  <c r="AD22" i="117"/>
  <c r="AH22" i="117"/>
  <c r="E9" i="117"/>
  <c r="P9" i="117"/>
  <c r="AA9" i="117"/>
  <c r="P55" i="117"/>
  <c r="P22" i="117"/>
  <c r="AD4" i="117"/>
  <c r="AD63" i="117" s="1"/>
  <c r="AE63" i="117" s="1"/>
  <c r="S63" i="117"/>
  <c r="T63" i="117" s="1"/>
  <c r="AA22" i="117"/>
  <c r="Z10" i="117"/>
  <c r="P10" i="117"/>
  <c r="E10" i="77"/>
  <c r="E64" i="117"/>
  <c r="C23" i="125"/>
  <c r="D23" i="125" s="1"/>
  <c r="E23" i="125" s="1"/>
  <c r="F23" i="125" s="1"/>
  <c r="G23" i="125" s="1"/>
  <c r="H23" i="125" s="1"/>
  <c r="I23" i="125" s="1"/>
  <c r="J23" i="125" s="1"/>
  <c r="K23" i="125" s="1"/>
  <c r="L23" i="125" s="1"/>
  <c r="M23" i="125" s="1"/>
  <c r="N23" i="125" s="1"/>
  <c r="O23" i="125" s="1"/>
  <c r="P23" i="125" s="1"/>
  <c r="Q23" i="125" s="1"/>
  <c r="R23" i="125" s="1"/>
  <c r="S23" i="125" s="1"/>
  <c r="T23" i="125" s="1"/>
  <c r="U23" i="125" s="1"/>
  <c r="B26" i="125"/>
  <c r="C27" i="125" s="1"/>
  <c r="P64" i="117" s="1"/>
  <c r="B24" i="125"/>
  <c r="B35" i="125" s="1"/>
  <c r="B11" i="125"/>
  <c r="B29" i="125" s="1"/>
  <c r="B31" i="125" s="1"/>
  <c r="R9" i="125"/>
  <c r="AE36" i="117" l="1"/>
  <c r="AI23" i="117"/>
  <c r="W19" i="117"/>
  <c r="T23" i="117"/>
  <c r="AE55" i="117"/>
  <c r="AI55" i="117"/>
  <c r="AA51" i="117"/>
  <c r="C17" i="67"/>
  <c r="C27" i="67"/>
  <c r="C7" i="67"/>
  <c r="X64" i="117"/>
  <c r="T64" i="117"/>
  <c r="AI59" i="117"/>
  <c r="AE59" i="117"/>
  <c r="AE65" i="117"/>
  <c r="X23" i="117"/>
  <c r="AE60" i="117"/>
  <c r="AE56" i="117"/>
  <c r="AI56" i="117"/>
  <c r="AI35" i="117"/>
  <c r="AI60" i="117"/>
  <c r="AI65" i="117"/>
  <c r="AI47" i="117"/>
  <c r="AE47" i="117"/>
  <c r="AI46" i="117"/>
  <c r="AE46" i="117"/>
  <c r="T22" i="117"/>
  <c r="X22" i="117"/>
  <c r="W51" i="117"/>
  <c r="AE66" i="117"/>
  <c r="AI66" i="117"/>
  <c r="AH51" i="117"/>
  <c r="W32" i="117"/>
  <c r="T34" i="117"/>
  <c r="X34" i="117"/>
  <c r="X38" i="117"/>
  <c r="T38" i="117"/>
  <c r="S40" i="117"/>
  <c r="AI42" i="117"/>
  <c r="AE42" i="117"/>
  <c r="T59" i="117"/>
  <c r="X59" i="117"/>
  <c r="S32" i="117"/>
  <c r="T44" i="117"/>
  <c r="X44" i="117"/>
  <c r="AI38" i="117"/>
  <c r="AE38" i="117"/>
  <c r="AA40" i="117"/>
  <c r="AE41" i="117"/>
  <c r="AE22" i="117"/>
  <c r="AI22" i="117"/>
  <c r="X55" i="117"/>
  <c r="T55" i="117"/>
  <c r="T9" i="117"/>
  <c r="X9" i="117"/>
  <c r="T36" i="117"/>
  <c r="X36" i="117"/>
  <c r="X58" i="117"/>
  <c r="T58" i="117"/>
  <c r="AI41" i="117"/>
  <c r="AH40" i="117"/>
  <c r="AE45" i="117"/>
  <c r="AI45" i="117"/>
  <c r="AI33" i="117"/>
  <c r="AA32" i="117"/>
  <c r="AE33" i="117"/>
  <c r="I15" i="117"/>
  <c r="M15" i="117"/>
  <c r="W40" i="117"/>
  <c r="AE26" i="117"/>
  <c r="L10" i="146" s="1"/>
  <c r="AI26" i="117"/>
  <c r="N10" i="146" s="1"/>
  <c r="AI57" i="117"/>
  <c r="T37" i="117"/>
  <c r="X37" i="117"/>
  <c r="X42" i="117"/>
  <c r="T42" i="117"/>
  <c r="AE15" i="117"/>
  <c r="AI15" i="117"/>
  <c r="AI44" i="117"/>
  <c r="AE44" i="117"/>
  <c r="AE54" i="117"/>
  <c r="AI54" i="117"/>
  <c r="AI58" i="117"/>
  <c r="AE58" i="117"/>
  <c r="AE9" i="117"/>
  <c r="AI9" i="117"/>
  <c r="M9" i="117"/>
  <c r="I9" i="117"/>
  <c r="X57" i="117"/>
  <c r="T57" i="117"/>
  <c r="AE48" i="117"/>
  <c r="AI48" i="117"/>
  <c r="T15" i="117"/>
  <c r="X15" i="117"/>
  <c r="S51" i="117"/>
  <c r="AI52" i="117"/>
  <c r="AE52" i="117"/>
  <c r="X52" i="117"/>
  <c r="T52" i="117"/>
  <c r="P51" i="117"/>
  <c r="X43" i="117"/>
  <c r="T43" i="117"/>
  <c r="T56" i="117"/>
  <c r="X56" i="117"/>
  <c r="AD51" i="117"/>
  <c r="AD40" i="117"/>
  <c r="AE49" i="117"/>
  <c r="AI49" i="117"/>
  <c r="AH19" i="117"/>
  <c r="X54" i="117"/>
  <c r="T54" i="117"/>
  <c r="AE35" i="117"/>
  <c r="X66" i="117"/>
  <c r="T66" i="117"/>
  <c r="X26" i="117"/>
  <c r="J10" i="146" s="1"/>
  <c r="T26" i="117"/>
  <c r="H10" i="146" s="1"/>
  <c r="T41" i="117"/>
  <c r="P40" i="117"/>
  <c r="X41" i="117"/>
  <c r="AH32" i="117"/>
  <c r="X33" i="117"/>
  <c r="P32" i="117"/>
  <c r="T33" i="117"/>
  <c r="X46" i="117"/>
  <c r="T46" i="117"/>
  <c r="X65" i="117"/>
  <c r="T65" i="117"/>
  <c r="X47" i="117"/>
  <c r="T47" i="117"/>
  <c r="AI36" i="117"/>
  <c r="AD32" i="117"/>
  <c r="X53" i="117"/>
  <c r="T53" i="117"/>
  <c r="T45" i="117"/>
  <c r="X45" i="117"/>
  <c r="X48" i="117"/>
  <c r="T48" i="117"/>
  <c r="AE34" i="117"/>
  <c r="AI34" i="117"/>
  <c r="AE37" i="117"/>
  <c r="AI37" i="117"/>
  <c r="AI53" i="117"/>
  <c r="AE53" i="117"/>
  <c r="AE57" i="117"/>
  <c r="T35" i="117"/>
  <c r="X35" i="117"/>
  <c r="X60" i="117"/>
  <c r="T60" i="117"/>
  <c r="X49" i="117"/>
  <c r="T49" i="117"/>
  <c r="AI43" i="117"/>
  <c r="AE43" i="117"/>
  <c r="O63" i="117"/>
  <c r="AA4" i="117"/>
  <c r="O64" i="117"/>
  <c r="T10" i="117"/>
  <c r="AA10" i="117"/>
  <c r="I64" i="117"/>
  <c r="M64" i="117"/>
  <c r="D27" i="125"/>
  <c r="AA64" i="117" s="1"/>
  <c r="U21" i="125"/>
  <c r="U37" i="125" s="1"/>
  <c r="L21" i="125"/>
  <c r="L37" i="125" s="1"/>
  <c r="H21" i="125"/>
  <c r="H37" i="125" s="1"/>
  <c r="C24" i="125"/>
  <c r="Q21" i="125"/>
  <c r="Q37" i="125" s="1"/>
  <c r="M21" i="125"/>
  <c r="M37" i="125" s="1"/>
  <c r="I21" i="125"/>
  <c r="I37" i="125" s="1"/>
  <c r="E21" i="125"/>
  <c r="E37" i="125" s="1"/>
  <c r="T21" i="125"/>
  <c r="T37" i="125" s="1"/>
  <c r="D21" i="125"/>
  <c r="D37" i="125" s="1"/>
  <c r="R21" i="125"/>
  <c r="R37" i="125" s="1"/>
  <c r="J21" i="125"/>
  <c r="J37" i="125" s="1"/>
  <c r="F21" i="125"/>
  <c r="S21" i="125"/>
  <c r="S37" i="125" s="1"/>
  <c r="O21" i="125"/>
  <c r="O37" i="125" s="1"/>
  <c r="G21" i="125"/>
  <c r="C21" i="125"/>
  <c r="C37" i="125" s="1"/>
  <c r="N21" i="125"/>
  <c r="N37" i="125" s="1"/>
  <c r="B21" i="125"/>
  <c r="B37" i="125" s="1"/>
  <c r="J9" i="125"/>
  <c r="C29" i="125"/>
  <c r="B32" i="125"/>
  <c r="B33" i="125" s="1"/>
  <c r="P21" i="125"/>
  <c r="AI64" i="117" l="1"/>
  <c r="AI62" i="117" s="1"/>
  <c r="N20" i="146" s="1"/>
  <c r="AE64" i="117"/>
  <c r="AE62" i="117" s="1"/>
  <c r="L20" i="146" s="1"/>
  <c r="AI51" i="117"/>
  <c r="N18" i="146" s="1"/>
  <c r="T62" i="117"/>
  <c r="H20" i="146" s="1"/>
  <c r="AE51" i="117"/>
  <c r="L18" i="146" s="1"/>
  <c r="T32" i="117"/>
  <c r="H14" i="146" s="1"/>
  <c r="X40" i="117"/>
  <c r="J16" i="146" s="1"/>
  <c r="Z63" i="117"/>
  <c r="Z64" i="117"/>
  <c r="T51" i="117"/>
  <c r="H18" i="146" s="1"/>
  <c r="AE40" i="117"/>
  <c r="L16" i="146" s="1"/>
  <c r="X62" i="117"/>
  <c r="J20" i="146" s="1"/>
  <c r="AI32" i="117"/>
  <c r="AI40" i="117"/>
  <c r="X51" i="117"/>
  <c r="J18" i="146" s="1"/>
  <c r="X32" i="117"/>
  <c r="J14" i="146" s="1"/>
  <c r="T40" i="117"/>
  <c r="H16" i="146" s="1"/>
  <c r="O62" i="117"/>
  <c r="P62" i="117" s="1"/>
  <c r="AE32" i="117"/>
  <c r="L14" i="146" s="1"/>
  <c r="AE10" i="117"/>
  <c r="K21" i="125"/>
  <c r="K37" i="125" s="1"/>
  <c r="E27" i="125"/>
  <c r="D29" i="125"/>
  <c r="C35" i="125"/>
  <c r="D24" i="125"/>
  <c r="G37" i="125"/>
  <c r="F37" i="125"/>
  <c r="P37" i="125"/>
  <c r="C30" i="125"/>
  <c r="C31" i="125" s="1"/>
  <c r="B36" i="125"/>
  <c r="B38" i="125" s="1"/>
  <c r="N16" i="146" l="1"/>
  <c r="N14" i="146"/>
  <c r="Z62" i="117"/>
  <c r="AA62" i="117" s="1"/>
  <c r="D35" i="125"/>
  <c r="E24" i="125"/>
  <c r="F27" i="125"/>
  <c r="E29" i="125"/>
  <c r="C32" i="125"/>
  <c r="C33" i="125" s="1"/>
  <c r="G27" i="125" l="1"/>
  <c r="F29" i="125"/>
  <c r="F24" i="125"/>
  <c r="E35" i="125"/>
  <c r="C36" i="125"/>
  <c r="C38" i="125" s="1"/>
  <c r="D30" i="125"/>
  <c r="D31" i="125" s="1"/>
  <c r="G24" i="125" l="1"/>
  <c r="F35" i="125"/>
  <c r="H27" i="125"/>
  <c r="G29" i="125"/>
  <c r="D32" i="125"/>
  <c r="D33" i="125" s="1"/>
  <c r="I27" i="125" l="1"/>
  <c r="H29" i="125"/>
  <c r="G35" i="125"/>
  <c r="H24" i="125"/>
  <c r="D36" i="125"/>
  <c r="D38" i="125" s="1"/>
  <c r="E30" i="125"/>
  <c r="E31" i="125" s="1"/>
  <c r="I24" i="125" l="1"/>
  <c r="H35" i="125"/>
  <c r="J27" i="125"/>
  <c r="I29" i="125"/>
  <c r="E32" i="125"/>
  <c r="E33" i="125" s="1"/>
  <c r="J24" i="125" l="1"/>
  <c r="I35" i="125"/>
  <c r="K27" i="125"/>
  <c r="J29" i="125"/>
  <c r="F30" i="125"/>
  <c r="F31" i="125" s="1"/>
  <c r="E36" i="125"/>
  <c r="E38" i="125" s="1"/>
  <c r="K29" i="125" l="1"/>
  <c r="L27" i="125"/>
  <c r="K24" i="125"/>
  <c r="J35" i="125"/>
  <c r="F32" i="125"/>
  <c r="F33" i="125" s="1"/>
  <c r="L29" i="125" l="1"/>
  <c r="M27" i="125"/>
  <c r="K35" i="125"/>
  <c r="L24" i="125"/>
  <c r="G30" i="125"/>
  <c r="G31" i="125" s="1"/>
  <c r="F36" i="125"/>
  <c r="F38" i="125" s="1"/>
  <c r="L35" i="125" l="1"/>
  <c r="M24" i="125"/>
  <c r="N27" i="125"/>
  <c r="M29" i="125"/>
  <c r="G32" i="125"/>
  <c r="G33" i="125" s="1"/>
  <c r="O27" i="125" l="1"/>
  <c r="N29" i="125"/>
  <c r="N24" i="125"/>
  <c r="M35" i="125"/>
  <c r="G36" i="125"/>
  <c r="G38" i="125" s="1"/>
  <c r="H30" i="125"/>
  <c r="H31" i="125" s="1"/>
  <c r="N35" i="125" l="1"/>
  <c r="O24" i="125"/>
  <c r="P27" i="125"/>
  <c r="O29" i="125"/>
  <c r="H32" i="125"/>
  <c r="H33" i="125" s="1"/>
  <c r="Q27" i="125" l="1"/>
  <c r="P29" i="125"/>
  <c r="P24" i="125"/>
  <c r="O35" i="125"/>
  <c r="I30" i="125"/>
  <c r="I31" i="125" s="1"/>
  <c r="H36" i="125"/>
  <c r="H38" i="125" s="1"/>
  <c r="P35" i="125" l="1"/>
  <c r="Q24" i="125"/>
  <c r="R27" i="125"/>
  <c r="Q29" i="125"/>
  <c r="I32" i="125"/>
  <c r="I33" i="125" s="1"/>
  <c r="R29" i="125" l="1"/>
  <c r="S27" i="125"/>
  <c r="Q35" i="125"/>
  <c r="R24" i="125"/>
  <c r="I36" i="125"/>
  <c r="I38" i="125" s="1"/>
  <c r="J30" i="125"/>
  <c r="J31" i="125" s="1"/>
  <c r="S24" i="125" l="1"/>
  <c r="R35" i="125"/>
  <c r="S29" i="125"/>
  <c r="T27" i="125"/>
  <c r="J32" i="125"/>
  <c r="J33" i="125" s="1"/>
  <c r="U27" i="125" l="1"/>
  <c r="U29" i="125" s="1"/>
  <c r="T29" i="125"/>
  <c r="S35" i="125"/>
  <c r="T24" i="125"/>
  <c r="K30" i="125"/>
  <c r="K31" i="125" s="1"/>
  <c r="J36" i="125"/>
  <c r="J38" i="125" s="1"/>
  <c r="T35" i="125" l="1"/>
  <c r="U24" i="125"/>
  <c r="U35" i="125" s="1"/>
  <c r="K32" i="125"/>
  <c r="K33" i="125" s="1"/>
  <c r="K36" i="125" l="1"/>
  <c r="K38" i="125" s="1"/>
  <c r="L30" i="125"/>
  <c r="L31" i="125" s="1"/>
  <c r="L32" i="125" l="1"/>
  <c r="L33" i="125" s="1"/>
  <c r="L36" i="125" l="1"/>
  <c r="L38" i="125" s="1"/>
  <c r="M30" i="125"/>
  <c r="M31" i="125" s="1"/>
  <c r="M32" i="125" l="1"/>
  <c r="M33" i="125" s="1"/>
  <c r="N30" i="125" l="1"/>
  <c r="N31" i="125" s="1"/>
  <c r="M36" i="125"/>
  <c r="M38" i="125" s="1"/>
  <c r="N32" i="125" l="1"/>
  <c r="N33" i="125" s="1"/>
  <c r="O30" i="125" l="1"/>
  <c r="O31" i="125" s="1"/>
  <c r="N36" i="125"/>
  <c r="N38" i="125" s="1"/>
  <c r="O32" i="125" l="1"/>
  <c r="O33" i="125" s="1"/>
  <c r="O36" i="125" l="1"/>
  <c r="O38" i="125" s="1"/>
  <c r="P30" i="125"/>
  <c r="P31" i="125" s="1"/>
  <c r="P32" i="125" l="1"/>
  <c r="P33" i="125" s="1"/>
  <c r="Q30" i="125" l="1"/>
  <c r="Q31" i="125" s="1"/>
  <c r="P36" i="125"/>
  <c r="P38" i="125" s="1"/>
  <c r="Q32" i="125" l="1"/>
  <c r="Q33" i="125" s="1"/>
  <c r="Q36" i="125" l="1"/>
  <c r="Q38" i="125" s="1"/>
  <c r="R30" i="125"/>
  <c r="R31" i="125" s="1"/>
  <c r="R32" i="125" l="1"/>
  <c r="R33" i="125" s="1"/>
  <c r="S30" i="125" l="1"/>
  <c r="S31" i="125" s="1"/>
  <c r="R36" i="125"/>
  <c r="R38" i="125" s="1"/>
  <c r="S32" i="125" l="1"/>
  <c r="S33" i="125" s="1"/>
  <c r="S36" i="125" l="1"/>
  <c r="S38" i="125" s="1"/>
  <c r="T30" i="125"/>
  <c r="T31" i="125" s="1"/>
  <c r="T32" i="125" l="1"/>
  <c r="T33" i="125" s="1"/>
  <c r="U30" i="125" l="1"/>
  <c r="U31" i="125" s="1"/>
  <c r="T36" i="125"/>
  <c r="T38" i="125" s="1"/>
  <c r="U32" i="125" l="1"/>
  <c r="U33" i="125" s="1"/>
  <c r="U36" i="125" s="1"/>
  <c r="U38" i="125" s="1"/>
  <c r="B40" i="125" s="1"/>
  <c r="R20" i="117" l="1"/>
  <c r="AC20" i="117" l="1"/>
  <c r="S20" i="117"/>
  <c r="S19" i="117" s="1"/>
  <c r="R19" i="117"/>
  <c r="AE28" i="119"/>
  <c r="AD28" i="119"/>
  <c r="AC28" i="119"/>
  <c r="W28" i="119"/>
  <c r="V28" i="119"/>
  <c r="AB28" i="119"/>
  <c r="AA28" i="119"/>
  <c r="Z28" i="119"/>
  <c r="Y28" i="119"/>
  <c r="X28" i="119"/>
  <c r="U28" i="119"/>
  <c r="T28" i="119"/>
  <c r="S28" i="119"/>
  <c r="R28" i="119"/>
  <c r="Q28" i="119"/>
  <c r="P28" i="119"/>
  <c r="O28" i="119"/>
  <c r="N28" i="119"/>
  <c r="M28" i="119"/>
  <c r="L28" i="119"/>
  <c r="J28" i="119"/>
  <c r="I28" i="119"/>
  <c r="H28" i="119"/>
  <c r="G28" i="119"/>
  <c r="F28" i="119"/>
  <c r="E28" i="119"/>
  <c r="D28" i="119"/>
  <c r="H20" i="118"/>
  <c r="H18" i="118"/>
  <c r="I10" i="118"/>
  <c r="G10" i="118"/>
  <c r="H10" i="118" s="1"/>
  <c r="J10" i="118" s="1"/>
  <c r="I9" i="118"/>
  <c r="G9" i="118"/>
  <c r="H9" i="118" s="1"/>
  <c r="J9" i="118" s="1"/>
  <c r="I8" i="118"/>
  <c r="G8" i="118"/>
  <c r="H8" i="118" s="1"/>
  <c r="J8" i="118" s="1"/>
  <c r="I7" i="118"/>
  <c r="G7" i="118"/>
  <c r="H7" i="118" s="1"/>
  <c r="J7" i="118" s="1"/>
  <c r="I6" i="118"/>
  <c r="G6" i="118"/>
  <c r="H6" i="118" s="1"/>
  <c r="J6" i="118" s="1"/>
  <c r="I5" i="118"/>
  <c r="G5" i="118"/>
  <c r="H5" i="118" s="1"/>
  <c r="J5" i="118" s="1"/>
  <c r="I4" i="118"/>
  <c r="G4" i="118"/>
  <c r="H4" i="118" s="1"/>
  <c r="I3" i="118"/>
  <c r="G3" i="118"/>
  <c r="H3" i="118" s="1"/>
  <c r="J3" i="118" s="1"/>
  <c r="D56" i="117"/>
  <c r="C13" i="116"/>
  <c r="C7" i="116"/>
  <c r="C8" i="116" s="1"/>
  <c r="D9" i="116" s="1"/>
  <c r="G7" i="116"/>
  <c r="G10" i="77"/>
  <c r="C18" i="67" l="1"/>
  <c r="D18" i="67" s="1"/>
  <c r="C28" i="67"/>
  <c r="D28" i="67" s="1"/>
  <c r="C8" i="67"/>
  <c r="AD20" i="117"/>
  <c r="AD19" i="117" s="1"/>
  <c r="AC19" i="117"/>
  <c r="G22" i="118"/>
  <c r="D32" i="117"/>
  <c r="J4" i="118"/>
  <c r="J11" i="118" s="1"/>
  <c r="H11" i="118"/>
  <c r="H19" i="118"/>
  <c r="H22" i="118" s="1"/>
  <c r="D24" i="117" s="1"/>
  <c r="O24" i="117" s="1"/>
  <c r="G32" i="117"/>
  <c r="C10" i="116"/>
  <c r="Z24" i="117" l="1"/>
  <c r="AA24" i="117" s="1"/>
  <c r="P24" i="117"/>
  <c r="J13" i="118"/>
  <c r="J12" i="118"/>
  <c r="K32" i="117"/>
  <c r="X24" i="117" l="1"/>
  <c r="T24" i="117"/>
  <c r="AI24" i="117"/>
  <c r="AE24" i="117"/>
  <c r="J14" i="118"/>
  <c r="D21" i="117" s="1"/>
  <c r="O21" i="117" s="1"/>
  <c r="Z21" i="117" l="1"/>
  <c r="P21" i="117"/>
  <c r="E22" i="117"/>
  <c r="H22" i="117"/>
  <c r="L22" i="117"/>
  <c r="L35" i="117"/>
  <c r="E37" i="117"/>
  <c r="E38" i="117"/>
  <c r="E58" i="117"/>
  <c r="E41" i="117"/>
  <c r="L21" i="117"/>
  <c r="H56" i="117"/>
  <c r="H37" i="117"/>
  <c r="H57" i="117"/>
  <c r="L45" i="117"/>
  <c r="D64" i="117"/>
  <c r="H24" i="117"/>
  <c r="E45" i="117"/>
  <c r="H45" i="117"/>
  <c r="E49" i="117"/>
  <c r="H35" i="117"/>
  <c r="L48" i="117"/>
  <c r="L41" i="117"/>
  <c r="L34" i="117"/>
  <c r="H60" i="117"/>
  <c r="H47" i="117"/>
  <c r="E57" i="117"/>
  <c r="E43" i="117"/>
  <c r="L60" i="117"/>
  <c r="L53" i="117"/>
  <c r="H46" i="117"/>
  <c r="H49" i="117"/>
  <c r="E48" i="117"/>
  <c r="L36" i="117"/>
  <c r="L58" i="117"/>
  <c r="E65" i="117"/>
  <c r="H48" i="117"/>
  <c r="E34" i="117"/>
  <c r="H65" i="117"/>
  <c r="L49" i="117"/>
  <c r="H38" i="117"/>
  <c r="H33" i="117"/>
  <c r="E35" i="117"/>
  <c r="H58" i="117"/>
  <c r="H52" i="117"/>
  <c r="E54" i="117"/>
  <c r="H43" i="117"/>
  <c r="H42" i="117"/>
  <c r="E42" i="117"/>
  <c r="L43" i="117"/>
  <c r="L24" i="117"/>
  <c r="L56" i="117"/>
  <c r="H34" i="117"/>
  <c r="E24" i="117"/>
  <c r="H53" i="117"/>
  <c r="E21" i="117"/>
  <c r="L65" i="117"/>
  <c r="H66" i="117"/>
  <c r="H36" i="117"/>
  <c r="E53" i="117"/>
  <c r="E46" i="117"/>
  <c r="L54" i="117"/>
  <c r="H41" i="117"/>
  <c r="L42" i="117"/>
  <c r="E66" i="117"/>
  <c r="L33" i="117"/>
  <c r="E36" i="117"/>
  <c r="E60" i="117"/>
  <c r="L47" i="117"/>
  <c r="E47" i="117"/>
  <c r="L52" i="117"/>
  <c r="L46" i="117"/>
  <c r="L57" i="117"/>
  <c r="E56" i="117"/>
  <c r="L66" i="117"/>
  <c r="E33" i="117"/>
  <c r="E52" i="117"/>
  <c r="H54" i="117"/>
  <c r="H21" i="117"/>
  <c r="L37" i="117"/>
  <c r="L38" i="117"/>
  <c r="M35" i="117" l="1"/>
  <c r="X21" i="117"/>
  <c r="T21" i="117"/>
  <c r="M66" i="117"/>
  <c r="M48" i="117"/>
  <c r="M33" i="117"/>
  <c r="AA21" i="117"/>
  <c r="I46" i="117"/>
  <c r="M46" i="117"/>
  <c r="I42" i="117"/>
  <c r="M42" i="117"/>
  <c r="I56" i="117"/>
  <c r="M56" i="117"/>
  <c r="I47" i="117"/>
  <c r="M47" i="117"/>
  <c r="I24" i="117"/>
  <c r="M24" i="117"/>
  <c r="M54" i="117"/>
  <c r="I34" i="117"/>
  <c r="M34" i="117"/>
  <c r="I45" i="117"/>
  <c r="M45" i="117"/>
  <c r="I41" i="117"/>
  <c r="M41" i="117"/>
  <c r="I53" i="117"/>
  <c r="M53" i="117"/>
  <c r="I21" i="117"/>
  <c r="M21" i="117"/>
  <c r="I65" i="117"/>
  <c r="M65" i="117"/>
  <c r="I43" i="117"/>
  <c r="M43" i="117"/>
  <c r="M49" i="117"/>
  <c r="M38" i="117"/>
  <c r="I52" i="117"/>
  <c r="M52" i="117"/>
  <c r="I58" i="117"/>
  <c r="M58" i="117"/>
  <c r="M60" i="117"/>
  <c r="I36" i="117"/>
  <c r="M36" i="117"/>
  <c r="M57" i="117"/>
  <c r="M37" i="117"/>
  <c r="M22" i="117"/>
  <c r="I54" i="117"/>
  <c r="I66" i="117"/>
  <c r="I48" i="117"/>
  <c r="I33" i="117"/>
  <c r="I60" i="117"/>
  <c r="I49" i="117"/>
  <c r="I38" i="117"/>
  <c r="I35" i="117"/>
  <c r="I57" i="117"/>
  <c r="I37" i="117"/>
  <c r="I22" i="117"/>
  <c r="H32" i="117"/>
  <c r="K11" i="117"/>
  <c r="H63" i="117"/>
  <c r="I63" i="117" s="1"/>
  <c r="L32" i="117"/>
  <c r="E32" i="117"/>
  <c r="C5" i="116"/>
  <c r="D7" i="116" s="1"/>
  <c r="M32" i="117" l="1"/>
  <c r="F14" i="146" s="1"/>
  <c r="L11" i="117"/>
  <c r="M11" i="117" s="1"/>
  <c r="V11" i="117"/>
  <c r="AE21" i="117"/>
  <c r="AI21" i="117"/>
  <c r="I32" i="117"/>
  <c r="D14" i="146" s="1"/>
  <c r="C11" i="116"/>
  <c r="L63" i="117"/>
  <c r="M63" i="117" s="1"/>
  <c r="K6" i="119"/>
  <c r="AG11" i="117" l="1"/>
  <c r="AH11" i="117" s="1"/>
  <c r="AI11" i="117" s="1"/>
  <c r="W11" i="117"/>
  <c r="X11" i="117" s="1"/>
  <c r="K18" i="119"/>
  <c r="K15" i="119"/>
  <c r="B8" i="67"/>
  <c r="E6" i="119"/>
  <c r="I6" i="119"/>
  <c r="Y6" i="119"/>
  <c r="V6" i="119"/>
  <c r="AD6" i="119"/>
  <c r="H6" i="119"/>
  <c r="N6" i="119"/>
  <c r="X6" i="119"/>
  <c r="G6" i="119"/>
  <c r="M6" i="119"/>
  <c r="O6" i="119"/>
  <c r="R6" i="119"/>
  <c r="AA6" i="119"/>
  <c r="AC6" i="119"/>
  <c r="F6" i="119"/>
  <c r="J6" i="119"/>
  <c r="L6" i="119"/>
  <c r="Z6" i="119"/>
  <c r="W6" i="119"/>
  <c r="D6" i="119"/>
  <c r="D18" i="119" l="1"/>
  <c r="D15" i="119"/>
  <c r="L15" i="119"/>
  <c r="L18" i="119"/>
  <c r="AA18" i="119"/>
  <c r="AA15" i="119"/>
  <c r="M15" i="119"/>
  <c r="M18" i="119"/>
  <c r="H18" i="119"/>
  <c r="H15" i="119"/>
  <c r="E18" i="119"/>
  <c r="E15" i="119"/>
  <c r="AC18" i="119"/>
  <c r="AC15" i="119"/>
  <c r="O18" i="119"/>
  <c r="O15" i="119"/>
  <c r="Y15" i="119"/>
  <c r="Y18" i="119"/>
  <c r="I18" i="119"/>
  <c r="I15" i="119"/>
  <c r="Z18" i="119"/>
  <c r="Z15" i="119"/>
  <c r="F15" i="119"/>
  <c r="F18" i="119"/>
  <c r="R18" i="119"/>
  <c r="R15" i="119"/>
  <c r="G18" i="119"/>
  <c r="G15" i="119"/>
  <c r="N18" i="119"/>
  <c r="N15" i="119"/>
  <c r="V15" i="119"/>
  <c r="V18" i="119"/>
  <c r="W18" i="119"/>
  <c r="W15" i="119"/>
  <c r="J18" i="119"/>
  <c r="J15" i="119"/>
  <c r="X18" i="119"/>
  <c r="X15" i="119"/>
  <c r="AD18" i="119"/>
  <c r="AD15" i="119"/>
  <c r="D8" i="67" l="1"/>
  <c r="E26" i="117" l="1"/>
  <c r="K7" i="119"/>
  <c r="K8" i="119" s="1"/>
  <c r="I26" i="117" l="1"/>
  <c r="D10" i="146" s="1"/>
  <c r="M26" i="117"/>
  <c r="F10" i="146" s="1"/>
  <c r="K21" i="119"/>
  <c r="K22" i="119"/>
  <c r="K12" i="119"/>
  <c r="AB6" i="119"/>
  <c r="U6" i="119"/>
  <c r="T6" i="119"/>
  <c r="P6" i="119"/>
  <c r="S6" i="119"/>
  <c r="Q6" i="119"/>
  <c r="AE6" i="119"/>
  <c r="G7" i="119"/>
  <c r="G8" i="119" s="1"/>
  <c r="M7" i="119"/>
  <c r="M8" i="119" s="1"/>
  <c r="O7" i="119"/>
  <c r="O8" i="119" s="1"/>
  <c r="R7" i="119"/>
  <c r="R8" i="119" s="1"/>
  <c r="AA7" i="119"/>
  <c r="AA8" i="119" s="1"/>
  <c r="AC7" i="119"/>
  <c r="AC8" i="119" s="1"/>
  <c r="F7" i="119"/>
  <c r="F8" i="119" s="1"/>
  <c r="J7" i="119"/>
  <c r="J8" i="119" s="1"/>
  <c r="L7" i="119"/>
  <c r="L8" i="119" s="1"/>
  <c r="Z7" i="119"/>
  <c r="Z8" i="119" s="1"/>
  <c r="W7" i="119"/>
  <c r="W8" i="119" s="1"/>
  <c r="D7" i="119"/>
  <c r="D8" i="119" s="1"/>
  <c r="E7" i="119"/>
  <c r="E8" i="119" s="1"/>
  <c r="I7" i="119"/>
  <c r="I8" i="119" s="1"/>
  <c r="Y7" i="119"/>
  <c r="Y8" i="119" s="1"/>
  <c r="V7" i="119"/>
  <c r="V8" i="119" s="1"/>
  <c r="AD7" i="119"/>
  <c r="AD8" i="119" s="1"/>
  <c r="H7" i="119"/>
  <c r="H8" i="119" s="1"/>
  <c r="N7" i="119"/>
  <c r="N8" i="119" s="1"/>
  <c r="X7" i="119"/>
  <c r="X8" i="119" s="1"/>
  <c r="U7" i="119"/>
  <c r="AB7" i="119"/>
  <c r="Q7" i="119"/>
  <c r="AE7" i="119"/>
  <c r="T7" i="119"/>
  <c r="P7" i="119"/>
  <c r="S7" i="119"/>
  <c r="K24" i="119" l="1"/>
  <c r="K14" i="119"/>
  <c r="K16" i="119" s="1"/>
  <c r="K17" i="119"/>
  <c r="K19" i="119" s="1"/>
  <c r="H21" i="119"/>
  <c r="H22" i="119"/>
  <c r="H12" i="119"/>
  <c r="E12" i="119"/>
  <c r="E21" i="119"/>
  <c r="E22" i="119"/>
  <c r="AC22" i="119"/>
  <c r="AC12" i="119"/>
  <c r="AC21" i="119"/>
  <c r="O21" i="119"/>
  <c r="O12" i="119"/>
  <c r="O22" i="119"/>
  <c r="AE18" i="119"/>
  <c r="AE15" i="119"/>
  <c r="AE8" i="119"/>
  <c r="P18" i="119"/>
  <c r="P15" i="119"/>
  <c r="P8" i="119"/>
  <c r="AB15" i="119"/>
  <c r="AB18" i="119"/>
  <c r="AB8" i="119"/>
  <c r="Y21" i="119"/>
  <c r="Y12" i="119"/>
  <c r="Y22" i="119"/>
  <c r="I12" i="119"/>
  <c r="I21" i="119"/>
  <c r="I22" i="119"/>
  <c r="Z12" i="119"/>
  <c r="Z21" i="119"/>
  <c r="Z22" i="119"/>
  <c r="F12" i="119"/>
  <c r="F21" i="119"/>
  <c r="F22" i="119"/>
  <c r="R12" i="119"/>
  <c r="R21" i="119"/>
  <c r="R22" i="119"/>
  <c r="G22" i="119"/>
  <c r="G12" i="119"/>
  <c r="G21" i="119"/>
  <c r="S15" i="119"/>
  <c r="S8" i="119"/>
  <c r="S18" i="119"/>
  <c r="U18" i="119"/>
  <c r="U15" i="119"/>
  <c r="U8" i="119"/>
  <c r="N12" i="119"/>
  <c r="N21" i="119"/>
  <c r="N22" i="119"/>
  <c r="V22" i="119"/>
  <c r="V21" i="119"/>
  <c r="V12" i="119"/>
  <c r="W21" i="119"/>
  <c r="W22" i="119"/>
  <c r="W12" i="119"/>
  <c r="J22" i="119"/>
  <c r="J12" i="119"/>
  <c r="J21" i="119"/>
  <c r="T15" i="119"/>
  <c r="T8" i="119"/>
  <c r="T18" i="119"/>
  <c r="X22" i="119"/>
  <c r="X12" i="119"/>
  <c r="X21" i="119"/>
  <c r="AD21" i="119"/>
  <c r="AD22" i="119"/>
  <c r="AD12" i="119"/>
  <c r="D12" i="119"/>
  <c r="D21" i="119"/>
  <c r="D22" i="119"/>
  <c r="L22" i="119"/>
  <c r="L12" i="119"/>
  <c r="L21" i="119"/>
  <c r="AA12" i="119"/>
  <c r="AA21" i="119"/>
  <c r="AA22" i="119"/>
  <c r="M12" i="119"/>
  <c r="M22" i="119"/>
  <c r="M21" i="119"/>
  <c r="Q18" i="119"/>
  <c r="Q8" i="119"/>
  <c r="Q15" i="119"/>
  <c r="K31" i="119" l="1"/>
  <c r="I24" i="119"/>
  <c r="Y24" i="119"/>
  <c r="N24" i="119"/>
  <c r="R24" i="119"/>
  <c r="E24" i="119"/>
  <c r="W24" i="119"/>
  <c r="V24" i="119"/>
  <c r="X24" i="119"/>
  <c r="G24" i="119"/>
  <c r="AC24" i="119"/>
  <c r="L24" i="119"/>
  <c r="D24" i="119"/>
  <c r="AD24" i="119"/>
  <c r="F24" i="119"/>
  <c r="L17" i="119"/>
  <c r="L19" i="119" s="1"/>
  <c r="L14" i="119"/>
  <c r="L16" i="119" s="1"/>
  <c r="D14" i="119"/>
  <c r="D16" i="119" s="1"/>
  <c r="D17" i="119"/>
  <c r="D19" i="119" s="1"/>
  <c r="AD14" i="119"/>
  <c r="AD16" i="119" s="1"/>
  <c r="AD17" i="119"/>
  <c r="AD19" i="119" s="1"/>
  <c r="X14" i="119"/>
  <c r="X16" i="119" s="1"/>
  <c r="X17" i="119"/>
  <c r="X19" i="119" s="1"/>
  <c r="N14" i="119"/>
  <c r="N16" i="119" s="1"/>
  <c r="N17" i="119"/>
  <c r="N19" i="119" s="1"/>
  <c r="G17" i="119"/>
  <c r="G19" i="119" s="1"/>
  <c r="G14" i="119"/>
  <c r="G16" i="119" s="1"/>
  <c r="R14" i="119"/>
  <c r="R16" i="119" s="1"/>
  <c r="R17" i="119"/>
  <c r="R19" i="119" s="1"/>
  <c r="AC14" i="119"/>
  <c r="AC16" i="119" s="1"/>
  <c r="AC17" i="119"/>
  <c r="AC19" i="119" s="1"/>
  <c r="Q12" i="119"/>
  <c r="Q22" i="119"/>
  <c r="Q21" i="119"/>
  <c r="M14" i="119"/>
  <c r="M16" i="119" s="1"/>
  <c r="M17" i="119"/>
  <c r="M19" i="119" s="1"/>
  <c r="T22" i="119"/>
  <c r="T21" i="119"/>
  <c r="T12" i="119"/>
  <c r="J14" i="119"/>
  <c r="J16" i="119" s="1"/>
  <c r="J17" i="119"/>
  <c r="J19" i="119" s="1"/>
  <c r="V14" i="119"/>
  <c r="V16" i="119" s="1"/>
  <c r="V17" i="119"/>
  <c r="V19" i="119" s="1"/>
  <c r="F17" i="119"/>
  <c r="F19" i="119" s="1"/>
  <c r="F14" i="119"/>
  <c r="F16" i="119" s="1"/>
  <c r="Y14" i="119"/>
  <c r="Y16" i="119" s="1"/>
  <c r="Y17" i="119"/>
  <c r="Y19" i="119" s="1"/>
  <c r="AB22" i="119"/>
  <c r="AB12" i="119"/>
  <c r="AB21" i="119"/>
  <c r="E14" i="119"/>
  <c r="E16" i="119" s="1"/>
  <c r="E17" i="119"/>
  <c r="E19" i="119" s="1"/>
  <c r="H14" i="119"/>
  <c r="H16" i="119" s="1"/>
  <c r="H17" i="119"/>
  <c r="H19" i="119" s="1"/>
  <c r="AA17" i="119"/>
  <c r="AA19" i="119" s="1"/>
  <c r="AA14" i="119"/>
  <c r="AA16" i="119" s="1"/>
  <c r="Z14" i="119"/>
  <c r="Z16" i="119" s="1"/>
  <c r="Z17" i="119"/>
  <c r="Z19" i="119" s="1"/>
  <c r="P12" i="119"/>
  <c r="P21" i="119"/>
  <c r="P22" i="119"/>
  <c r="W14" i="119"/>
  <c r="W16" i="119" s="1"/>
  <c r="W17" i="119"/>
  <c r="W19" i="119" s="1"/>
  <c r="U21" i="119"/>
  <c r="U22" i="119"/>
  <c r="U12" i="119"/>
  <c r="S12" i="119"/>
  <c r="S21" i="119"/>
  <c r="S22" i="119"/>
  <c r="I14" i="119"/>
  <c r="I16" i="119" s="1"/>
  <c r="I17" i="119"/>
  <c r="I19" i="119" s="1"/>
  <c r="AE22" i="119"/>
  <c r="AE12" i="119"/>
  <c r="AE21" i="119"/>
  <c r="O17" i="119"/>
  <c r="O19" i="119" s="1"/>
  <c r="O14" i="119"/>
  <c r="O16" i="119" s="1"/>
  <c r="J24" i="119"/>
  <c r="O24" i="119"/>
  <c r="M24" i="119"/>
  <c r="AA24" i="119"/>
  <c r="Z24" i="119"/>
  <c r="H24" i="119"/>
  <c r="V31" i="119" l="1"/>
  <c r="AD31" i="119"/>
  <c r="AD33" i="119" s="1"/>
  <c r="AD34" i="119" s="1"/>
  <c r="F61" i="127" s="1"/>
  <c r="E61" i="127" s="1"/>
  <c r="K33" i="119"/>
  <c r="K34" i="119" s="1"/>
  <c r="K30" i="119"/>
  <c r="I31" i="119"/>
  <c r="I33" i="119" s="1"/>
  <c r="I34" i="119" s="1"/>
  <c r="R31" i="119"/>
  <c r="R30" i="119" s="1"/>
  <c r="Y31" i="119"/>
  <c r="Y33" i="119" s="1"/>
  <c r="Y34" i="119" s="1"/>
  <c r="F79" i="127" s="1"/>
  <c r="AC31" i="119"/>
  <c r="AC30" i="119" s="1"/>
  <c r="X31" i="119"/>
  <c r="X33" i="119" s="1"/>
  <c r="X34" i="119" s="1"/>
  <c r="F78" i="127" s="1"/>
  <c r="D31" i="119"/>
  <c r="D30" i="119" s="1"/>
  <c r="N31" i="119"/>
  <c r="N30" i="119" s="1"/>
  <c r="E31" i="119"/>
  <c r="E30" i="119" s="1"/>
  <c r="L31" i="119"/>
  <c r="L30" i="119" s="1"/>
  <c r="O31" i="119"/>
  <c r="O33" i="119" s="1"/>
  <c r="O34" i="119" s="1"/>
  <c r="W31" i="119"/>
  <c r="W30" i="119" s="1"/>
  <c r="G31" i="119"/>
  <c r="G33" i="119" s="1"/>
  <c r="G34" i="119" s="1"/>
  <c r="AB24" i="119"/>
  <c r="J31" i="119"/>
  <c r="J33" i="119" s="1"/>
  <c r="J34" i="119" s="1"/>
  <c r="S24" i="119"/>
  <c r="U24" i="119"/>
  <c r="AA31" i="119"/>
  <c r="AA30" i="119" s="1"/>
  <c r="F31" i="119"/>
  <c r="F30" i="119" s="1"/>
  <c r="T24" i="119"/>
  <c r="M31" i="119"/>
  <c r="M33" i="119" s="1"/>
  <c r="M34" i="119" s="1"/>
  <c r="H31" i="119"/>
  <c r="H33" i="119" s="1"/>
  <c r="H34" i="119" s="1"/>
  <c r="Z31" i="119"/>
  <c r="Z30" i="119" s="1"/>
  <c r="P24" i="119"/>
  <c r="AB14" i="119"/>
  <c r="AB16" i="119" s="1"/>
  <c r="AB17" i="119"/>
  <c r="AB19" i="119" s="1"/>
  <c r="T14" i="119"/>
  <c r="T16" i="119" s="1"/>
  <c r="T17" i="119"/>
  <c r="T19" i="119" s="1"/>
  <c r="Q17" i="119"/>
  <c r="Q19" i="119" s="1"/>
  <c r="Q14" i="119"/>
  <c r="Q16" i="119" s="1"/>
  <c r="AE14" i="119"/>
  <c r="AE16" i="119" s="1"/>
  <c r="AE17" i="119"/>
  <c r="AE19" i="119" s="1"/>
  <c r="U17" i="119"/>
  <c r="U19" i="119" s="1"/>
  <c r="U14" i="119"/>
  <c r="U16" i="119" s="1"/>
  <c r="V33" i="119"/>
  <c r="V34" i="119" s="1"/>
  <c r="F51" i="127" s="1"/>
  <c r="E51" i="127" s="1"/>
  <c r="V30" i="119"/>
  <c r="S14" i="119"/>
  <c r="S16" i="119" s="1"/>
  <c r="S17" i="119"/>
  <c r="S19" i="119" s="1"/>
  <c r="P14" i="119"/>
  <c r="P16" i="119" s="1"/>
  <c r="P17" i="119"/>
  <c r="P19" i="119" s="1"/>
  <c r="AD30" i="119"/>
  <c r="AE24" i="119"/>
  <c r="Q24" i="119"/>
  <c r="M78" i="127" l="1"/>
  <c r="E78" i="127"/>
  <c r="M79" i="127"/>
  <c r="E79" i="127"/>
  <c r="W33" i="119"/>
  <c r="W34" i="119" s="1"/>
  <c r="F52" i="127" s="1"/>
  <c r="E52" i="127" s="1"/>
  <c r="M51" i="127"/>
  <c r="M61" i="127"/>
  <c r="F24" i="127"/>
  <c r="E24" i="127" s="1"/>
  <c r="F25" i="127"/>
  <c r="E25" i="127" s="1"/>
  <c r="F26" i="127"/>
  <c r="E26" i="127" s="1"/>
  <c r="F28" i="127"/>
  <c r="E28" i="127" s="1"/>
  <c r="F30" i="127"/>
  <c r="E30" i="127" s="1"/>
  <c r="X30" i="119"/>
  <c r="I30" i="119"/>
  <c r="R33" i="119"/>
  <c r="R34" i="119" s="1"/>
  <c r="U31" i="119"/>
  <c r="U33" i="119" s="1"/>
  <c r="U34" i="119" s="1"/>
  <c r="T31" i="119"/>
  <c r="T30" i="119" s="1"/>
  <c r="O30" i="119"/>
  <c r="L33" i="119"/>
  <c r="L34" i="119" s="1"/>
  <c r="J30" i="119"/>
  <c r="D33" i="119"/>
  <c r="D34" i="119" s="1"/>
  <c r="AC33" i="119"/>
  <c r="AC34" i="119" s="1"/>
  <c r="F60" i="127" s="1"/>
  <c r="E60" i="127" s="1"/>
  <c r="Y30" i="119"/>
  <c r="G30" i="119"/>
  <c r="N33" i="119"/>
  <c r="N34" i="119" s="1"/>
  <c r="Z33" i="119"/>
  <c r="Z34" i="119" s="1"/>
  <c r="F80" i="127" s="1"/>
  <c r="E33" i="119"/>
  <c r="E34" i="119" s="1"/>
  <c r="AA33" i="119"/>
  <c r="AA34" i="119" s="1"/>
  <c r="F81" i="127" s="1"/>
  <c r="AB31" i="119"/>
  <c r="AB30" i="119" s="1"/>
  <c r="M30" i="119"/>
  <c r="S31" i="119"/>
  <c r="S30" i="119" s="1"/>
  <c r="H30" i="119"/>
  <c r="F33" i="119"/>
  <c r="F34" i="119" s="1"/>
  <c r="P31" i="119"/>
  <c r="P30" i="119" s="1"/>
  <c r="AE31" i="119"/>
  <c r="AE33" i="119" s="1"/>
  <c r="AE34" i="119" s="1"/>
  <c r="F71" i="127" s="1"/>
  <c r="Q31" i="119"/>
  <c r="Q33" i="119" s="1"/>
  <c r="Q34" i="119" s="1"/>
  <c r="E71" i="127" l="1"/>
  <c r="M71" i="127"/>
  <c r="F42" i="127"/>
  <c r="F47" i="127"/>
  <c r="M81" i="127"/>
  <c r="E81" i="127"/>
  <c r="M80" i="127"/>
  <c r="E80" i="127"/>
  <c r="F48" i="127"/>
  <c r="E48" i="127" s="1"/>
  <c r="F44" i="127"/>
  <c r="E44" i="127" s="1"/>
  <c r="F43" i="127"/>
  <c r="E43" i="127" s="1"/>
  <c r="F62" i="127"/>
  <c r="F72" i="127"/>
  <c r="F75" i="127"/>
  <c r="F70" i="127"/>
  <c r="F67" i="127"/>
  <c r="F63" i="127"/>
  <c r="F65" i="127"/>
  <c r="F66" i="127"/>
  <c r="F64" i="127"/>
  <c r="M52" i="127"/>
  <c r="M28" i="127"/>
  <c r="M26" i="127"/>
  <c r="M25" i="127"/>
  <c r="M24" i="127"/>
  <c r="M30" i="127"/>
  <c r="P33" i="119"/>
  <c r="P34" i="119" s="1"/>
  <c r="M60" i="127"/>
  <c r="F32" i="127"/>
  <c r="E32" i="127" s="1"/>
  <c r="F23" i="127"/>
  <c r="E23" i="127" s="1"/>
  <c r="F29" i="127"/>
  <c r="E29" i="127" s="1"/>
  <c r="F22" i="127"/>
  <c r="E22" i="127" s="1"/>
  <c r="F37" i="127"/>
  <c r="E37" i="127" s="1"/>
  <c r="F27" i="127"/>
  <c r="E27" i="127" s="1"/>
  <c r="F38" i="127"/>
  <c r="E38" i="127" s="1"/>
  <c r="F39" i="127"/>
  <c r="E39" i="127" s="1"/>
  <c r="U30" i="119"/>
  <c r="T33" i="119"/>
  <c r="T34" i="119" s="1"/>
  <c r="S33" i="119"/>
  <c r="S34" i="119" s="1"/>
  <c r="AB33" i="119"/>
  <c r="AB34" i="119" s="1"/>
  <c r="F82" i="127" s="1"/>
  <c r="AE30" i="119"/>
  <c r="Q30" i="119"/>
  <c r="E47" i="127" l="1"/>
  <c r="M47" i="127"/>
  <c r="E42" i="127"/>
  <c r="M42" i="127"/>
  <c r="M70" i="127"/>
  <c r="E70" i="127"/>
  <c r="M65" i="127"/>
  <c r="E65" i="127"/>
  <c r="M66" i="127"/>
  <c r="E66" i="127"/>
  <c r="M62" i="127"/>
  <c r="E62" i="127"/>
  <c r="M63" i="127"/>
  <c r="E63" i="127"/>
  <c r="M75" i="127"/>
  <c r="M76" i="127" s="1"/>
  <c r="N76" i="127" s="1"/>
  <c r="E75" i="127"/>
  <c r="M82" i="127"/>
  <c r="M84" i="127" s="1"/>
  <c r="E82" i="127"/>
  <c r="M64" i="127"/>
  <c r="E64" i="127"/>
  <c r="M67" i="127"/>
  <c r="E67" i="127"/>
  <c r="M72" i="127"/>
  <c r="E72" i="127"/>
  <c r="M43" i="127"/>
  <c r="M44" i="127"/>
  <c r="M48" i="127"/>
  <c r="M38" i="127"/>
  <c r="M27" i="127"/>
  <c r="M23" i="127"/>
  <c r="M22" i="127"/>
  <c r="M39" i="127"/>
  <c r="M29" i="127"/>
  <c r="M37" i="127"/>
  <c r="M32" i="127"/>
  <c r="F35" i="127"/>
  <c r="E35" i="127" s="1"/>
  <c r="F36" i="127"/>
  <c r="E36" i="127" s="1"/>
  <c r="F31" i="127"/>
  <c r="E31" i="127" s="1"/>
  <c r="N84" i="127" l="1"/>
  <c r="D16" i="117"/>
  <c r="M49" i="127"/>
  <c r="K13" i="117" s="1"/>
  <c r="M45" i="127"/>
  <c r="M73" i="127"/>
  <c r="N73" i="127" s="1"/>
  <c r="M68" i="127"/>
  <c r="D17" i="117" s="1"/>
  <c r="O17" i="117" s="1"/>
  <c r="Z17" i="117" s="1"/>
  <c r="AA17" i="117" s="1"/>
  <c r="K17" i="117"/>
  <c r="V17" i="117" s="1"/>
  <c r="M35" i="127"/>
  <c r="M36" i="127"/>
  <c r="M31" i="127"/>
  <c r="M53" i="127"/>
  <c r="O16" i="117" l="1"/>
  <c r="E16" i="117"/>
  <c r="N49" i="127"/>
  <c r="P17" i="117"/>
  <c r="L17" i="117"/>
  <c r="G17" i="117"/>
  <c r="H17" i="117" s="1"/>
  <c r="AG17" i="117"/>
  <c r="AH17" i="117" s="1"/>
  <c r="AI17" i="117" s="1"/>
  <c r="W17" i="117"/>
  <c r="V13" i="117"/>
  <c r="L13" i="117"/>
  <c r="N45" i="127"/>
  <c r="P45" i="127" s="1"/>
  <c r="G13" i="117"/>
  <c r="M40" i="127"/>
  <c r="D13" i="117" s="1"/>
  <c r="D14" i="117"/>
  <c r="N53" i="127"/>
  <c r="M33" i="127"/>
  <c r="Z16" i="117" l="1"/>
  <c r="AA16" i="117" s="1"/>
  <c r="P16" i="117"/>
  <c r="I16" i="117"/>
  <c r="M16" i="117"/>
  <c r="X17" i="117"/>
  <c r="R17" i="117"/>
  <c r="S17" i="117" s="1"/>
  <c r="T17" i="117" s="1"/>
  <c r="W13" i="117"/>
  <c r="AG13" i="117"/>
  <c r="AH13" i="117" s="1"/>
  <c r="H13" i="117"/>
  <c r="R13" i="117"/>
  <c r="E14" i="117"/>
  <c r="M14" i="117" s="1"/>
  <c r="O14" i="117"/>
  <c r="E13" i="117"/>
  <c r="O13" i="117"/>
  <c r="N33" i="127"/>
  <c r="P33" i="127" s="1"/>
  <c r="D12" i="117"/>
  <c r="O12" i="117" s="1"/>
  <c r="AI16" i="117" l="1"/>
  <c r="AE16" i="117"/>
  <c r="X16" i="117"/>
  <c r="T16" i="117"/>
  <c r="AC17" i="117"/>
  <c r="AD17" i="117" s="1"/>
  <c r="AE17" i="117" s="1"/>
  <c r="I14" i="117"/>
  <c r="I13" i="117"/>
  <c r="AC13" i="117"/>
  <c r="S13" i="117"/>
  <c r="S8" i="117" s="1"/>
  <c r="R8" i="117"/>
  <c r="M13" i="117"/>
  <c r="Z13" i="117"/>
  <c r="AA13" i="117" s="1"/>
  <c r="P13" i="117"/>
  <c r="Z12" i="117"/>
  <c r="P12" i="117"/>
  <c r="O8" i="117"/>
  <c r="Z14" i="117"/>
  <c r="AA14" i="117" s="1"/>
  <c r="P14" i="117"/>
  <c r="E23" i="117"/>
  <c r="AC8" i="117" l="1"/>
  <c r="AD13" i="117"/>
  <c r="AD8" i="117" s="1"/>
  <c r="T12" i="117"/>
  <c r="P8" i="117"/>
  <c r="T14" i="117"/>
  <c r="X14" i="117"/>
  <c r="AA12" i="117"/>
  <c r="Z8" i="117"/>
  <c r="AE14" i="117"/>
  <c r="AI14" i="117"/>
  <c r="T13" i="117"/>
  <c r="X13" i="117"/>
  <c r="AI13" i="117"/>
  <c r="H23" i="117"/>
  <c r="I23" i="117" s="1"/>
  <c r="AE13" i="117" l="1"/>
  <c r="AE12" i="117"/>
  <c r="AA8" i="117"/>
  <c r="T8" i="117"/>
  <c r="H6" i="146" s="1"/>
  <c r="L23" i="117"/>
  <c r="M23" i="117" s="1"/>
  <c r="E9" i="77"/>
  <c r="C12" i="116" l="1"/>
  <c r="C14" i="116" s="1"/>
  <c r="B17" i="67"/>
  <c r="D17" i="67" s="1"/>
  <c r="D19" i="67" s="1"/>
  <c r="G29" i="117" s="1"/>
  <c r="R29" i="117" s="1"/>
  <c r="B27" i="67"/>
  <c r="D27" i="67" s="1"/>
  <c r="D29" i="67" s="1"/>
  <c r="K29" i="117" s="1"/>
  <c r="AE8" i="117"/>
  <c r="L6" i="146" s="1"/>
  <c r="B7" i="67"/>
  <c r="D7" i="67" s="1"/>
  <c r="D9" i="67" s="1"/>
  <c r="AC29" i="117" l="1"/>
  <c r="AD29" i="117" s="1"/>
  <c r="S29" i="117"/>
  <c r="C15" i="116"/>
  <c r="C16" i="116" s="1"/>
  <c r="C17" i="116" s="1"/>
  <c r="C18" i="116" s="1"/>
  <c r="K28" i="145"/>
  <c r="K29" i="145" s="1"/>
  <c r="C25" i="116" s="1"/>
  <c r="I264" i="144"/>
  <c r="I265" i="144" s="1"/>
  <c r="K30" i="117" s="1"/>
  <c r="V30" i="117" s="1"/>
  <c r="K194" i="144"/>
  <c r="L194" i="144" s="1"/>
  <c r="K5" i="144"/>
  <c r="J226" i="144"/>
  <c r="K230" i="144"/>
  <c r="L230" i="144" s="1"/>
  <c r="J190" i="144"/>
  <c r="J243" i="144"/>
  <c r="D29" i="117"/>
  <c r="E29" i="117" s="1"/>
  <c r="AG30" i="117" l="1"/>
  <c r="AH30" i="117" s="1"/>
  <c r="AI30" i="117" s="1"/>
  <c r="W30" i="117"/>
  <c r="X30" i="117" s="1"/>
  <c r="L5" i="144"/>
  <c r="K126" i="144"/>
  <c r="K127" i="144" s="1"/>
  <c r="C19" i="116"/>
  <c r="C21" i="116" s="1"/>
  <c r="O29" i="117"/>
  <c r="E55" i="117"/>
  <c r="E30" i="117"/>
  <c r="D28" i="117"/>
  <c r="C22" i="116" l="1"/>
  <c r="C24" i="116"/>
  <c r="C26" i="116" s="1"/>
  <c r="G30" i="117" s="1"/>
  <c r="R30" i="117" s="1"/>
  <c r="P29" i="117"/>
  <c r="O28" i="117"/>
  <c r="Z29" i="117"/>
  <c r="D19" i="117"/>
  <c r="E20" i="117"/>
  <c r="E19" i="117" s="1"/>
  <c r="Z20" i="117"/>
  <c r="P20" i="117"/>
  <c r="O19" i="117"/>
  <c r="H20" i="117"/>
  <c r="H19" i="117" s="1"/>
  <c r="G19" i="117"/>
  <c r="L20" i="117"/>
  <c r="L19" i="117" s="1"/>
  <c r="K19" i="117"/>
  <c r="H55" i="117"/>
  <c r="I55" i="117" s="1"/>
  <c r="E28" i="117"/>
  <c r="L30" i="117"/>
  <c r="M30" i="117" s="1"/>
  <c r="H29" i="117"/>
  <c r="I29" i="117" s="1"/>
  <c r="V29" i="117"/>
  <c r="C30" i="116" l="1"/>
  <c r="C31" i="116" s="1"/>
  <c r="H30" i="117"/>
  <c r="I30" i="117" s="1"/>
  <c r="I28" i="117" s="1"/>
  <c r="D12" i="146" s="1"/>
  <c r="AC30" i="117"/>
  <c r="S30" i="117"/>
  <c r="R28" i="117"/>
  <c r="R68" i="117" s="1"/>
  <c r="S68" i="117" s="1"/>
  <c r="G28" i="117"/>
  <c r="O68" i="117"/>
  <c r="P68" i="117" s="1"/>
  <c r="AA29" i="117"/>
  <c r="Z28" i="117"/>
  <c r="P28" i="117"/>
  <c r="T29" i="117"/>
  <c r="AA20" i="117"/>
  <c r="Z19" i="117"/>
  <c r="X20" i="117"/>
  <c r="X19" i="117" s="1"/>
  <c r="J8" i="146" s="1"/>
  <c r="T20" i="117"/>
  <c r="T19" i="117" s="1"/>
  <c r="P19" i="117"/>
  <c r="AG29" i="117"/>
  <c r="W29" i="117"/>
  <c r="V28" i="117"/>
  <c r="M20" i="117"/>
  <c r="M19" i="117" s="1"/>
  <c r="F8" i="146" s="1"/>
  <c r="I20" i="117"/>
  <c r="I19" i="117" s="1"/>
  <c r="D8" i="146" s="1"/>
  <c r="K10" i="117"/>
  <c r="L55" i="117"/>
  <c r="M55" i="117" s="1"/>
  <c r="L29" i="117"/>
  <c r="K28" i="117"/>
  <c r="Z68" i="117" l="1"/>
  <c r="AA68" i="117" s="1"/>
  <c r="H28" i="117"/>
  <c r="S5" i="117"/>
  <c r="T68" i="117"/>
  <c r="H22" i="146" s="1"/>
  <c r="T30" i="117"/>
  <c r="T28" i="117" s="1"/>
  <c r="S28" i="117"/>
  <c r="S6" i="117" s="1"/>
  <c r="AC28" i="117"/>
  <c r="AC68" i="117" s="1"/>
  <c r="AD68" i="117" s="1"/>
  <c r="AD30" i="117"/>
  <c r="P5" i="117"/>
  <c r="AE29" i="117"/>
  <c r="AA28" i="117"/>
  <c r="P6" i="117"/>
  <c r="H8" i="146"/>
  <c r="AI20" i="117"/>
  <c r="AI19" i="117" s="1"/>
  <c r="N8" i="146" s="1"/>
  <c r="AE20" i="117"/>
  <c r="AE19" i="117" s="1"/>
  <c r="L8" i="146" s="1"/>
  <c r="AA19" i="117"/>
  <c r="L10" i="117"/>
  <c r="M10" i="117" s="1"/>
  <c r="V10" i="117"/>
  <c r="W28" i="117"/>
  <c r="X29" i="117"/>
  <c r="X28" i="117" s="1"/>
  <c r="J12" i="146" s="1"/>
  <c r="AG28" i="117"/>
  <c r="AH29" i="117"/>
  <c r="L28" i="117"/>
  <c r="M29" i="117"/>
  <c r="M28" i="117" s="1"/>
  <c r="F12" i="146" s="1"/>
  <c r="D62" i="117"/>
  <c r="D40" i="117"/>
  <c r="E44" i="117"/>
  <c r="D51" i="117"/>
  <c r="E59" i="117"/>
  <c r="AA5" i="117" l="1"/>
  <c r="AE68" i="117"/>
  <c r="L22" i="146" s="1"/>
  <c r="AA6" i="117"/>
  <c r="AD5" i="117"/>
  <c r="H12" i="146"/>
  <c r="H4" i="146" s="1"/>
  <c r="T5" i="117"/>
  <c r="AE30" i="117"/>
  <c r="AE28" i="117" s="1"/>
  <c r="L12" i="146" s="1"/>
  <c r="AD28" i="117"/>
  <c r="AD6" i="117" s="1"/>
  <c r="AG10" i="117"/>
  <c r="W10" i="117"/>
  <c r="AH28" i="117"/>
  <c r="AI29" i="117"/>
  <c r="AI28" i="117" s="1"/>
  <c r="N12" i="146" s="1"/>
  <c r="E40" i="117"/>
  <c r="E51" i="117"/>
  <c r="E62" i="117"/>
  <c r="H44" i="117"/>
  <c r="H40" i="117" s="1"/>
  <c r="G40" i="117"/>
  <c r="G51" i="117"/>
  <c r="H59" i="117"/>
  <c r="H51" i="117" s="1"/>
  <c r="G62" i="117"/>
  <c r="I62" i="117"/>
  <c r="D20" i="146" s="1"/>
  <c r="L4" i="146" l="1"/>
  <c r="AE5" i="117"/>
  <c r="X10" i="117"/>
  <c r="AH10" i="117"/>
  <c r="I59" i="117"/>
  <c r="I51" i="117" s="1"/>
  <c r="D18" i="146" s="1"/>
  <c r="I44" i="117"/>
  <c r="I40" i="117" s="1"/>
  <c r="D16" i="146" s="1"/>
  <c r="H62" i="117"/>
  <c r="L59" i="117"/>
  <c r="K51" i="117"/>
  <c r="M62" i="117"/>
  <c r="F20" i="146" s="1"/>
  <c r="K62" i="117"/>
  <c r="K40" i="117"/>
  <c r="L44" i="117"/>
  <c r="N40" i="127"/>
  <c r="P40" i="127" s="1"/>
  <c r="AI10" i="117" l="1"/>
  <c r="L51" i="117"/>
  <c r="M59" i="117"/>
  <c r="M51" i="117" s="1"/>
  <c r="F18" i="146" s="1"/>
  <c r="L40" i="117"/>
  <c r="M44" i="117"/>
  <c r="M40" i="117" s="1"/>
  <c r="F16" i="146" s="1"/>
  <c r="L62" i="117"/>
  <c r="E17" i="117"/>
  <c r="K12" i="117"/>
  <c r="E12" i="117"/>
  <c r="L12" i="117" l="1"/>
  <c r="M12" i="117" s="1"/>
  <c r="V12" i="117"/>
  <c r="I12" i="117"/>
  <c r="I17" i="117"/>
  <c r="M17" i="117"/>
  <c r="D8" i="117"/>
  <c r="D68" i="117" s="1"/>
  <c r="N68" i="127"/>
  <c r="AG12" i="117" l="1"/>
  <c r="W12" i="117"/>
  <c r="V8" i="117"/>
  <c r="M8" i="117"/>
  <c r="F6" i="146" s="1"/>
  <c r="I8" i="117"/>
  <c r="D6" i="146" s="1"/>
  <c r="G8" i="117"/>
  <c r="G68" i="117" s="1"/>
  <c r="H68" i="117" s="1"/>
  <c r="L8" i="117"/>
  <c r="E8" i="117"/>
  <c r="H8" i="117"/>
  <c r="K8" i="117"/>
  <c r="K68" i="117" s="1"/>
  <c r="V68" i="117" l="1"/>
  <c r="W68" i="117" s="1"/>
  <c r="X68" i="117" s="1"/>
  <c r="J22" i="146" s="1"/>
  <c r="X12" i="117"/>
  <c r="X8" i="117" s="1"/>
  <c r="J6" i="146" s="1"/>
  <c r="W8" i="117"/>
  <c r="AH12" i="117"/>
  <c r="AG8" i="117"/>
  <c r="E68" i="117"/>
  <c r="E5" i="117"/>
  <c r="J4" i="146" l="1"/>
  <c r="X5" i="117"/>
  <c r="W5" i="117"/>
  <c r="W6" i="117"/>
  <c r="AI12" i="117"/>
  <c r="AI8" i="117" s="1"/>
  <c r="N6" i="146" s="1"/>
  <c r="AH8" i="117"/>
  <c r="AG68" i="117"/>
  <c r="AH68" i="117" s="1"/>
  <c r="AI68" i="117" s="1"/>
  <c r="N22" i="146" s="1"/>
  <c r="E6" i="117"/>
  <c r="I68" i="117"/>
  <c r="L68" i="117"/>
  <c r="L6" i="117" s="1"/>
  <c r="L5" i="117"/>
  <c r="H6" i="117"/>
  <c r="H5" i="117"/>
  <c r="N4" i="146" l="1"/>
  <c r="I5" i="117"/>
  <c r="D22" i="146"/>
  <c r="D4" i="146" s="1"/>
  <c r="AH5" i="117"/>
  <c r="AH6" i="117"/>
  <c r="AI5" i="117"/>
  <c r="M68" i="117"/>
  <c r="M5" i="117" l="1"/>
  <c r="F22" i="146"/>
  <c r="F4" i="146" s="1"/>
</calcChain>
</file>

<file path=xl/sharedStrings.xml><?xml version="1.0" encoding="utf-8"?>
<sst xmlns="http://schemas.openxmlformats.org/spreadsheetml/2006/main" count="1581" uniqueCount="805">
  <si>
    <t>Courier Charges</t>
  </si>
  <si>
    <t>Monthly Cost</t>
  </si>
  <si>
    <t>a</t>
  </si>
  <si>
    <t>b</t>
  </si>
  <si>
    <t>c</t>
  </si>
  <si>
    <t>Sub Total</t>
  </si>
  <si>
    <t>d</t>
  </si>
  <si>
    <t>e</t>
  </si>
  <si>
    <t>f</t>
  </si>
  <si>
    <t>Security Supervisor</t>
  </si>
  <si>
    <t>Sl.No</t>
  </si>
  <si>
    <t>Name of Machines</t>
  </si>
  <si>
    <t>Brand</t>
  </si>
  <si>
    <t>Total Cost per month</t>
  </si>
  <si>
    <t>Sr. No</t>
  </si>
  <si>
    <t>Basement 1</t>
  </si>
  <si>
    <t>INTEREST @ 12%</t>
  </si>
  <si>
    <t>Description</t>
  </si>
  <si>
    <t>CAM Charges INR/ Per sq ft / month</t>
  </si>
  <si>
    <t>DG Set</t>
  </si>
  <si>
    <t>Carpenter</t>
  </si>
  <si>
    <t>Sub Total C&amp;W staff Cost (A)</t>
  </si>
  <si>
    <t>Security Guard</t>
  </si>
  <si>
    <t>HHMD</t>
  </si>
  <si>
    <t>DFMD</t>
  </si>
  <si>
    <t>Designation</t>
  </si>
  <si>
    <t>Housekeeping Supervisor</t>
  </si>
  <si>
    <t>GROSS SALARY</t>
  </si>
  <si>
    <t>Basic</t>
  </si>
  <si>
    <t>DA</t>
  </si>
  <si>
    <t>BASIC &amp; DA</t>
  </si>
  <si>
    <t>Conv.</t>
  </si>
  <si>
    <t>HRA</t>
  </si>
  <si>
    <t>Special Allowance</t>
  </si>
  <si>
    <t>SUB TOTAL</t>
  </si>
  <si>
    <t>COMPLIANCES</t>
  </si>
  <si>
    <t>Employee</t>
  </si>
  <si>
    <t>ESI</t>
  </si>
  <si>
    <t>EPF</t>
  </si>
  <si>
    <t>Employer</t>
  </si>
  <si>
    <t>ADMINISTRATION CHARGES</t>
  </si>
  <si>
    <t>Bonus</t>
  </si>
  <si>
    <t>Uniform &amp; Tools</t>
  </si>
  <si>
    <t>(Pro-rata)</t>
  </si>
  <si>
    <t>FINAL</t>
  </si>
  <si>
    <t>Cash In hand</t>
  </si>
  <si>
    <t>CTC</t>
  </si>
  <si>
    <t>SERVICE PROVIDER CHARGES</t>
  </si>
  <si>
    <t>Service Charges</t>
  </si>
  <si>
    <t>BILL TO CLIENT</t>
  </si>
  <si>
    <t>HK Services</t>
  </si>
  <si>
    <t>Cost/ unit</t>
  </si>
  <si>
    <t>Cost</t>
  </si>
  <si>
    <t>SINGLE DISC MACHINE</t>
  </si>
  <si>
    <t xml:space="preserve">HIGH PRESSURE JET </t>
  </si>
  <si>
    <t>WET/DRY VACUUM</t>
  </si>
  <si>
    <t xml:space="preserve">WRINGER TROLLEY </t>
  </si>
  <si>
    <t>CADDY &amp; SIGNAGES</t>
  </si>
  <si>
    <t>NILFISK</t>
  </si>
  <si>
    <t>TASKI</t>
  </si>
  <si>
    <t>EUREKA</t>
  </si>
  <si>
    <t>UNGER</t>
  </si>
  <si>
    <t>CONTA</t>
  </si>
  <si>
    <t>HVAC Technician</t>
  </si>
  <si>
    <t>Spiderman</t>
  </si>
  <si>
    <t>Horticulture</t>
  </si>
  <si>
    <t>Gardner</t>
  </si>
  <si>
    <t>KARAM</t>
  </si>
  <si>
    <t>COMAC</t>
  </si>
  <si>
    <t>Labour license and registration</t>
  </si>
  <si>
    <t>per sq. ft cost</t>
  </si>
  <si>
    <t>Daily hrs of operation</t>
  </si>
  <si>
    <t>Daily Units</t>
  </si>
  <si>
    <t>Monthly units</t>
  </si>
  <si>
    <t>A</t>
  </si>
  <si>
    <t>Liosaning &amp; Licenses Cost</t>
  </si>
  <si>
    <t>Façade Cleaning Services</t>
  </si>
  <si>
    <t>Painter</t>
  </si>
  <si>
    <t>Pantry Boy</t>
  </si>
  <si>
    <t>Rate</t>
  </si>
  <si>
    <t>DG Set Supply</t>
  </si>
  <si>
    <t>EB Supply</t>
  </si>
  <si>
    <t>Unit per Ltrs.</t>
  </si>
  <si>
    <t>Cost per Unit</t>
  </si>
  <si>
    <t>Head Gardner</t>
  </si>
  <si>
    <t>SHIFT</t>
  </si>
  <si>
    <t>Total</t>
  </si>
  <si>
    <t>B</t>
  </si>
  <si>
    <t>C</t>
  </si>
  <si>
    <t>Tools and Equipments</t>
  </si>
  <si>
    <t>Manure, Chemicals and Saplings</t>
  </si>
  <si>
    <t>Total Cost</t>
  </si>
  <si>
    <t>Shift Engineers</t>
  </si>
  <si>
    <t>Masson</t>
  </si>
  <si>
    <t>Leave Component</t>
  </si>
  <si>
    <t>Engineering Manpower</t>
  </si>
  <si>
    <t>SALARY DETAILS</t>
  </si>
  <si>
    <t>Plumber</t>
  </si>
  <si>
    <t>Rel</t>
  </si>
  <si>
    <t>Gen</t>
  </si>
  <si>
    <t>Wireless Set</t>
  </si>
  <si>
    <t>Under Carrage Mirror</t>
  </si>
  <si>
    <t>Security Services-manpower</t>
  </si>
  <si>
    <t>Security Equipments</t>
  </si>
  <si>
    <t>Housekeeping Manpower</t>
  </si>
  <si>
    <t>Housekeeping Equipments</t>
  </si>
  <si>
    <t>Housekeeping Consumables and Toiletries</t>
  </si>
  <si>
    <t>Pest Control Services</t>
  </si>
  <si>
    <t>Travel / Conveyance</t>
  </si>
  <si>
    <t>Office Stationary and Printed Stationary</t>
  </si>
  <si>
    <t>AMC Charges</t>
  </si>
  <si>
    <t>Engineering Services / Spares and Consumables / AMC</t>
  </si>
  <si>
    <t>Rental Equipment (Photocopier, PC, Pumps etc)</t>
  </si>
  <si>
    <t>Diversity Factor-Load</t>
  </si>
  <si>
    <t>Miscellaneous Costs</t>
  </si>
  <si>
    <t>Outer Periphery</t>
  </si>
  <si>
    <t>Area sft</t>
  </si>
  <si>
    <t>Service Deployment Area</t>
  </si>
  <si>
    <t>VDA</t>
  </si>
  <si>
    <t>g</t>
  </si>
  <si>
    <t>Electrical and DG License renewal</t>
  </si>
  <si>
    <t>Lift License Renewal</t>
  </si>
  <si>
    <t>Fire  NOC</t>
  </si>
  <si>
    <t>STP CTO</t>
  </si>
  <si>
    <t>Environmental and Pollution Control Inspections</t>
  </si>
  <si>
    <t>h</t>
  </si>
  <si>
    <t>Energy Audit / Thermography and Harmonic Test</t>
  </si>
  <si>
    <t>Financial Audit</t>
  </si>
  <si>
    <t>Fire, Health &amp; Safety Audits</t>
  </si>
  <si>
    <t>Indoor Air Quality and DG emmission testing</t>
  </si>
  <si>
    <t>Legal and professional servcies</t>
  </si>
  <si>
    <t>Statutory compliances (PF, ESIC, Ptax, Lab.Welfare, Licenses, Returns, Audit etc.)</t>
  </si>
  <si>
    <t>Water Testing Charges</t>
  </si>
  <si>
    <t>Audits</t>
  </si>
  <si>
    <t>Contigency Funds</t>
  </si>
  <si>
    <t>Group Accidential Insurance</t>
  </si>
  <si>
    <t>Staff Welfare for deployed manpower</t>
  </si>
  <si>
    <t>100% occupancy</t>
  </si>
  <si>
    <t>Campus Perifery &amp; Drive Ways</t>
  </si>
  <si>
    <t>Insurance for Thrid Party liability</t>
  </si>
  <si>
    <t>Common Area</t>
  </si>
  <si>
    <t>Skilled</t>
  </si>
  <si>
    <t>Semiskilled</t>
  </si>
  <si>
    <t>Unskilled</t>
  </si>
  <si>
    <t>MANPOWER DEPLOYMENT PLAN AND COSTING</t>
  </si>
  <si>
    <t>1st Year</t>
  </si>
  <si>
    <t>2nd Year</t>
  </si>
  <si>
    <t>3rd Year</t>
  </si>
  <si>
    <t>Diversity Factor-Seasonal</t>
  </si>
  <si>
    <t>Insurance Fund ( Equipment &amp; Structure)</t>
  </si>
  <si>
    <t>Property Managenent Charges</t>
  </si>
  <si>
    <t>Property Management Company Servcies Charges</t>
  </si>
  <si>
    <t>Spares and Consumables</t>
  </si>
  <si>
    <t>General Maintenance tools ( Amortized Cost)</t>
  </si>
  <si>
    <t>Utility Cost ( Electricity , Air conditioning and Water)</t>
  </si>
  <si>
    <t>Common Area Equipments / Lighting etc</t>
  </si>
  <si>
    <t>Cost of water</t>
  </si>
  <si>
    <t>Janitorial / Gardening / Pest Control/ Security</t>
  </si>
  <si>
    <t>Housekeeping Cleaning Consumables and Toiletries</t>
  </si>
  <si>
    <t>Housekeeping Toiletries</t>
  </si>
  <si>
    <t>Horticulture Manpower</t>
  </si>
  <si>
    <t>Horticulture Tools and Consumables</t>
  </si>
  <si>
    <t>Waste Management System</t>
  </si>
  <si>
    <t>Security Manpower Costing</t>
  </si>
  <si>
    <t>Liosaning, Licenses  and Audit Cost</t>
  </si>
  <si>
    <t>Rental Equipment (Pumps / Ladders etc)</t>
  </si>
  <si>
    <t>Travel / Conveyance / Hire Charges Of taxi / cabs</t>
  </si>
  <si>
    <t>Site Team Communication Charges-Mobile</t>
  </si>
  <si>
    <t>Mangzine, Journals and Newspapers</t>
  </si>
  <si>
    <t>TV Cable Connection</t>
  </si>
  <si>
    <t>Staff Welfare for deployed manpower ( CW &amp; Sub Contractor)</t>
  </si>
  <si>
    <t>Events and Festivel Expenses ( Decoration, Sweets, Consumables)</t>
  </si>
  <si>
    <t>Staff Uniforms</t>
  </si>
  <si>
    <t>C&amp;W administration cost for misc. expenses</t>
  </si>
  <si>
    <t>Security Audit</t>
  </si>
  <si>
    <t>Insurance &amp; Funds</t>
  </si>
  <si>
    <t xml:space="preserve">Sinking Fund </t>
  </si>
  <si>
    <t>Insurance Structural &amp; Electro mechanical equipments</t>
  </si>
  <si>
    <t>Power Supply Details</t>
  </si>
  <si>
    <t>Minimum Wages Category</t>
  </si>
  <si>
    <t>AREA IN SQ. FT</t>
  </si>
  <si>
    <t>CAM COST PER MONTH IN INR</t>
  </si>
  <si>
    <t xml:space="preserve">Sub Total (F) - Security Services </t>
  </si>
  <si>
    <t>ENGINEERING SERVICES</t>
  </si>
  <si>
    <t>ELECTRICAL EXPENSE CALCULATION</t>
  </si>
  <si>
    <t>Unit Rate ( KVAH)</t>
  </si>
  <si>
    <t>Fixed Charges ( KVA)</t>
  </si>
  <si>
    <t>Source</t>
  </si>
  <si>
    <t>Rate per unit</t>
  </si>
  <si>
    <t>Units Comsumed</t>
  </si>
  <si>
    <t>UPPCL</t>
  </si>
  <si>
    <t xml:space="preserve">TOTAL UNIT CHARGES </t>
  </si>
  <si>
    <t>HVAC</t>
  </si>
  <si>
    <t>Common Area Electrcity Consumption</t>
  </si>
  <si>
    <t>Variable 1</t>
  </si>
  <si>
    <t>Variable 2</t>
  </si>
  <si>
    <t>Variable 3</t>
  </si>
  <si>
    <t>Operation %</t>
  </si>
  <si>
    <t>Total Unit Consumed per month</t>
  </si>
  <si>
    <t>Sinking Fund</t>
  </si>
  <si>
    <t>GRAND TOTAL</t>
  </si>
  <si>
    <t>Management Establishment Cost</t>
  </si>
  <si>
    <t>Help Desk</t>
  </si>
  <si>
    <t>General Cleaning &amp; Housekeeping</t>
  </si>
  <si>
    <t>Engineering Services</t>
  </si>
  <si>
    <t>Technical Services</t>
  </si>
  <si>
    <t xml:space="preserve">Manager- </t>
  </si>
  <si>
    <t>Custodial Services</t>
  </si>
  <si>
    <t>Façade Cleaning</t>
  </si>
  <si>
    <t>Facility Executive-</t>
  </si>
  <si>
    <t>Manager-</t>
  </si>
  <si>
    <t>Security and Fire Safety</t>
  </si>
  <si>
    <t>Accounts and Finance</t>
  </si>
  <si>
    <t>Executive-</t>
  </si>
  <si>
    <t>Common</t>
  </si>
  <si>
    <t>Elevators</t>
  </si>
  <si>
    <t>Fire Fighting</t>
  </si>
  <si>
    <t>STP</t>
  </si>
  <si>
    <t>WTP</t>
  </si>
  <si>
    <t>Power Breakdown in hrs</t>
  </si>
  <si>
    <t>Aux. Pumps</t>
  </si>
  <si>
    <t>Total Area</t>
  </si>
  <si>
    <t>PRIMARY</t>
  </si>
  <si>
    <t>Chiller Tonage</t>
  </si>
  <si>
    <t>TOTAL (TR)</t>
  </si>
  <si>
    <t>Condenser</t>
  </si>
  <si>
    <t>Chiller Loading / unloading factor in 12 hrs operation</t>
  </si>
  <si>
    <t>Cooling Towers</t>
  </si>
  <si>
    <t>Auxillary Pump Load</t>
  </si>
  <si>
    <t>Total Connected Load</t>
  </si>
  <si>
    <t>Electricity Cost-State Electricity Board</t>
  </si>
  <si>
    <t>Electricity Cost-DG Power</t>
  </si>
  <si>
    <t>Average Cost for Power unit</t>
  </si>
  <si>
    <t>Total Cost per hr</t>
  </si>
  <si>
    <t>Total Cost per day (12 hrs operation)</t>
  </si>
  <si>
    <t>Cost per ton per month</t>
  </si>
  <si>
    <t>AC cost per sq. ft per month</t>
  </si>
  <si>
    <t>Seasonal Diversity Factor</t>
  </si>
  <si>
    <t>Final AC cost per sq. ft per month</t>
  </si>
  <si>
    <t>INR</t>
  </si>
  <si>
    <t>AC Charges for Common Area per month</t>
  </si>
  <si>
    <t>Airconditioned Area</t>
  </si>
  <si>
    <t>Comm. Area</t>
  </si>
  <si>
    <t>Leased Area</t>
  </si>
  <si>
    <t>Electrical Load-Chiller (IKW / TR)</t>
  </si>
  <si>
    <t>Secondary- Comm.</t>
  </si>
  <si>
    <t>i</t>
  </si>
  <si>
    <t>Spares and Consumables ( Engineering &amp; Building Services)</t>
  </si>
  <si>
    <t>Common Area Electricity Expense</t>
  </si>
  <si>
    <t>Water Cess</t>
  </si>
  <si>
    <t>Shop &amp; Etablishment (  5years)</t>
  </si>
  <si>
    <t>Licesnse for storing Pertrolium</t>
  </si>
  <si>
    <t>Administrative Expenses</t>
  </si>
  <si>
    <t>Magzine, Journals and Newspapers</t>
  </si>
  <si>
    <t>Internet Broadband Connection</t>
  </si>
  <si>
    <t>Landline phone connection</t>
  </si>
  <si>
    <t>Outsourced Services ( Horticulture Manpower) (8hrs X 6 days a week)</t>
  </si>
  <si>
    <t>Outsourced Services ( Horticulture Consumables) (8hrs X 6 days a week)</t>
  </si>
  <si>
    <t>HOUSEKEEPING EQUIPMENT COST</t>
  </si>
  <si>
    <t>Life in months</t>
  </si>
  <si>
    <t>Amortized Cost</t>
  </si>
  <si>
    <t>Walk Behind- Auto Scrubbr/ Dryr</t>
  </si>
  <si>
    <t>MANUAL ROAD SWEEPER</t>
  </si>
  <si>
    <t>GLASS CLEANING KIT  WITH TELESCOPIC POLE</t>
  </si>
  <si>
    <t>SPARES @ 20%</t>
  </si>
  <si>
    <t>TOTAL cost per month (b)</t>
  </si>
  <si>
    <t>Sr.No</t>
  </si>
  <si>
    <t>Equipment</t>
  </si>
  <si>
    <t>Monthly Rental</t>
  </si>
  <si>
    <t>Total Rental</t>
  </si>
  <si>
    <t>Security</t>
  </si>
  <si>
    <t>Technical Supervisor</t>
  </si>
  <si>
    <t>Multi skill Technicians</t>
  </si>
  <si>
    <t>Electrician</t>
  </si>
  <si>
    <t>DG Operator</t>
  </si>
  <si>
    <t>BMS Operator</t>
  </si>
  <si>
    <t>HVAC Operators</t>
  </si>
  <si>
    <t>Technical Helper</t>
  </si>
  <si>
    <t>Runner</t>
  </si>
  <si>
    <t>Janitors</t>
  </si>
  <si>
    <t>Façade Cleaning Supervisor</t>
  </si>
  <si>
    <t>Cradle Operator</t>
  </si>
  <si>
    <t>Façade Cleaner</t>
  </si>
  <si>
    <t>Helpers</t>
  </si>
  <si>
    <t>Head Guard</t>
  </si>
  <si>
    <t>Employee Category</t>
  </si>
  <si>
    <t>SemiSkilled</t>
  </si>
  <si>
    <t>unskilled</t>
  </si>
  <si>
    <t>INSURANCE</t>
  </si>
  <si>
    <t>Medical &amp; Accidential Insurance</t>
  </si>
  <si>
    <t>Others</t>
  </si>
  <si>
    <t>Level 1</t>
  </si>
  <si>
    <t>Level 2</t>
  </si>
  <si>
    <t>Level 3</t>
  </si>
  <si>
    <t>Control Room</t>
  </si>
  <si>
    <t>IT  Infrastructure- Computers</t>
  </si>
  <si>
    <t>Property Management Fee- IPC</t>
  </si>
  <si>
    <t>Chillers</t>
  </si>
  <si>
    <t>Property Management Staff</t>
  </si>
  <si>
    <t xml:space="preserve">Sub Total (B) - Engineering Services </t>
  </si>
  <si>
    <t xml:space="preserve">Sub Total (C) - Housekeeping Services </t>
  </si>
  <si>
    <t xml:space="preserve">Sub Total (D) - Horticulture Services </t>
  </si>
  <si>
    <t xml:space="preserve">Sub Total (E) - Horticulture Services </t>
  </si>
  <si>
    <t>Common Area Airconditioning Cost</t>
  </si>
  <si>
    <t>Insurance, Sinking Fund</t>
  </si>
  <si>
    <t>SECURITY EQUIPMENTR C COSTING</t>
  </si>
  <si>
    <t>CCTV</t>
  </si>
  <si>
    <t>Power Cut in Hrs (in 12 hrs)</t>
  </si>
  <si>
    <t>GM Operations</t>
  </si>
  <si>
    <t>Current Minimum wages rates</t>
  </si>
  <si>
    <t>DLP</t>
  </si>
  <si>
    <t>Back Office</t>
  </si>
  <si>
    <t>Potted Plants Costing</t>
  </si>
  <si>
    <t>Cost of Equipments</t>
  </si>
  <si>
    <t>Actual Cost of Euipment to be considered</t>
  </si>
  <si>
    <t># of years in which replacement will be required</t>
  </si>
  <si>
    <t>% of Replacement required</t>
  </si>
  <si>
    <t>Total Cost taken for refurbishment</t>
  </si>
  <si>
    <t>Area in sft</t>
  </si>
  <si>
    <t>Inflation yoy for Equipment Cost</t>
  </si>
  <si>
    <t>Replacement Funds required  considering YOY Inflation &gt;&gt;</t>
  </si>
  <si>
    <t>Replacement Funds required &gt;&gt;</t>
  </si>
  <si>
    <t>Sinking Fund Generation Account</t>
  </si>
  <si>
    <t>Interest Rate possible on sinking fund ( post TDS)</t>
  </si>
  <si>
    <t>Inflation yoy</t>
  </si>
  <si>
    <t>Rate Per sqft paid for Sinking Fund</t>
  </si>
  <si>
    <t>Contribution from Annual Sinking Fund</t>
  </si>
  <si>
    <t>Carry Forward from previous Year</t>
  </si>
  <si>
    <t>Total Amount on which interest is applicable</t>
  </si>
  <si>
    <t>Interest Generated Annual</t>
  </si>
  <si>
    <t>End of Year Amount</t>
  </si>
  <si>
    <t>Sinking Fund Account Usage</t>
  </si>
  <si>
    <t>Starting Balance</t>
  </si>
  <si>
    <t>Sinking Fund Consumed</t>
  </si>
  <si>
    <t>Ending Balance</t>
  </si>
  <si>
    <t>Maximum Outage</t>
  </si>
  <si>
    <t>INDEX</t>
  </si>
  <si>
    <t>CAM Variables</t>
  </si>
  <si>
    <t>CAM Charge Calculation Sheet</t>
  </si>
  <si>
    <t xml:space="preserve">AMC Cost </t>
  </si>
  <si>
    <t>Common Electrical Load</t>
  </si>
  <si>
    <t>Service Equipments Cost- HK, Security</t>
  </si>
  <si>
    <t>Sinking Fund Calculation</t>
  </si>
  <si>
    <t>Security &amp; Fire Officer</t>
  </si>
  <si>
    <t>Valet Driver</t>
  </si>
  <si>
    <t>Management Staff</t>
  </si>
  <si>
    <t>Engineering Services (8hrs X 6 days a week)</t>
  </si>
  <si>
    <t xml:space="preserve">Sub Total (C) - Custodial Services </t>
  </si>
  <si>
    <t>Manpower Cost</t>
  </si>
  <si>
    <t>Custodial Services Manpower</t>
  </si>
  <si>
    <t>Engineering Spares and Consumables</t>
  </si>
  <si>
    <t>BUILT-UP AREA STATEMENT</t>
  </si>
  <si>
    <t>PLOT AREA = 8082.16 Sq.m</t>
  </si>
  <si>
    <t>Actual areas</t>
  </si>
  <si>
    <t>Sr No.</t>
  </si>
  <si>
    <t>Parking/Services</t>
  </si>
  <si>
    <t>2nd Basement</t>
  </si>
  <si>
    <t>3rd Basement</t>
  </si>
  <si>
    <t>Mall</t>
  </si>
  <si>
    <t>Ground (Retail)</t>
  </si>
  <si>
    <t>L1(Retail)</t>
  </si>
  <si>
    <t>L2(Retail)</t>
  </si>
  <si>
    <t>L3(Food Court)</t>
  </si>
  <si>
    <t>Office</t>
  </si>
  <si>
    <t>TOTAL B+C+D</t>
  </si>
  <si>
    <t>Leasable Area</t>
  </si>
  <si>
    <t>Mall Leasablke Area in sq ft</t>
  </si>
  <si>
    <t>Office Space leasable area in sq ft</t>
  </si>
  <si>
    <r>
      <t>4</t>
    </r>
    <r>
      <rPr>
        <vertAlign val="superscript"/>
        <sz val="12"/>
        <rFont val="Calibri"/>
        <family val="2"/>
        <scheme val="minor"/>
      </rPr>
      <t>th</t>
    </r>
    <r>
      <rPr>
        <sz val="12"/>
        <rFont val="Calibri"/>
        <family val="2"/>
        <scheme val="minor"/>
      </rPr>
      <t xml:space="preserve"> Basement</t>
    </r>
  </si>
  <si>
    <r>
      <t>1</t>
    </r>
    <r>
      <rPr>
        <vertAlign val="superscript"/>
        <sz val="12"/>
        <rFont val="Calibri"/>
        <family val="2"/>
        <scheme val="minor"/>
      </rPr>
      <t>st</t>
    </r>
    <r>
      <rPr>
        <sz val="12"/>
        <rFont val="Calibri"/>
        <family val="2"/>
        <scheme val="minor"/>
      </rPr>
      <t xml:space="preserve"> Basement (MEP)</t>
    </r>
  </si>
  <si>
    <t>Total Office Area</t>
  </si>
  <si>
    <t>Total Mall Area</t>
  </si>
  <si>
    <t>B4</t>
  </si>
  <si>
    <t>B3</t>
  </si>
  <si>
    <t>B2</t>
  </si>
  <si>
    <t>B1</t>
  </si>
  <si>
    <t>LG</t>
  </si>
  <si>
    <t>L1</t>
  </si>
  <si>
    <t>L2</t>
  </si>
  <si>
    <t>L3</t>
  </si>
  <si>
    <t>L4</t>
  </si>
  <si>
    <t>L5</t>
  </si>
  <si>
    <t>L6</t>
  </si>
  <si>
    <t>L7</t>
  </si>
  <si>
    <t>L8</t>
  </si>
  <si>
    <t>Common area components for each floor</t>
  </si>
  <si>
    <t>Common Toilet</t>
  </si>
  <si>
    <t>Services Area</t>
  </si>
  <si>
    <t>Electrical (HT/LT/Transformer/Panel)</t>
  </si>
  <si>
    <t>DG</t>
  </si>
  <si>
    <t>Plumbing and Fire fighting</t>
  </si>
  <si>
    <t>Fire fighting and CCTV control</t>
  </si>
  <si>
    <t>UPS and Battery</t>
  </si>
  <si>
    <t>ST-01</t>
  </si>
  <si>
    <t>ST-02</t>
  </si>
  <si>
    <t>ST-03</t>
  </si>
  <si>
    <t>ST-04</t>
  </si>
  <si>
    <t>ST-05</t>
  </si>
  <si>
    <t>ST-06</t>
  </si>
  <si>
    <t>Mall GE</t>
  </si>
  <si>
    <t>Mall SE</t>
  </si>
  <si>
    <t>Office GE</t>
  </si>
  <si>
    <t>Office SE</t>
  </si>
  <si>
    <t>Freight elevator</t>
  </si>
  <si>
    <t>Office lobby</t>
  </si>
  <si>
    <t>Mall BOH</t>
  </si>
  <si>
    <t>Service Yard</t>
  </si>
  <si>
    <t>Refuge Area</t>
  </si>
  <si>
    <t>Service lobby-Mall</t>
  </si>
  <si>
    <t>Corridor-Mall</t>
  </si>
  <si>
    <t>Service lobby-Office</t>
  </si>
  <si>
    <t>Corridor-Office</t>
  </si>
  <si>
    <t>Mall lobby</t>
  </si>
  <si>
    <t>AC</t>
  </si>
  <si>
    <t>Non AC</t>
  </si>
  <si>
    <t>DESCRIPTION OF AREA</t>
  </si>
  <si>
    <t>EQUIPMENT DETAILS</t>
  </si>
  <si>
    <t>Basement-1</t>
  </si>
  <si>
    <t>CAPACITY IN KW</t>
  </si>
  <si>
    <t>Basement - 1</t>
  </si>
  <si>
    <t>610TR Water Cooled Centrifugal Chiller</t>
  </si>
  <si>
    <t>350TR Water Cooled Screw Chiller</t>
  </si>
  <si>
    <t>Primary pump-1</t>
  </si>
  <si>
    <t>Primary pump-2</t>
  </si>
  <si>
    <t>Primary pump-3</t>
  </si>
  <si>
    <t>Seconary pump - 1</t>
  </si>
  <si>
    <t>Seconary pump - 2</t>
  </si>
  <si>
    <t>Seconary pump - 3</t>
  </si>
  <si>
    <t>Seconary pump - 4</t>
  </si>
  <si>
    <t>Seconary pump - 5</t>
  </si>
  <si>
    <t>Condenser Water pump - 1</t>
  </si>
  <si>
    <t>Condenser Water pump - 2</t>
  </si>
  <si>
    <t>Condenser Water pump - 3</t>
  </si>
  <si>
    <t>Terrace</t>
  </si>
  <si>
    <t>Condenser Water pump -1 ( Office )</t>
  </si>
  <si>
    <t>Condenser Water pump -2 (Office )</t>
  </si>
  <si>
    <t>Condenser Water pump -3 ( Office )</t>
  </si>
  <si>
    <t>Cooling Tower 1 (Office ) Fan1</t>
  </si>
  <si>
    <t>Cooling Tower 1 (Office ) Fan2</t>
  </si>
  <si>
    <t>Cooling Tower 1 (Office ) Fan3</t>
  </si>
  <si>
    <t>Cooling Tower 1 (Office ) Fan4</t>
  </si>
  <si>
    <t>Cooling Tower 2 (Office ) Fan1</t>
  </si>
  <si>
    <t>Cooling Tower 2 (Office ) Fan2</t>
  </si>
  <si>
    <t>Cooling Tower 2 (Office ) Fan3</t>
  </si>
  <si>
    <t>Cooling Tower 2 (Office ) Fan4</t>
  </si>
  <si>
    <t>Cooling Tower 1 ( Mall ) Fan1</t>
  </si>
  <si>
    <t>Cooling Tower 1 ( Mall ) Fan2</t>
  </si>
  <si>
    <t>Cooling Tower 1 ( Mall ) Fan3</t>
  </si>
  <si>
    <t>Cooling Tower 1 ( Mall ) Fan4</t>
  </si>
  <si>
    <t>Cooling Tower 2 ( Mall ) Fan1</t>
  </si>
  <si>
    <t>Cooling Tower 2 ( Mall ) Fan2</t>
  </si>
  <si>
    <t>Cooling Tower 2 ( Mall ) Fan3</t>
  </si>
  <si>
    <t>Cooling Tower 2 ( Mall ) Fan4</t>
  </si>
  <si>
    <t>Cooling Tower  3 ( Mall ) Fan 1</t>
  </si>
  <si>
    <t>Cooling Tower 3 ( Mall ) Fan 2</t>
  </si>
  <si>
    <t>Level 4</t>
  </si>
  <si>
    <t>5.5 TR Package Unit</t>
  </si>
  <si>
    <t>8.75 TR Package Unit</t>
  </si>
  <si>
    <t>Level 5</t>
  </si>
  <si>
    <t>Level 6</t>
  </si>
  <si>
    <t>Level 7</t>
  </si>
  <si>
    <t>Level 8</t>
  </si>
  <si>
    <t>DG- EXAUST AIR</t>
  </si>
  <si>
    <t>AXIAL FAN</t>
  </si>
  <si>
    <t>LTI</t>
  </si>
  <si>
    <t>DG-FRESH AIR</t>
  </si>
  <si>
    <t>TRASFORMER ROOM EXAUST AIR</t>
  </si>
  <si>
    <t>HVAC PLANT ROOM FRESH AIR</t>
  </si>
  <si>
    <t>HVAC PLANT ROOM EXAUST AIR</t>
  </si>
  <si>
    <t>PARKING EXHAUST</t>
  </si>
  <si>
    <t>PARKING FRESH AIR</t>
  </si>
  <si>
    <t xml:space="preserve">ST-6 STAIRCASE PRESSURIZATION </t>
  </si>
  <si>
    <t>PANEL ROOM CSU</t>
  </si>
  <si>
    <t>CSU</t>
  </si>
  <si>
    <t>ZECO</t>
  </si>
  <si>
    <t>1341118-2</t>
  </si>
  <si>
    <t>BOH CSU</t>
  </si>
  <si>
    <t xml:space="preserve">ST-3 STAIRCASE PRESSURIZATION </t>
  </si>
  <si>
    <t>BASEMENT-2</t>
  </si>
  <si>
    <t>BASEMENT-3</t>
  </si>
  <si>
    <t>BASEMENT-4</t>
  </si>
  <si>
    <t>GROUND FLOOR</t>
  </si>
  <si>
    <t>13/055/050</t>
  </si>
  <si>
    <t>13/055/041</t>
  </si>
  <si>
    <t>13/055/042</t>
  </si>
  <si>
    <t>13/055/043</t>
  </si>
  <si>
    <t>13/055/044</t>
  </si>
  <si>
    <t>LEVEL-1</t>
  </si>
  <si>
    <t>LI - LVL</t>
  </si>
  <si>
    <t>1341105-1</t>
  </si>
  <si>
    <t>1341105-2</t>
  </si>
  <si>
    <t>1341105-3</t>
  </si>
  <si>
    <t>13/055/035</t>
  </si>
  <si>
    <t>CORRIDOR</t>
  </si>
  <si>
    <t>1341106-2</t>
  </si>
  <si>
    <t>LEVEL-2</t>
  </si>
  <si>
    <t>L2 - LVL</t>
  </si>
  <si>
    <t>13/055/013</t>
  </si>
  <si>
    <t>LOFT</t>
  </si>
  <si>
    <t>1341107-28</t>
  </si>
  <si>
    <t>13/055/036</t>
  </si>
  <si>
    <t>LEVEL-3</t>
  </si>
  <si>
    <t>L3 - LVL</t>
  </si>
  <si>
    <t>1341116-3</t>
  </si>
  <si>
    <t>1341119-5</t>
  </si>
  <si>
    <t>STAIR PRESSURISATON-3</t>
  </si>
  <si>
    <t>STAIR PRESSURISATON-4</t>
  </si>
  <si>
    <t>STAIR PRESSURISATON-5</t>
  </si>
  <si>
    <t>STAIR PRESSURISATON-1</t>
  </si>
  <si>
    <t>STP EXAUST</t>
  </si>
  <si>
    <t>Fire PUMP</t>
  </si>
  <si>
    <t>Hydro pnematic pump 1</t>
  </si>
  <si>
    <t>Hydro pnematic pump 2</t>
  </si>
  <si>
    <t>Hydro pnematic pump 3</t>
  </si>
  <si>
    <t>Hydro pnematic pump 4</t>
  </si>
  <si>
    <t>Domestic Pump 1</t>
  </si>
  <si>
    <t>Domestic Pump 2</t>
  </si>
  <si>
    <t>Raw Water pump 1</t>
  </si>
  <si>
    <t>Raw Water pump 2</t>
  </si>
  <si>
    <t>Basement 4 (STP)</t>
  </si>
  <si>
    <t>Sft water pump 1</t>
  </si>
  <si>
    <t>Sft water pump 2</t>
  </si>
  <si>
    <t>Sft water pump 3</t>
  </si>
  <si>
    <t>Sft water pump 4</t>
  </si>
  <si>
    <t>Basement 4</t>
  </si>
  <si>
    <t>Catch Basin pump 1</t>
  </si>
  <si>
    <t>Catch Basin pump 2</t>
  </si>
  <si>
    <t>Catch Basin pump 3</t>
  </si>
  <si>
    <t>Catch Basin pump 4</t>
  </si>
  <si>
    <t>Catch Basin pump 5</t>
  </si>
  <si>
    <t>Catch Basin pump 6</t>
  </si>
  <si>
    <t>Catch Basin pump 7</t>
  </si>
  <si>
    <t>Catch Basin pump 8</t>
  </si>
  <si>
    <t>Catch Basin pump 9</t>
  </si>
  <si>
    <t>Catch Basin pump 10</t>
  </si>
  <si>
    <t>Reactor feed Pump</t>
  </si>
  <si>
    <t>Filter Feed Pump</t>
  </si>
  <si>
    <t>Softner feed Pump</t>
  </si>
  <si>
    <t>Roto Screw Pumps</t>
  </si>
  <si>
    <t>Decander Pumps</t>
  </si>
  <si>
    <t>Air Blower Pumps</t>
  </si>
  <si>
    <t>Pump</t>
  </si>
  <si>
    <t>Dosing Pump</t>
  </si>
  <si>
    <t>Mall Guest Lift 1</t>
  </si>
  <si>
    <t>Mall Guest Lift 2</t>
  </si>
  <si>
    <t>Mall Sevice Lift 1</t>
  </si>
  <si>
    <t>Mall Sevice Lift 2</t>
  </si>
  <si>
    <t>Level 09</t>
  </si>
  <si>
    <t>Office Elevator 1</t>
  </si>
  <si>
    <t>Office Elevator 2</t>
  </si>
  <si>
    <t>Office Elevator 3</t>
  </si>
  <si>
    <t>Office Service Elevator</t>
  </si>
  <si>
    <t>Escalator 1</t>
  </si>
  <si>
    <t>Escalator 2</t>
  </si>
  <si>
    <t>Escalator 3</t>
  </si>
  <si>
    <t>Escalator 4</t>
  </si>
  <si>
    <t>Escalator 5</t>
  </si>
  <si>
    <t>Escalator 6</t>
  </si>
  <si>
    <t>Travalator 1</t>
  </si>
  <si>
    <t>Travalator 2</t>
  </si>
  <si>
    <t>Level Ground</t>
  </si>
  <si>
    <t>Travalator 3</t>
  </si>
  <si>
    <t>Travalator 4</t>
  </si>
  <si>
    <t>Travalator 5</t>
  </si>
  <si>
    <t>Basement-4</t>
  </si>
  <si>
    <t>Basement-3</t>
  </si>
  <si>
    <t>Basement-2</t>
  </si>
  <si>
    <t xml:space="preserve"> Ground Floor</t>
  </si>
  <si>
    <t>STAIRCASE</t>
  </si>
  <si>
    <t>LIFT SHAFT</t>
  </si>
  <si>
    <t>External Lighting</t>
  </si>
  <si>
    <t>Mobile chargers,Vaccum cleaners etc.</t>
  </si>
  <si>
    <t>Level-1</t>
  </si>
  <si>
    <t>Level-2</t>
  </si>
  <si>
    <t>Level-3</t>
  </si>
  <si>
    <t>S.No. as per Budget</t>
  </si>
  <si>
    <t>Package No.</t>
  </si>
  <si>
    <t>Package Name</t>
  </si>
  <si>
    <t>4th Year</t>
  </si>
  <si>
    <t>5th Year</t>
  </si>
  <si>
    <t>TIIPL/MEP-003(PART-1)</t>
  </si>
  <si>
    <t>TIIPL/MEP-009</t>
  </si>
  <si>
    <t>FAS</t>
  </si>
  <si>
    <t>IBMS&amp;PAS</t>
  </si>
  <si>
    <t>TIIPL/MEP-007</t>
  </si>
  <si>
    <t>TIIPL/MEP -7(PART-2)</t>
  </si>
  <si>
    <t>Package Units</t>
  </si>
  <si>
    <t>TIIPL/MEP - 002</t>
  </si>
  <si>
    <t>33KV Transformers</t>
  </si>
  <si>
    <t>TIIPL/MEP - 11 Part 1</t>
  </si>
  <si>
    <t>Fire Fighting Pumps</t>
  </si>
  <si>
    <t>TIIPL/INT - 002</t>
  </si>
  <si>
    <t>TIIPL/MEP-005</t>
  </si>
  <si>
    <t>Diesel Generators</t>
  </si>
  <si>
    <t>FAS,CCTV,IBMS&amp;PAS</t>
  </si>
  <si>
    <t>Rates estimated for FY 14-15</t>
  </si>
  <si>
    <t>Property Manager</t>
  </si>
  <si>
    <t>Purchase &amp; Store</t>
  </si>
  <si>
    <t>C&amp;W Management Staff</t>
  </si>
  <si>
    <t>L4-L8</t>
  </si>
  <si>
    <t>Comm Toilets</t>
  </si>
  <si>
    <t>Grd Floor- Office Entry</t>
  </si>
  <si>
    <t>( Façade Cleaning Servcies) (8hrs X 6 days a week)</t>
  </si>
  <si>
    <t>Entry &amp; Exit Point</t>
  </si>
  <si>
    <t>Spideman Tool Kit</t>
  </si>
  <si>
    <t>Electrical Panels ( HT /  LT)</t>
  </si>
  <si>
    <t>Office Total</t>
  </si>
  <si>
    <t>Mall Total</t>
  </si>
  <si>
    <t>Office Area</t>
  </si>
  <si>
    <t>Custodial Services (HK and General Cleaning Servcies) (8hrs X 6 days a week)- Comm</t>
  </si>
  <si>
    <t>Custodial Services (HK and General Cleaning Servcies) (8hrs X 6 days a week)- Mall</t>
  </si>
  <si>
    <t>Custodial Services (HK and General Cleaning Servcies) (8hrs X 6 days a week)- Office</t>
  </si>
  <si>
    <t>( Security Servcies) (8hrs X 6 days a week)- Comm</t>
  </si>
  <si>
    <t>( Security Servcies) (8hrs X 6 days a week)- Mall</t>
  </si>
  <si>
    <t>( Security Servcies) (8hrs X 6 days a week)- Office</t>
  </si>
  <si>
    <t>Total Units</t>
  </si>
  <si>
    <t>Unit Rate</t>
  </si>
  <si>
    <t>Total Cost per Montrh</t>
  </si>
  <si>
    <t>Lighting Load- Comm</t>
  </si>
  <si>
    <t>Lighting Load- Office Area common</t>
  </si>
  <si>
    <t>Lighting Load- Mall area common</t>
  </si>
  <si>
    <t>Ventilation and Exhaust- Comm</t>
  </si>
  <si>
    <t xml:space="preserve">STP </t>
  </si>
  <si>
    <t>Raw Power Load</t>
  </si>
  <si>
    <t>Sump Pumps- Comm</t>
  </si>
  <si>
    <t>Fire Pumps</t>
  </si>
  <si>
    <t xml:space="preserve">WTP </t>
  </si>
  <si>
    <t>Lift- Mall</t>
  </si>
  <si>
    <t>Lift-Office</t>
  </si>
  <si>
    <t>TOTAL ELECTRICAL LOAD FOR COMMON UTILITIES</t>
  </si>
  <si>
    <t>Comm. Utilities</t>
  </si>
  <si>
    <t>COMM. UTILITIES</t>
  </si>
  <si>
    <t>MALL ELECTRICITY EXPENSES</t>
  </si>
  <si>
    <t>OFFICE ELECTRICITY EXPENSES</t>
  </si>
  <si>
    <t>Electricity Cost ( Utility &amp; Common Area HVAC)</t>
  </si>
  <si>
    <t xml:space="preserve">Profit Margin 10% on Actual Expense </t>
  </si>
  <si>
    <t>Office- HVAC Load</t>
  </si>
  <si>
    <t>HVAC Load- Mall Area</t>
  </si>
  <si>
    <t>Total Load</t>
  </si>
  <si>
    <t>Cost for HVAC of Common Area in sq ft- Chiller</t>
  </si>
  <si>
    <t>Cost of AHU- Comm Area</t>
  </si>
  <si>
    <t>HVAC Expense for common area</t>
  </si>
  <si>
    <t>Common Toilet-Mall</t>
  </si>
  <si>
    <t>Total Sq ft</t>
  </si>
  <si>
    <t>Total Sq Mtr</t>
  </si>
  <si>
    <t>CAM rate</t>
  </si>
  <si>
    <t>Comm. Services</t>
  </si>
  <si>
    <t>Electrical Load Breakup</t>
  </si>
  <si>
    <t>HVAC Charges-Mall</t>
  </si>
  <si>
    <t>AHU Load- Mall</t>
  </si>
  <si>
    <t>Manpower Deplyment &amp; Costing</t>
  </si>
  <si>
    <t>Salary Breakup- Support Staff</t>
  </si>
  <si>
    <t>CAM Charge Summary</t>
  </si>
  <si>
    <t>L1- L3</t>
  </si>
  <si>
    <t>fluroscent lamp (2*28w)</t>
  </si>
  <si>
    <t>-</t>
  </si>
  <si>
    <t>fluroscent lamp (1*28w)</t>
  </si>
  <si>
    <t>fluroscent lamp (1*9w)</t>
  </si>
  <si>
    <t>bulk head (11w)</t>
  </si>
  <si>
    <t>bulk head (9w)</t>
  </si>
  <si>
    <t>Ground Floor</t>
  </si>
  <si>
    <t>combo light (45w)</t>
  </si>
  <si>
    <t>strip light (9.6w)</t>
  </si>
  <si>
    <t>spot light (18w)</t>
  </si>
  <si>
    <t>level-1</t>
  </si>
  <si>
    <t>level-2</t>
  </si>
  <si>
    <t>RD(LED accent light)(26w)</t>
  </si>
  <si>
    <t>level-3</t>
  </si>
  <si>
    <t>linear lights (24w)</t>
  </si>
  <si>
    <t>Level-4</t>
  </si>
  <si>
    <t>Level-5</t>
  </si>
  <si>
    <t>Level-6</t>
  </si>
  <si>
    <t>Level-7</t>
  </si>
  <si>
    <t>Level-8</t>
  </si>
  <si>
    <t>Air conditioned Area</t>
  </si>
  <si>
    <t>Mani</t>
  </si>
  <si>
    <t>Standby</t>
  </si>
  <si>
    <t>B1- B4 &amp; Utilities</t>
  </si>
  <si>
    <t>CAM / sq ft</t>
  </si>
  <si>
    <t>Built Up Area</t>
  </si>
  <si>
    <t>Mall- Non AC</t>
  </si>
  <si>
    <t>Mall- AC</t>
  </si>
  <si>
    <t>Per sq ft Cost</t>
  </si>
  <si>
    <t>Annual Cost</t>
  </si>
  <si>
    <t>COMM. AREA ELECTRAL LOAD DETAIL - ELECTRICITY CONSUMPTION</t>
  </si>
  <si>
    <t>TYPE</t>
  </si>
  <si>
    <t>LOCATION</t>
  </si>
  <si>
    <t>MAKE</t>
  </si>
  <si>
    <t>Cost per month</t>
  </si>
  <si>
    <t>Per unit Cost</t>
  </si>
  <si>
    <t>Total Units consumed</t>
  </si>
  <si>
    <t>Monthly Unit Cost</t>
  </si>
  <si>
    <t>Salary Breakup- Hyderabad</t>
  </si>
  <si>
    <t>LG-L3- Mall</t>
  </si>
  <si>
    <t>Main Entry</t>
  </si>
  <si>
    <t xml:space="preserve">Sub Total (G) - Security Services </t>
  </si>
  <si>
    <t xml:space="preserve">Sub Total (H) - Security Services </t>
  </si>
  <si>
    <t xml:space="preserve">Sub Total (I) - Façade Cleaning Services </t>
  </si>
  <si>
    <t>Mall Atrium Gate</t>
  </si>
  <si>
    <t>Grd Floor- Mall Entry Outside</t>
  </si>
  <si>
    <t>Finance Manager</t>
  </si>
  <si>
    <t>Manager- Marketing</t>
  </si>
  <si>
    <t>Basement 1 ( Lift Lobbies)</t>
  </si>
  <si>
    <t>Basement 2 ( Lift Lobbies)</t>
  </si>
  <si>
    <t>Basement 3 ( Lift Lobbies)</t>
  </si>
  <si>
    <t>Basement 4 ( Lift Lobbies)</t>
  </si>
  <si>
    <t>Sl. No.</t>
  </si>
  <si>
    <t>Carpet area</t>
  </si>
  <si>
    <t>Built up area</t>
  </si>
  <si>
    <t>Loading in %</t>
  </si>
  <si>
    <t>Super BUA/Saleable area</t>
  </si>
  <si>
    <t>efficiency</t>
  </si>
  <si>
    <t>f/d</t>
  </si>
  <si>
    <t>Sq m</t>
  </si>
  <si>
    <t>Sq ft</t>
  </si>
  <si>
    <t>%</t>
  </si>
  <si>
    <t>super / carpet</t>
  </si>
  <si>
    <t>Ground Floor Area</t>
  </si>
  <si>
    <t>LG - 01</t>
  </si>
  <si>
    <t>LG – 02</t>
  </si>
  <si>
    <t>LG - 03</t>
  </si>
  <si>
    <t>LG – 04- Anchor 01</t>
  </si>
  <si>
    <t>LG - 05</t>
  </si>
  <si>
    <t>LG - 06</t>
  </si>
  <si>
    <t>LG - 07</t>
  </si>
  <si>
    <t>LG - 08</t>
  </si>
  <si>
    <t>LG - 09</t>
  </si>
  <si>
    <t>LG - 10</t>
  </si>
  <si>
    <t>LG - 11-1</t>
  </si>
  <si>
    <t>Actual area sold (loading not done)</t>
  </si>
  <si>
    <t>LG - 11-2</t>
  </si>
  <si>
    <t>TOTAL</t>
  </si>
  <si>
    <t>First Floor Area</t>
  </si>
  <si>
    <t>L1 - 01</t>
  </si>
  <si>
    <t>L1 - 02</t>
  </si>
  <si>
    <t>L1 - 03</t>
  </si>
  <si>
    <t>L1 - 04-Anchor 01</t>
  </si>
  <si>
    <t>L1 - 05</t>
  </si>
  <si>
    <t xml:space="preserve">L1 - 06 </t>
  </si>
  <si>
    <t>L1 - 07</t>
  </si>
  <si>
    <t>L1 - 08</t>
  </si>
  <si>
    <t>Second Floor Area</t>
  </si>
  <si>
    <t>L2 - 01</t>
  </si>
  <si>
    <t>L2 - 02</t>
  </si>
  <si>
    <t>L2 - 03</t>
  </si>
  <si>
    <t>L2 - 04- Anchor 01</t>
  </si>
  <si>
    <t>L2 - 05 (kiosk)</t>
  </si>
  <si>
    <t>L2 - 06</t>
  </si>
  <si>
    <t xml:space="preserve">L2- 07 </t>
  </si>
  <si>
    <t>L2 - 08</t>
  </si>
  <si>
    <t>L2 – 09</t>
  </si>
  <si>
    <t>L2 – 10 (kiosk)</t>
  </si>
  <si>
    <t>Third Floor Area</t>
  </si>
  <si>
    <t>Edutainemnt Centre/ Restaurant- 01</t>
  </si>
  <si>
    <t>Restaurant - 02</t>
  </si>
  <si>
    <t>Restaurant - 03</t>
  </si>
  <si>
    <t>Restaurant - 04</t>
  </si>
  <si>
    <t>Restaurant - 05</t>
  </si>
  <si>
    <t>Complete area/ SBU of mall</t>
  </si>
  <si>
    <t>Complete area/ SBU of mall exculding LG and L1 achor stores</t>
  </si>
  <si>
    <t>Total cam for mall exculding LG and L1 anchor stores.</t>
  </si>
  <si>
    <t>Cam for LG L1 anchor stores</t>
  </si>
  <si>
    <t>Total CAM collection for mall</t>
  </si>
  <si>
    <t>Fourth Floor</t>
  </si>
  <si>
    <t>OFFICE-01</t>
  </si>
  <si>
    <t>OFFICE-02</t>
  </si>
  <si>
    <t>OFFICE-03</t>
  </si>
  <si>
    <t>OFFICE-04</t>
  </si>
  <si>
    <t>OFFICE-05</t>
  </si>
  <si>
    <t>OFFICE-06</t>
  </si>
  <si>
    <t>Fifth Floor</t>
  </si>
  <si>
    <t>Refuge area Reduction</t>
  </si>
  <si>
    <t>Sixth Floor</t>
  </si>
  <si>
    <t>OFFICE-03-1</t>
  </si>
  <si>
    <t>OFFICE-03-2</t>
  </si>
  <si>
    <t>Seventh Floor</t>
  </si>
  <si>
    <t>Eighth Floor</t>
  </si>
  <si>
    <t>26% Average</t>
  </si>
  <si>
    <t>Office-L4</t>
  </si>
  <si>
    <t>Office-L5</t>
  </si>
  <si>
    <t>Office-L6</t>
  </si>
  <si>
    <t>Office-L7</t>
  </si>
  <si>
    <t>Office-L8</t>
  </si>
  <si>
    <t>Area Summary</t>
  </si>
  <si>
    <t>Area Breakup - Mall</t>
  </si>
  <si>
    <t>Aarea Breakup- Office</t>
  </si>
  <si>
    <t>Area Breakup- Common Area</t>
  </si>
  <si>
    <t>CAM COST PER MONTH PER SQ FT IN INR</t>
  </si>
  <si>
    <t>Combined Services</t>
  </si>
  <si>
    <t>AREA STATEMENT- OFFICE</t>
  </si>
  <si>
    <t>Cost for HVAC for Tenants inside Mall</t>
  </si>
  <si>
    <t>Cost for Air conditioning excluding Comm. Area cost</t>
  </si>
  <si>
    <t>Leasable Area inside Mall</t>
  </si>
  <si>
    <t xml:space="preserve">CAM CALCULATION SHEET </t>
  </si>
  <si>
    <t xml:space="preserve">PROPOSED CAM CHARGES </t>
  </si>
  <si>
    <t>CAM CHARGE CALCULATION BASED ON BUILT UP AREA OF</t>
  </si>
  <si>
    <t>AREA BREAKUP FOR COMMON AREA</t>
  </si>
  <si>
    <t xml:space="preserve">ANNUAL MAINTENANCE CHARGE ESTIMATION- </t>
  </si>
  <si>
    <t xml:space="preserve">CAM CHARGE CALCULATION BASED ON BUILT UP AREA </t>
  </si>
  <si>
    <t>CAM Variables-</t>
  </si>
  <si>
    <t>MAJOR COST HEADS FOR COMMON AREA CHARGES</t>
  </si>
  <si>
    <t>HVAC CHARGES CALCULATION</t>
  </si>
  <si>
    <t>ELECTRICAL LOAD OF  AHU / FCU</t>
  </si>
  <si>
    <t xml:space="preserve">Sinking Fund Estimation- </t>
  </si>
  <si>
    <t>AREA STATEMENT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</si>
</sst>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3">
    <numFmt numFmtId="41" formatCode="_ * #,##0_ ;_ * \-#,##0_ ;_ * &quot;-&quot;_ ;_ @_ "/>
    <numFmt numFmtId="43" formatCode="_ * #,##0.00_ ;_ * \-#,##0.00_ ;_ * &quot;-&quot;??_ ;_ @_ "/>
    <numFmt numFmtId="164" formatCode="&quot;$&quot;#,##0_);\(&quot;$&quot;#,##0\)"/>
    <numFmt numFmtId="165" formatCode="&quot;$&quot;#,##0.00_);\(&quot;$&quot;#,##0.00\)"/>
    <numFmt numFmtId="166" formatCode="&quot;$&quot;#,##0.00_);[Red]\(&quot;$&quot;#,##0.00\)"/>
    <numFmt numFmtId="167" formatCode="_(&quot;$&quot;* #,##0_);_(&quot;$&quot;* \(#,##0\);_(&quot;$&quot;* &quot;-&quot;_);_(@_)"/>
    <numFmt numFmtId="168" formatCode="_(* #,##0_);_(* \(#,##0\);_(* &quot;-&quot;_);_(@_)"/>
    <numFmt numFmtId="169" formatCode="_(&quot;$&quot;* #,##0.00_);_(&quot;$&quot;* \(#,##0.00\);_(&quot;$&quot;* &quot;-&quot;??_);_(@_)"/>
    <numFmt numFmtId="170" formatCode="_(* #,##0.00_);_(* \(#,##0.00\);_(* &quot;-&quot;??_);_(@_)"/>
    <numFmt numFmtId="171" formatCode="_(* #,##0_);_(* \(#,##0\);_(* &quot;-&quot;??_);_(@_)"/>
    <numFmt numFmtId="172" formatCode="0.0"/>
    <numFmt numFmtId="173" formatCode="0.000"/>
    <numFmt numFmtId="174" formatCode="#,##0.0"/>
    <numFmt numFmtId="175" formatCode="_(* #,##0_);_(* \(#,##0\);_(* &quot;-&quot;?_);_(@_)"/>
    <numFmt numFmtId="176" formatCode="_(* #,##0.00_);_(* \(#,##0.00\);_(* &quot;-&quot;?_);_(@_)"/>
    <numFmt numFmtId="177" formatCode="#,##0.0_);\(#,##0.0\);&quot;--&quot;_._0_);@_-"/>
    <numFmt numFmtId="178" formatCode="\$#,##0.0_);\(\$#,##0.0\);&quot;--&quot;_._0_);@_-"/>
    <numFmt numFmtId="179" formatCode="\€#,##0.0_);\(\€#,##0.0\);&quot;--&quot;_._0_);@_-"/>
    <numFmt numFmtId="180" formatCode="&quot;£&quot;#,##0.0_);\(&quot;£&quot;#,##0.0\);&quot;--&quot;_._0_);@_-"/>
    <numFmt numFmtId="181" formatCode="dd\ mmm_)"/>
    <numFmt numFmtId="182" formatCode="dd\ mmm\ yy_)"/>
    <numFmt numFmtId="183" formatCode="mmm\ yy_)"/>
    <numFmt numFmtId="184" formatCode="_([$€-2]* #,##0.00_);_([$€-2]* \(#,##0.00\);_([$€-2]* &quot;-&quot;??_)"/>
    <numFmt numFmtId="185" formatCode="#,##0.0%_);\(#,##0.0%\);@_)"/>
    <numFmt numFmtId="186" formatCode="#,##0.0%_);\(#,##0.0%\);&quot;--&quot;_._0_);@_-"/>
    <numFmt numFmtId="187" formatCode="#,##0.0\x_);&quot;N/a&quot;_);@_-"/>
    <numFmt numFmtId="188" formatCode="###0_);@_-"/>
    <numFmt numFmtId="189" formatCode="_ * #,##0_ ;_ * \-#,##0_ ;_ * &quot;-&quot;??_ ;_ @_ "/>
    <numFmt numFmtId="190" formatCode="_(* #,##0.0_);_(* \(#,##0.0\);_(* &quot;-&quot;?_);_(@_)"/>
    <numFmt numFmtId="191" formatCode="0\ &quot;Mth(s)&quot;"/>
    <numFmt numFmtId="192" formatCode="d\ mmm\ yy"/>
    <numFmt numFmtId="193" formatCode="#,##0_-;\ \(#,##0\);_-* &quot;-&quot;??;_-@_-"/>
    <numFmt numFmtId="194" formatCode="0.0%"/>
    <numFmt numFmtId="195" formatCode="_(* #,##0.0_);_(* \(#,##0.0\);_(* &quot;-&quot;??_);_(@_)"/>
    <numFmt numFmtId="196" formatCode="#,##0.0_);\(#,##0.0\);@_)"/>
    <numFmt numFmtId="197" formatCode="#,##0.0_);\(#,##0.0\);&quot;-&quot;?_);@_)"/>
    <numFmt numFmtId="198" formatCode="&quot;$&quot;#,##0.0_);\(&quot;$&quot;#,##0.0\);@_)"/>
    <numFmt numFmtId="199" formatCode="&quot;$&quot;#,##0.0_);\(&quot;$&quot;#,##0.0\);&quot;-&quot;?_);@_)"/>
    <numFmt numFmtId="200" formatCode="&quot;$&quot;#,##0.00_)_x_x;\(&quot;$&quot;#,##0.00\)_x_x"/>
    <numFmt numFmtId="201" formatCode="0.0%;\-0.0%;&quot;-&quot;?_);@_)"/>
    <numFmt numFmtId="202" formatCode="#,##0.0_);[Red]\(#,##0.0\)"/>
    <numFmt numFmtId="203" formatCode="#,##0_)_x;\(#,##0\)_x;0_)_x;@_)_x"/>
    <numFmt numFmtId="204" formatCode="0.000000"/>
    <numFmt numFmtId="205" formatCode="\£\ #,##0_);[Red]\(\£\ #,##0\)"/>
    <numFmt numFmtId="206" formatCode="\¥\ #,##0_);[Red]\(\¥\ #,##0\)"/>
    <numFmt numFmtId="207" formatCode="\+#,##0.0_);\(#,##0.0\)"/>
    <numFmt numFmtId="208" formatCode="#,##0.0;\(#,##0.0\);\-"/>
    <numFmt numFmtId="209" formatCode="#,##0.0&quot; F&quot;;\(#,##0.0&quot; F&quot;\);\-"/>
    <numFmt numFmtId="210" formatCode="0.0%;\(0.0%\);\-"/>
    <numFmt numFmtId="211" formatCode="\ "/>
    <numFmt numFmtId="212" formatCode="0.00\x"/>
    <numFmt numFmtId="213" formatCode="0.0\x"/>
    <numFmt numFmtId="214" formatCode="#,##0.0_)_x_x_x;\(#,##0.0\)_x_x_x"/>
    <numFmt numFmtId="215" formatCode="#,##0.00_)_x_x;\(#,##0.00\)_x_x"/>
    <numFmt numFmtId="216" formatCode="#,##0;\(#,##0\);\-"/>
    <numFmt numFmtId="217" formatCode="#,##0&quot; MF&quot;;\(#,##0&quot; MF&quot;\);\-"/>
    <numFmt numFmtId="218" formatCode="mmmm\-yy"/>
    <numFmt numFmtId="219" formatCode="0.0_)"/>
    <numFmt numFmtId="220" formatCode="0.00%_);\(0.00%\)"/>
    <numFmt numFmtId="221" formatCode="0.0%_);\(0.0%\)"/>
    <numFmt numFmtId="222" formatCode="#,##0.0_);\(#,##0.0\)"/>
    <numFmt numFmtId="223" formatCode="#,##0.0_);\(#,##0.0\);\-_)"/>
    <numFmt numFmtId="224" formatCode="&quot;yes&quot;;&quot;no&quot;;&quot;no&quot;"/>
    <numFmt numFmtId="225" formatCode="\•\ \ @"/>
    <numFmt numFmtId="226" formatCode="#,##0;\-#,##0;&quot;-&quot;"/>
    <numFmt numFmtId="227" formatCode="#,##0.00;\-#,##0.00;&quot;-&quot;"/>
    <numFmt numFmtId="228" formatCode="#,##0%;\-#,##0%;&quot;- &quot;"/>
    <numFmt numFmtId="229" formatCode="#,##0.0%;\-#,##0.0%;&quot;- &quot;"/>
    <numFmt numFmtId="230" formatCode="#,##0.00%;\-#,##0.00%;&quot;- &quot;"/>
    <numFmt numFmtId="231" formatCode="#,##0.0;\-#,##0.0;&quot;-&quot;"/>
    <numFmt numFmtId="232" formatCode="0&quot; years&quot;"/>
    <numFmt numFmtId="233" formatCode="0.0\x_);&quot;nm&quot;_);\-??"/>
    <numFmt numFmtId="234" formatCode="yyyy"/>
    <numFmt numFmtId="235" formatCode="#,##0.0_);\(#,##0.0\);\-??"/>
    <numFmt numFmtId="236" formatCode="#,##0_%_);\(#,##0\)_%;#,##0_%_);@_%_)"/>
    <numFmt numFmtId="237" formatCode="_-* #,##0.00_-;\-* #,##0.00_-;_-* &quot;-&quot;??_-;_-@_-"/>
    <numFmt numFmtId="238" formatCode="#,##0.00_%_);\(#,##0.00\)_%;**;@_%_)"/>
    <numFmt numFmtId="239" formatCode="#,##0.00_%_);\(#,##0.00\)_%;#,##0.00_%_);@_%_)"/>
    <numFmt numFmtId="240" formatCode="0.00000000000000%"/>
    <numFmt numFmtId="241" formatCode="#,##0.0\x_);\(#,##0.0\x\)"/>
    <numFmt numFmtId="242" formatCode="0\ "/>
    <numFmt numFmtId="243" formatCode="&quot;$&quot;#,##0.00_%_);\(&quot;$&quot;#,##0.00\)_%;**;@_%_)"/>
    <numFmt numFmtId="244" formatCode="&quot;$&quot;#,##0.00_%_);\(&quot;$&quot;#,##0.00\)_%;&quot;$&quot;#,##0.00_%_);@_%_)"/>
    <numFmt numFmtId="245" formatCode="#,##0.0000000000000_);\(#,##0.0000000000000\)"/>
    <numFmt numFmtId="246" formatCode="mmm\-dd\-yyyy"/>
    <numFmt numFmtId="247" formatCode="#,##0;\(#,##0\);\-\ "/>
    <numFmt numFmtId="248" formatCode="\ \ _•\–\ \ \ \ @"/>
    <numFmt numFmtId="249" formatCode="m/d/yy_%_);;**"/>
    <numFmt numFmtId="250" formatCode="m/d/yy_%_)"/>
    <numFmt numFmtId="251" formatCode="0\ &quot;days&quot;"/>
    <numFmt numFmtId="252" formatCode="_-* #,##0\ _D_M_-;\-* #,##0\ _D_M_-;_-* &quot;-&quot;\ _D_M_-;_-@_-"/>
    <numFmt numFmtId="253" formatCode="\€\ #,##0.0_);\(\€\ #,##0.0\);&quot;-&quot;?_);@_)"/>
    <numFmt numFmtId="254" formatCode="_-* #,##0.00\ [$€-1]_-;\-* #,##0.00\ [$€-1]_-;_-* &quot;-&quot;??\ [$€-1]_-"/>
    <numFmt numFmtId="255" formatCode="#,##0.0\ ;\(#,##0.0\);@\ "/>
    <numFmt numFmtId="256" formatCode="#,##0.0;\(#,##0.0\)"/>
    <numFmt numFmtId="257" formatCode=";;;"/>
    <numFmt numFmtId="258" formatCode="0.0\x_)"/>
    <numFmt numFmtId="259" formatCode="#,##0_);\(#,##0\);\-??"/>
    <numFmt numFmtId="260" formatCode="0&quot; years&quot;_)"/>
    <numFmt numFmtId="261" formatCode="#,##0\ ;@\ "/>
    <numFmt numFmtId="262" formatCode="#,##0.0\ \ ;[Red]\-#,##0.0\ \ \ "/>
    <numFmt numFmtId="263" formatCode="_-* #,##0_-;_-* #,##0\-;_-* &quot;-&quot;_-;_-@_-"/>
    <numFmt numFmtId="264" formatCode="_-* #,##0.00_-;_-* #,##0.00\-;_-* &quot;-&quot;??_-;_-@_-"/>
    <numFmt numFmtId="265" formatCode="0.0\x_);\(0.0\x\)"/>
    <numFmt numFmtId="266" formatCode="#,##0.0&quot; x&quot;_);\(#,##0.0&quot; x&quot;\)"/>
    <numFmt numFmtId="267" formatCode="&quot;$&quot;0.0_);\(&quot;$&quot;0.0\)"/>
    <numFmt numFmtId="268" formatCode="_ &quot;S/&quot;* #,##0_ ;_ &quot;S/&quot;* \-#,##0_ ;_ &quot;S/&quot;* &quot;-&quot;_ ;_ @_ "/>
    <numFmt numFmtId="269" formatCode="_ &quot;S/&quot;* #,##0.00_ ;_ &quot;S/&quot;* \-#,##0.00_ ;_ &quot;S/&quot;* &quot;-&quot;??_ ;_ @_ "/>
    <numFmt numFmtId="270" formatCode="#,##0.0\x;\-#,##0.0\x;&quot;-&quot;?_);@_)"/>
    <numFmt numFmtId="271" formatCode="&quot;$&quot;#,##0.0_);\(&quot;$&quot;#,##0.0\)"/>
    <numFmt numFmtId="272" formatCode="0.00_)"/>
    <numFmt numFmtId="273" formatCode="mm/dd/yy"/>
    <numFmt numFmtId="274" formatCode="&quot;Yes&quot;;;&quot;No&quot;"/>
    <numFmt numFmtId="275" formatCode="#,##0.0_);\(#,##0.0_)"/>
    <numFmt numFmtId="276" formatCode="&quot;On&quot;;;&quot;Off&quot;"/>
    <numFmt numFmtId="277" formatCode="#,##0.00;\(#,##0.00\);\-"/>
    <numFmt numFmtId="278" formatCode="0%;\(0%\)"/>
    <numFmt numFmtId="279" formatCode="0.0%;[Red]\(0.0%\)"/>
    <numFmt numFmtId="280" formatCode="#,##0.000000000"/>
    <numFmt numFmtId="281" formatCode="&quot;£&quot;#,##0.00_);\(&quot;£&quot;#,##0.00\)"/>
    <numFmt numFmtId="282" formatCode="0.0&quot;x&quot;;@_)"/>
    <numFmt numFmtId="283" formatCode="#,##0.00_);\(#,##0.00\);\-??"/>
    <numFmt numFmtId="284" formatCode="0_ ;[Red]\-0\ "/>
    <numFmt numFmtId="285" formatCode="\g\ \=\ 0.0%;\g\ \=\ \-0.0%"/>
    <numFmt numFmtId="286" formatCode="d/mm/yyyy"/>
    <numFmt numFmtId="287" formatCode="0.0\x\ "/>
    <numFmt numFmtId="288" formatCode="\ \ @"/>
    <numFmt numFmtId="289" formatCode="\ \ \ \ @"/>
    <numFmt numFmtId="290" formatCode="#,##0;\(#,##0\)"/>
    <numFmt numFmtId="291" formatCode="_-* #,##0_-;\-* #,##0_-;_-* &quot;-&quot;_-;_-@_-"/>
    <numFmt numFmtId="292" formatCode="&quot;Include&quot;;;&quot;Exclude&quot;"/>
    <numFmt numFmtId="293" formatCode="&quot;on&quot;;;&quot;off&quot;"/>
    <numFmt numFmtId="294" formatCode="_-&quot;$&quot;* #,##0_-;\-&quot;$&quot;* #,##0_-;_-&quot;$&quot;* &quot;-&quot;_-;_-@_-"/>
    <numFmt numFmtId="295" formatCode="_-&quot;F&quot;\ * #,##0_-;_-&quot;F&quot;\ * #,##0\-;_-&quot;F&quot;\ * &quot;-&quot;_-;_-@_-"/>
    <numFmt numFmtId="296" formatCode="_-&quot;F&quot;\ * #,##0.00_-;_-&quot;F&quot;\ * #,##0.00\-;_-&quot;F&quot;\ * &quot;-&quot;??_-;_-@_-"/>
    <numFmt numFmtId="297" formatCode="_-* #,##0\ &quot;DM&quot;_-;\-* #,##0\ &quot;DM&quot;_-;_-* &quot;-&quot;\ &quot;DM&quot;_-;_-@_-"/>
    <numFmt numFmtId="298" formatCode="_-* #,##0.00\ &quot;DM&quot;_-;\-* #,##0.00\ &quot;DM&quot;_-;_-* &quot;-&quot;??\ &quot;DM&quot;_-;_-@_-"/>
    <numFmt numFmtId="299" formatCode="#,##0.0_x_x"/>
    <numFmt numFmtId="300" formatCode="0.0&quot;x &quot;;@\ "/>
    <numFmt numFmtId="301" formatCode="_(* #,##0.0_);_(* \(#,##0.0\);_(* &quot;-&quot;_);_(@_)"/>
    <numFmt numFmtId="302" formatCode="_(* #,##0.00_);_(* \(#,##0.00\);_(* \-??_);_(@_)"/>
    <numFmt numFmtId="303" formatCode="[$-409]General"/>
    <numFmt numFmtId="304" formatCode="0;[Red]0"/>
  </numFmts>
  <fonts count="226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name val="Calibri"/>
      <family val="2"/>
      <scheme val="minor"/>
    </font>
    <font>
      <b/>
      <i/>
      <sz val="9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name val="Arial"/>
      <family val="2"/>
    </font>
    <font>
      <b/>
      <sz val="15"/>
      <color indexed="12"/>
      <name val="Arial"/>
      <family val="2"/>
    </font>
    <font>
      <sz val="10"/>
      <color indexed="12"/>
      <name val="Arial"/>
      <family val="2"/>
    </font>
    <font>
      <sz val="10"/>
      <color theme="1"/>
      <name val="Gill Sans"/>
      <family val="2"/>
    </font>
    <font>
      <sz val="12"/>
      <name val="Times New Roman"/>
      <family val="1"/>
    </font>
    <font>
      <sz val="12"/>
      <color theme="1"/>
      <name val="Calibri"/>
      <family val="2"/>
      <scheme val="minor"/>
    </font>
    <font>
      <sz val="12"/>
      <name val="Arial"/>
      <family val="2"/>
    </font>
    <font>
      <b/>
      <sz val="14"/>
      <color indexed="9"/>
      <name val="Calibri"/>
      <family val="2"/>
      <scheme val="minor"/>
    </font>
    <font>
      <b/>
      <sz val="10"/>
      <name val="Arial"/>
      <family val="2"/>
    </font>
    <font>
      <sz val="8"/>
      <color theme="1"/>
      <name val="Arial"/>
      <family val="2"/>
    </font>
    <font>
      <b/>
      <sz val="12"/>
      <name val="Arial"/>
      <family val="2"/>
    </font>
    <font>
      <sz val="10"/>
      <color indexed="62"/>
      <name val="Arial"/>
      <family val="2"/>
    </font>
    <font>
      <sz val="8"/>
      <name val="Calibri"/>
      <family val="2"/>
    </font>
    <font>
      <sz val="10"/>
      <name val="Helvetica-Narrow"/>
      <family val="2"/>
    </font>
    <font>
      <sz val="10"/>
      <color indexed="23"/>
      <name val="Arial"/>
      <family val="2"/>
    </font>
    <font>
      <b/>
      <sz val="8"/>
      <color theme="4" tint="-0.499984740745262"/>
      <name val="Arial"/>
      <family val="2"/>
    </font>
    <font>
      <sz val="18"/>
      <name val="Arial"/>
      <family val="2"/>
    </font>
    <font>
      <b/>
      <sz val="16"/>
      <color indexed="12"/>
      <name val="Arial"/>
      <family val="2"/>
    </font>
    <font>
      <u/>
      <sz val="12"/>
      <name val="Arial"/>
      <family val="2"/>
    </font>
    <font>
      <b/>
      <sz val="16"/>
      <color indexed="9"/>
      <name val="Arial"/>
      <family val="2"/>
    </font>
    <font>
      <sz val="10"/>
      <color indexed="16"/>
      <name val="Arial"/>
      <family val="2"/>
    </font>
    <font>
      <sz val="10"/>
      <color indexed="59"/>
      <name val="Arial"/>
      <family val="2"/>
    </font>
    <font>
      <b/>
      <sz val="18"/>
      <color indexed="62"/>
      <name val="Helvetica-Narrow"/>
      <family val="2"/>
    </font>
    <font>
      <b/>
      <sz val="18"/>
      <color indexed="12"/>
      <name val="Helvetica-Narrow"/>
      <family val="2"/>
    </font>
    <font>
      <sz val="10"/>
      <color indexed="9"/>
      <name val="Helvetica-Narrow"/>
      <family val="2"/>
    </font>
    <font>
      <sz val="10"/>
      <color indexed="55"/>
      <name val="Arial"/>
      <family val="2"/>
    </font>
    <font>
      <sz val="9"/>
      <color theme="0"/>
      <name val="Calibri"/>
      <family val="2"/>
      <scheme val="minor"/>
    </font>
    <font>
      <sz val="9"/>
      <name val="Arial"/>
      <family val="2"/>
    </font>
    <font>
      <sz val="9"/>
      <name val="Arial Narrow"/>
      <family val="2"/>
    </font>
    <font>
      <b/>
      <sz val="10"/>
      <name val="MS Sans Serif"/>
      <family val="2"/>
    </font>
    <font>
      <sz val="10"/>
      <name val="Arial Narrow"/>
      <family val="2"/>
    </font>
    <font>
      <sz val="12"/>
      <color indexed="8"/>
      <name val="Times New Roman"/>
      <family val="1"/>
    </font>
    <font>
      <sz val="10"/>
      <name val="Courier"/>
      <family val="3"/>
    </font>
    <font>
      <sz val="10"/>
      <name val="Helv"/>
      <charset val="204"/>
    </font>
    <font>
      <sz val="8"/>
      <name val="Arial"/>
      <family val="2"/>
    </font>
    <font>
      <b/>
      <sz val="22"/>
      <color indexed="18"/>
      <name val="Arial"/>
      <family val="2"/>
    </font>
    <font>
      <sz val="10"/>
      <name val="Univers Condensed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8"/>
      <name val="Times"/>
      <family val="1"/>
    </font>
    <font>
      <sz val="10"/>
      <name val="Palatino"/>
      <family val="1"/>
    </font>
    <font>
      <sz val="11"/>
      <color indexed="9"/>
      <name val="Calibri"/>
      <family val="2"/>
    </font>
    <font>
      <sz val="11"/>
      <name val="Arial"/>
      <family val="2"/>
    </font>
    <font>
      <sz val="8"/>
      <color indexed="12"/>
      <name val="Arial"/>
      <family val="2"/>
    </font>
    <font>
      <i/>
      <sz val="8"/>
      <color indexed="16"/>
      <name val="Arial"/>
      <family val="2"/>
    </font>
    <font>
      <i/>
      <sz val="8"/>
      <color indexed="54"/>
      <name val="Arial"/>
      <family val="2"/>
    </font>
    <font>
      <i/>
      <sz val="9"/>
      <color indexed="16"/>
      <name val="Arial"/>
      <family val="2"/>
    </font>
    <font>
      <b/>
      <sz val="9"/>
      <name val="Arial"/>
      <family val="2"/>
    </font>
    <font>
      <sz val="9"/>
      <name val="AGaramond"/>
    </font>
    <font>
      <b/>
      <sz val="10"/>
      <color indexed="39"/>
      <name val="Arial"/>
      <family val="2"/>
    </font>
    <font>
      <sz val="10"/>
      <color indexed="8"/>
      <name val="Times New Roman"/>
      <family val="1"/>
    </font>
    <font>
      <sz val="8"/>
      <name val="Times New Roman"/>
      <family val="1"/>
    </font>
    <font>
      <sz val="8"/>
      <color indexed="12"/>
      <name val="Helv"/>
    </font>
    <font>
      <sz val="10"/>
      <name val="Geneva"/>
      <family val="2"/>
    </font>
    <font>
      <b/>
      <sz val="12"/>
      <color indexed="55"/>
      <name val="Arial"/>
      <family val="2"/>
    </font>
    <font>
      <sz val="9"/>
      <color indexed="62"/>
      <name val="Arial Narrow"/>
      <family val="2"/>
    </font>
    <font>
      <sz val="12"/>
      <color indexed="12"/>
      <name val="Arial"/>
      <family val="2"/>
    </font>
    <font>
      <sz val="10"/>
      <color indexed="54"/>
      <name val="Arial Narrow"/>
      <family val="2"/>
    </font>
    <font>
      <sz val="10"/>
      <color indexed="39"/>
      <name val="Arial"/>
      <family val="2"/>
    </font>
    <font>
      <sz val="11"/>
      <color indexed="20"/>
      <name val="Calibri"/>
      <family val="2"/>
    </font>
    <font>
      <sz val="8"/>
      <color indexed="18"/>
      <name val="Arial"/>
      <family val="2"/>
    </font>
    <font>
      <sz val="10"/>
      <color indexed="12"/>
      <name val="Arial Narrow"/>
      <family val="2"/>
    </font>
    <font>
      <sz val="10"/>
      <color indexed="12"/>
      <name val="Times New Roman"/>
      <family val="1"/>
    </font>
    <font>
      <sz val="12"/>
      <name val="Tms Rmn"/>
    </font>
    <font>
      <b/>
      <sz val="12"/>
      <name val="Times New Roman"/>
      <family val="1"/>
    </font>
    <font>
      <b/>
      <sz val="7"/>
      <name val="Arial"/>
      <family val="2"/>
    </font>
    <font>
      <u val="singleAccounting"/>
      <sz val="10"/>
      <name val="Arial"/>
      <family val="2"/>
    </font>
    <font>
      <sz val="10"/>
      <color indexed="8"/>
      <name val="Arial"/>
      <family val="2"/>
    </font>
    <font>
      <b/>
      <sz val="11"/>
      <color indexed="52"/>
      <name val="Calibri"/>
      <family val="2"/>
    </font>
    <font>
      <b/>
      <sz val="8"/>
      <color indexed="8"/>
      <name val="Arial"/>
      <family val="2"/>
    </font>
    <font>
      <b/>
      <sz val="10"/>
      <name val="Helv"/>
    </font>
    <font>
      <u/>
      <sz val="9"/>
      <name val="Times New Roman"/>
      <family val="1"/>
    </font>
    <font>
      <b/>
      <sz val="11"/>
      <color indexed="9"/>
      <name val="Calibri"/>
      <family val="2"/>
    </font>
    <font>
      <b/>
      <sz val="10"/>
      <name val="Arial Narrow"/>
      <family val="2"/>
    </font>
    <font>
      <sz val="10"/>
      <name val="MS Sans Serif"/>
      <family val="2"/>
    </font>
    <font>
      <sz val="10"/>
      <color indexed="9"/>
      <name val="Times"/>
      <family val="1"/>
    </font>
    <font>
      <sz val="10"/>
      <color indexed="39"/>
      <name val="Century Schoolbook"/>
      <family val="1"/>
    </font>
    <font>
      <sz val="8"/>
      <name val="Palatino"/>
      <family val="1"/>
    </font>
    <font>
      <sz val="11"/>
      <color theme="1"/>
      <name val="Times New Roman"/>
      <family val="2"/>
    </font>
    <font>
      <sz val="10"/>
      <name val="BERNHARD"/>
    </font>
    <font>
      <sz val="10"/>
      <name val="Helv"/>
      <family val="2"/>
    </font>
    <font>
      <sz val="24"/>
      <name val="MS Sans Serif"/>
      <family val="2"/>
    </font>
    <font>
      <sz val="10"/>
      <name val="MS Serif"/>
      <family val="1"/>
    </font>
    <font>
      <sz val="28"/>
      <color indexed="8"/>
      <name val="BakerSignet"/>
    </font>
    <font>
      <sz val="7"/>
      <name val="Arial"/>
      <family val="2"/>
    </font>
    <font>
      <sz val="8"/>
      <color indexed="16"/>
      <name val="Palatino"/>
      <family val="1"/>
    </font>
    <font>
      <sz val="10"/>
      <color indexed="17"/>
      <name val="Palatino"/>
      <family val="1"/>
    </font>
    <font>
      <sz val="12"/>
      <name val="TimesNewRomanPS"/>
    </font>
    <font>
      <sz val="8"/>
      <color indexed="8"/>
      <name val="Arial"/>
      <family val="2"/>
    </font>
    <font>
      <sz val="6"/>
      <name val="Arial"/>
      <family val="2"/>
    </font>
    <font>
      <sz val="11"/>
      <name val="Times New Roman"/>
      <family val="1"/>
    </font>
    <font>
      <sz val="10"/>
      <name val="Helv"/>
    </font>
    <font>
      <sz val="1"/>
      <color indexed="8"/>
      <name val="Courier"/>
      <family val="3"/>
    </font>
    <font>
      <u val="doubleAccounting"/>
      <sz val="10"/>
      <name val="Arial"/>
      <family val="2"/>
    </font>
    <font>
      <b/>
      <sz val="1"/>
      <color indexed="8"/>
      <name val="Courier"/>
      <family val="3"/>
    </font>
    <font>
      <sz val="10"/>
      <color indexed="16"/>
      <name val="MS Serif"/>
      <family val="1"/>
    </font>
    <font>
      <sz val="10"/>
      <color indexed="38"/>
      <name val="Arial"/>
      <family val="2"/>
    </font>
    <font>
      <i/>
      <sz val="11"/>
      <color indexed="23"/>
      <name val="Calibri"/>
      <family val="2"/>
    </font>
    <font>
      <sz val="8"/>
      <color indexed="10"/>
      <name val="Arial"/>
      <family val="2"/>
    </font>
    <font>
      <sz val="7"/>
      <name val="Palatino"/>
      <family val="1"/>
    </font>
    <font>
      <sz val="9"/>
      <name val="GillSans"/>
      <family val="2"/>
    </font>
    <font>
      <sz val="9"/>
      <name val="GillSans Light"/>
      <family val="2"/>
    </font>
    <font>
      <sz val="11"/>
      <color indexed="17"/>
      <name val="Calibri"/>
      <family val="2"/>
    </font>
    <font>
      <b/>
      <sz val="14"/>
      <name val="Arial"/>
      <family val="2"/>
    </font>
    <font>
      <b/>
      <sz val="12"/>
      <name val="Helv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color indexed="8"/>
      <name val="Arial"/>
      <family val="2"/>
    </font>
    <font>
      <b/>
      <i/>
      <sz val="14"/>
      <color indexed="8"/>
      <name val="Arial"/>
      <family val="2"/>
    </font>
    <font>
      <u/>
      <sz val="10"/>
      <color indexed="12"/>
      <name val="Arial"/>
      <family val="2"/>
    </font>
    <font>
      <sz val="10"/>
      <name val="Times New Roman"/>
      <family val="1"/>
    </font>
    <font>
      <sz val="11"/>
      <color indexed="62"/>
      <name val="Calibri"/>
      <family val="2"/>
    </font>
    <font>
      <u/>
      <sz val="8"/>
      <color indexed="8"/>
      <name val="Arial"/>
      <family val="2"/>
    </font>
    <font>
      <sz val="8"/>
      <color indexed="12"/>
      <name val="CG Times (W1)"/>
      <family val="1"/>
    </font>
    <font>
      <u/>
      <sz val="10"/>
      <color indexed="20"/>
      <name val="Arial"/>
      <family val="2"/>
    </font>
    <font>
      <sz val="10"/>
      <color indexed="14"/>
      <name val="Arial"/>
      <family val="2"/>
    </font>
    <font>
      <sz val="11"/>
      <color indexed="52"/>
      <name val="Calibri"/>
      <family val="2"/>
    </font>
    <font>
      <sz val="8"/>
      <color indexed="8"/>
      <name val="Helv"/>
    </font>
    <font>
      <b/>
      <sz val="8"/>
      <name val="Arial"/>
      <family val="2"/>
    </font>
    <font>
      <sz val="8"/>
      <color indexed="10"/>
      <name val="Times New Roman"/>
      <family val="1"/>
    </font>
    <font>
      <sz val="30"/>
      <name val="Arial"/>
      <family val="2"/>
    </font>
    <font>
      <sz val="26"/>
      <name val="Arial"/>
      <family val="2"/>
    </font>
    <font>
      <sz val="48"/>
      <name val="Arial"/>
      <family val="2"/>
    </font>
    <font>
      <b/>
      <sz val="100"/>
      <name val="Arial"/>
      <family val="2"/>
    </font>
    <font>
      <sz val="10"/>
      <color indexed="20"/>
      <name val="Times New Roman"/>
      <family val="1"/>
    </font>
    <font>
      <sz val="12"/>
      <color indexed="14"/>
      <name val="Arial"/>
      <family val="2"/>
    </font>
    <font>
      <b/>
      <sz val="11"/>
      <name val="Helv"/>
    </font>
    <font>
      <i/>
      <sz val="7"/>
      <color indexed="10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sz val="7"/>
      <color indexed="8"/>
      <name val="Arial"/>
      <family val="2"/>
    </font>
    <font>
      <sz val="11"/>
      <name val="‚l‚r –¾’©"/>
      <charset val="128"/>
    </font>
    <font>
      <b/>
      <sz val="10"/>
      <color indexed="12"/>
      <name val="Arial Narrow"/>
      <family val="2"/>
    </font>
    <font>
      <b/>
      <sz val="11"/>
      <color indexed="63"/>
      <name val="Calibri"/>
      <family val="2"/>
    </font>
    <font>
      <b/>
      <i/>
      <sz val="10"/>
      <color indexed="8"/>
      <name val="Arial"/>
      <family val="2"/>
    </font>
    <font>
      <b/>
      <sz val="10"/>
      <color indexed="56"/>
      <name val="Arial"/>
      <family val="2"/>
    </font>
    <font>
      <b/>
      <sz val="16"/>
      <color indexed="8"/>
      <name val="Arial"/>
      <family val="2"/>
    </font>
    <font>
      <b/>
      <sz val="26"/>
      <name val="Times New Roman"/>
      <family val="1"/>
    </font>
    <font>
      <sz val="10"/>
      <color indexed="16"/>
      <name val="Helvetica-Black"/>
    </font>
    <font>
      <sz val="10"/>
      <color indexed="10"/>
      <name val="Arial"/>
      <family val="2"/>
    </font>
    <font>
      <sz val="10"/>
      <color indexed="10"/>
      <name val="Arial Narrow"/>
      <family val="2"/>
    </font>
    <font>
      <sz val="10"/>
      <color indexed="10"/>
      <name val="MS Sans Serif"/>
      <family val="2"/>
    </font>
    <font>
      <sz val="8"/>
      <name val="Helv"/>
    </font>
    <font>
      <sz val="8"/>
      <name val="Helv"/>
      <family val="2"/>
    </font>
    <font>
      <sz val="8"/>
      <name val="Univers"/>
    </font>
    <font>
      <i/>
      <sz val="8"/>
      <color indexed="8"/>
      <name val="Arial"/>
      <family val="2"/>
    </font>
    <font>
      <b/>
      <sz val="8"/>
      <color indexed="28"/>
      <name val="Arial"/>
      <family val="2"/>
    </font>
    <font>
      <b/>
      <sz val="12"/>
      <name val="MS Sans Serif"/>
      <family val="2"/>
    </font>
    <font>
      <sz val="12"/>
      <name val="Osaka"/>
      <charset val="128"/>
    </font>
    <font>
      <b/>
      <sz val="24"/>
      <name val="Arial"/>
      <family val="2"/>
    </font>
    <font>
      <b/>
      <sz val="18"/>
      <name val="Arial"/>
      <family val="2"/>
    </font>
    <font>
      <b/>
      <sz val="14"/>
      <color indexed="9"/>
      <name val="Arial"/>
      <family val="2"/>
    </font>
    <font>
      <b/>
      <sz val="10"/>
      <color indexed="9"/>
      <name val="Arial"/>
      <family val="2"/>
    </font>
    <font>
      <i/>
      <sz val="10"/>
      <name val="Arial"/>
      <family val="2"/>
    </font>
    <font>
      <b/>
      <sz val="13"/>
      <color indexed="8"/>
      <name val="Verdana"/>
      <family val="2"/>
    </font>
    <font>
      <b/>
      <sz val="8"/>
      <color indexed="9"/>
      <name val="Verdana"/>
      <family val="2"/>
    </font>
    <font>
      <sz val="8.25"/>
      <color indexed="8"/>
      <name val="Arial"/>
      <family val="2"/>
    </font>
    <font>
      <b/>
      <sz val="10.5"/>
      <color indexed="8"/>
      <name val="Arial"/>
      <family val="2"/>
    </font>
    <font>
      <sz val="2"/>
      <color indexed="9"/>
      <name val="Symbol"/>
      <family val="1"/>
      <charset val="2"/>
    </font>
    <font>
      <b/>
      <sz val="8"/>
      <color indexed="8"/>
      <name val="Helv"/>
    </font>
    <font>
      <b/>
      <sz val="9"/>
      <name val="Palatino"/>
      <family val="1"/>
    </font>
    <font>
      <sz val="9"/>
      <color indexed="21"/>
      <name val="Helvetica-Black"/>
    </font>
    <font>
      <sz val="9"/>
      <name val="Helvetica-Black"/>
    </font>
    <font>
      <sz val="12"/>
      <color indexed="12"/>
      <name val="Arial MT"/>
    </font>
    <font>
      <b/>
      <sz val="11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color indexed="12"/>
      <name val="Times New Roman"/>
      <family val="1"/>
    </font>
    <font>
      <b/>
      <sz val="10"/>
      <color indexed="12"/>
      <name val="Arial"/>
      <family val="2"/>
    </font>
    <font>
      <sz val="12"/>
      <name val="Osaka"/>
    </font>
    <font>
      <b/>
      <i/>
      <sz val="10"/>
      <name val="Calibri"/>
      <family val="2"/>
      <scheme val="minor"/>
    </font>
    <font>
      <b/>
      <i/>
      <sz val="10"/>
      <color theme="0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sz val="10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u/>
      <sz val="12"/>
      <color theme="10"/>
      <name val="Arial"/>
      <family val="2"/>
    </font>
    <font>
      <vertAlign val="superscript"/>
      <sz val="12"/>
      <name val="Calibri"/>
      <family val="2"/>
      <scheme val="minor"/>
    </font>
    <font>
      <sz val="12"/>
      <color rgb="FF000000"/>
      <name val="Calibri"/>
      <family val="2"/>
    </font>
    <font>
      <sz val="10"/>
      <color indexed="8"/>
      <name val="Calibri"/>
      <family val="2"/>
      <scheme val="minor"/>
    </font>
    <font>
      <u/>
      <sz val="10"/>
      <color theme="0"/>
      <name val="Arial"/>
      <family val="2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2"/>
      <color theme="10"/>
      <name val="Calibri"/>
      <family val="2"/>
      <scheme val="minor"/>
    </font>
    <font>
      <sz val="10"/>
      <name val="Arial"/>
    </font>
  </fonts>
  <fills count="104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lightDown">
        <fgColor theme="4" tint="0.39994506668294322"/>
        <bgColor indexed="65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44"/>
        <bgColor indexed="64"/>
      </patternFill>
    </fill>
    <fill>
      <patternFill patternType="lightGray">
        <bgColor indexed="9"/>
      </patternFill>
    </fill>
    <fill>
      <patternFill patternType="lightUp">
        <fgColor indexed="23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5"/>
        <bgColor indexed="64"/>
      </patternFill>
    </fill>
    <fill>
      <patternFill patternType="lightDown">
        <fgColor theme="0" tint="-0.34998626667073579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gray125">
        <fgColor indexed="8"/>
      </patternFill>
    </fill>
    <fill>
      <patternFill patternType="solid">
        <fgColor indexed="22"/>
      </patternFill>
    </fill>
    <fill>
      <patternFill patternType="solid">
        <fgColor indexed="13"/>
        <bgColor indexed="64"/>
      </patternFill>
    </fill>
    <fill>
      <patternFill patternType="lightGray">
        <fgColor indexed="15"/>
      </patternFill>
    </fill>
    <fill>
      <patternFill patternType="solid">
        <fgColor indexed="55"/>
      </patternFill>
    </fill>
    <fill>
      <patternFill patternType="lightGray">
        <fgColor indexed="12"/>
      </patternFill>
    </fill>
    <fill>
      <patternFill patternType="solid">
        <fgColor indexed="9"/>
        <bgColor indexed="9"/>
      </patternFill>
    </fill>
    <fill>
      <patternFill patternType="solid">
        <fgColor indexed="47"/>
        <bgColor indexed="64"/>
      </patternFill>
    </fill>
    <fill>
      <patternFill patternType="solid">
        <fgColor indexed="34"/>
        <bgColor indexed="64"/>
      </patternFill>
    </fill>
    <fill>
      <patternFill patternType="gray0625"/>
    </fill>
    <fill>
      <patternFill patternType="solid">
        <fgColor indexed="13"/>
      </patternFill>
    </fill>
    <fill>
      <patternFill patternType="mediumGray">
        <fgColor indexed="9"/>
        <bgColor indexed="22"/>
      </patternFill>
    </fill>
    <fill>
      <patternFill patternType="solid">
        <fgColor indexed="26"/>
      </patternFill>
    </fill>
    <fill>
      <patternFill patternType="solid">
        <fgColor indexed="40"/>
        <bgColor indexed="64"/>
      </patternFill>
    </fill>
    <fill>
      <patternFill patternType="solid">
        <fgColor indexed="9"/>
      </patternFill>
    </fill>
    <fill>
      <patternFill patternType="solid">
        <fgColor indexed="24"/>
      </patternFill>
    </fill>
    <fill>
      <patternFill patternType="solid">
        <fgColor indexed="15"/>
      </patternFill>
    </fill>
    <fill>
      <patternFill patternType="mediumGray">
        <fgColor indexed="22"/>
      </patternFill>
    </fill>
    <fill>
      <patternFill patternType="solid">
        <fgColor indexed="18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</fills>
  <borders count="14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theme="3" tint="0.39997558519241921"/>
      </left>
      <right style="thin">
        <color theme="3" tint="0.39997558519241921"/>
      </right>
      <top style="thin">
        <color theme="3" tint="0.39997558519241921"/>
      </top>
      <bottom style="thin">
        <color theme="3" tint="0.39997558519241921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/>
      <right/>
      <top style="thin">
        <color indexed="55"/>
      </top>
      <bottom/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/>
      <right/>
      <top/>
      <bottom style="thick">
        <color indexed="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ck">
        <color indexed="37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medium">
        <color indexed="15"/>
      </bottom>
      <diagonal/>
    </border>
    <border>
      <left/>
      <right/>
      <top/>
      <bottom style="thin">
        <color indexed="2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thick">
        <color indexed="9"/>
      </right>
      <top/>
      <bottom style="thin">
        <color indexed="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thick">
        <color indexed="9"/>
      </right>
      <top/>
      <bottom/>
      <diagonal/>
    </border>
    <border>
      <left/>
      <right/>
      <top/>
      <bottom style="thin">
        <color indexed="8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15"/>
      </top>
      <bottom style="thin">
        <color indexed="15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indexed="15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 style="thin">
        <color indexed="64"/>
      </right>
      <top/>
      <bottom/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medium">
        <color indexed="64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64"/>
      </left>
      <right style="hair">
        <color indexed="8"/>
      </right>
      <top style="hair">
        <color indexed="8"/>
      </top>
      <bottom style="medium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360">
    <xf numFmtId="0" fontId="0" fillId="0" borderId="0"/>
    <xf numFmtId="0" fontId="7" fillId="0" borderId="0"/>
    <xf numFmtId="170" fontId="7" fillId="0" borderId="0" applyFont="0" applyFill="0" applyBorder="0" applyAlignment="0" applyProtection="0"/>
    <xf numFmtId="170" fontId="12" fillId="0" borderId="0" applyFont="0" applyFill="0" applyBorder="0" applyAlignment="0" applyProtection="0"/>
    <xf numFmtId="0" fontId="7" fillId="0" borderId="0"/>
    <xf numFmtId="0" fontId="7" fillId="0" borderId="0" applyNumberFormat="0" applyFill="0" applyBorder="0" applyAlignment="0" applyProtection="0"/>
    <xf numFmtId="0" fontId="7" fillId="0" borderId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6" fillId="0" borderId="0"/>
    <xf numFmtId="0" fontId="5" fillId="0" borderId="0"/>
    <xf numFmtId="169" fontId="5" fillId="0" borderId="0" applyFont="0" applyFill="0" applyBorder="0" applyAlignment="0" applyProtection="0"/>
    <xf numFmtId="170" fontId="35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 applyNumberForma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4" fillId="0" borderId="0"/>
    <xf numFmtId="170" fontId="4" fillId="0" borderId="0" applyFont="0" applyFill="0" applyBorder="0" applyAlignment="0" applyProtection="0"/>
    <xf numFmtId="177" fontId="6" fillId="0" borderId="43" applyNumberFormat="0" applyFont="0" applyFill="0" applyProtection="0"/>
    <xf numFmtId="177" fontId="36" fillId="6" borderId="0" applyNumberFormat="0" applyFont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20" fillId="0" borderId="0" applyFont="0" applyFill="0" applyBorder="0" applyAlignment="0" applyProtection="0"/>
    <xf numFmtId="178" fontId="6" fillId="0" borderId="0" applyFont="0" applyFill="0" applyBorder="0" applyAlignment="0"/>
    <xf numFmtId="179" fontId="6" fillId="0" borderId="0" applyFont="0" applyFill="0" applyBorder="0" applyAlignment="0"/>
    <xf numFmtId="180" fontId="6" fillId="0" borderId="0" applyFont="0" applyFill="0" applyBorder="0" applyAlignment="0"/>
    <xf numFmtId="177" fontId="6" fillId="0" borderId="0"/>
    <xf numFmtId="181" fontId="6" fillId="0" borderId="0">
      <alignment horizontal="right"/>
    </xf>
    <xf numFmtId="182" fontId="6" fillId="0" borderId="0">
      <alignment horizontal="right"/>
    </xf>
    <xf numFmtId="183" fontId="6" fillId="0" borderId="0" applyFont="0" applyFill="0" applyBorder="0">
      <alignment horizontal="right"/>
    </xf>
    <xf numFmtId="184" fontId="6" fillId="0" borderId="0" applyFont="0" applyFill="0" applyBorder="0" applyAlignment="0" applyProtection="0"/>
    <xf numFmtId="177" fontId="37" fillId="17" borderId="44" applyNumberFormat="0" applyAlignment="0"/>
    <xf numFmtId="185" fontId="37" fillId="18" borderId="44" applyNumberFormat="0" applyAlignment="0"/>
    <xf numFmtId="185" fontId="37" fillId="18" borderId="44" applyNumberFormat="0" applyAlignment="0"/>
    <xf numFmtId="185" fontId="37" fillId="18" borderId="44" applyNumberFormat="0" applyAlignment="0"/>
    <xf numFmtId="186" fontId="37" fillId="18" borderId="44"/>
    <xf numFmtId="170" fontId="20" fillId="19" borderId="0"/>
    <xf numFmtId="0" fontId="38" fillId="0" borderId="0"/>
    <xf numFmtId="0" fontId="6" fillId="0" borderId="0" applyNumberFormat="0" applyFill="0" applyBorder="0" applyAlignment="0" applyProtection="0"/>
    <xf numFmtId="0" fontId="38" fillId="0" borderId="0"/>
    <xf numFmtId="177" fontId="6" fillId="0" borderId="0"/>
    <xf numFmtId="9" fontId="6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20" fillId="0" borderId="0" applyFont="0" applyFill="0" applyBorder="0" applyAlignment="0" applyProtection="0"/>
    <xf numFmtId="186" fontId="37" fillId="18" borderId="44" applyFont="0" applyFill="0" applyBorder="0" applyProtection="0"/>
    <xf numFmtId="177" fontId="36" fillId="0" borderId="0" applyFill="0" applyBorder="0" applyAlignment="0"/>
    <xf numFmtId="177" fontId="6" fillId="0" borderId="45" applyNumberFormat="0" applyFont="0" applyFill="0" applyProtection="0"/>
    <xf numFmtId="177" fontId="6" fillId="0" borderId="45" applyNumberFormat="0" applyFont="0" applyFill="0" applyProtection="0"/>
    <xf numFmtId="177" fontId="6" fillId="0" borderId="45" applyNumberFormat="0" applyFont="0" applyFill="0" applyProtection="0"/>
    <xf numFmtId="187" fontId="6" fillId="0" borderId="0" applyFont="0" applyFill="0" applyBorder="0" applyAlignment="0"/>
    <xf numFmtId="188" fontId="6" fillId="0" borderId="0" applyFont="0" applyFill="0" applyBorder="0" applyAlignment="0"/>
    <xf numFmtId="0" fontId="20" fillId="0" borderId="0"/>
    <xf numFmtId="0" fontId="6" fillId="0" borderId="0"/>
    <xf numFmtId="0" fontId="44" fillId="0" borderId="0"/>
    <xf numFmtId="170" fontId="4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5" fillId="0" borderId="0"/>
    <xf numFmtId="0" fontId="6" fillId="0" borderId="0"/>
    <xf numFmtId="191" fontId="46" fillId="35" borderId="68" applyNumberFormat="0">
      <alignment horizontal="center"/>
    </xf>
    <xf numFmtId="192" fontId="47" fillId="0" borderId="0" applyFont="0" applyFill="0" applyBorder="0" applyAlignment="0"/>
    <xf numFmtId="0" fontId="48" fillId="36" borderId="69" applyNumberFormat="0"/>
    <xf numFmtId="193" fontId="49" fillId="37" borderId="70"/>
    <xf numFmtId="0" fontId="50" fillId="8" borderId="0"/>
    <xf numFmtId="0" fontId="51" fillId="0" borderId="6">
      <alignment horizontal="left"/>
    </xf>
    <xf numFmtId="0" fontId="52" fillId="0" borderId="0"/>
    <xf numFmtId="0" fontId="45" fillId="0" borderId="0" applyNumberFormat="0" applyFill="0"/>
    <xf numFmtId="0" fontId="53" fillId="0" borderId="0"/>
    <xf numFmtId="194" fontId="44" fillId="38" borderId="71"/>
    <xf numFmtId="170" fontId="44" fillId="38" borderId="71"/>
    <xf numFmtId="171" fontId="44" fillId="38" borderId="71"/>
    <xf numFmtId="0" fontId="48" fillId="0" borderId="69" applyNumberFormat="0"/>
    <xf numFmtId="195" fontId="55" fillId="40" borderId="72" applyAlignment="0"/>
    <xf numFmtId="0" fontId="48" fillId="0" borderId="73" applyNumberFormat="0" applyFill="0" applyAlignment="0" applyProtection="0"/>
    <xf numFmtId="171" fontId="44" fillId="41" borderId="0"/>
    <xf numFmtId="0" fontId="56" fillId="3" borderId="74" applyNumberFormat="0"/>
    <xf numFmtId="0" fontId="57" fillId="0" borderId="75">
      <alignment horizontal="left"/>
    </xf>
    <xf numFmtId="0" fontId="58" fillId="42" borderId="0">
      <alignment horizontal="left"/>
    </xf>
    <xf numFmtId="0" fontId="54" fillId="39" borderId="0"/>
    <xf numFmtId="0" fontId="59" fillId="43" borderId="63" applyNumberFormat="0">
      <alignment horizontal="center" vertical="center" wrapText="1"/>
    </xf>
    <xf numFmtId="0" fontId="60" fillId="44" borderId="69" applyNumberFormat="0">
      <alignment horizontal="right"/>
    </xf>
    <xf numFmtId="0" fontId="60" fillId="0" borderId="0" applyNumberFormat="0"/>
    <xf numFmtId="0" fontId="64" fillId="0" borderId="0" applyNumberFormat="0" applyFill="0" applyBorder="0" applyAlignment="0" applyProtection="0"/>
    <xf numFmtId="196" fontId="65" fillId="0" borderId="0" applyFont="0" applyFill="0" applyBorder="0" applyAlignment="0" applyProtection="0"/>
    <xf numFmtId="197" fontId="65" fillId="0" borderId="0" applyFont="0" applyFill="0" applyBorder="0" applyAlignment="0" applyProtection="0"/>
    <xf numFmtId="198" fontId="65" fillId="0" borderId="0" applyFont="0" applyFill="0" applyBorder="0" applyAlignment="0" applyProtection="0"/>
    <xf numFmtId="199" fontId="65" fillId="0" borderId="0" applyFont="0" applyFill="0" applyBorder="0" applyAlignment="0" applyProtection="0"/>
    <xf numFmtId="200" fontId="6" fillId="0" borderId="0"/>
    <xf numFmtId="201" fontId="65" fillId="0" borderId="0" applyFont="0" applyFill="0" applyBorder="0" applyAlignment="0" applyProtection="0"/>
    <xf numFmtId="0" fontId="6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166" fontId="65" fillId="42" borderId="0"/>
    <xf numFmtId="202" fontId="66" fillId="0" borderId="25">
      <alignment horizontal="right"/>
    </xf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7" fillId="0" borderId="0">
      <alignment vertical="center"/>
    </xf>
    <xf numFmtId="0" fontId="67" fillId="0" borderId="0">
      <alignment vertical="center"/>
    </xf>
    <xf numFmtId="0" fontId="6" fillId="0" borderId="0">
      <alignment horizontal="left" wrapText="1"/>
    </xf>
    <xf numFmtId="0" fontId="6" fillId="0" borderId="0"/>
    <xf numFmtId="0" fontId="6" fillId="0" borderId="0"/>
    <xf numFmtId="0" fontId="67" fillId="0" borderId="0">
      <alignment vertical="center"/>
    </xf>
    <xf numFmtId="0" fontId="6" fillId="0" borderId="0" applyFont="0" applyFill="0" applyBorder="0" applyAlignment="0" applyProtection="0"/>
    <xf numFmtId="0" fontId="68" fillId="0" borderId="0"/>
    <xf numFmtId="0" fontId="69" fillId="0" borderId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8" fillId="0" borderId="0"/>
    <xf numFmtId="0" fontId="68" fillId="0" borderId="0"/>
    <xf numFmtId="0" fontId="6" fillId="0" borderId="0" applyFont="0" applyFill="0" applyBorder="0" applyAlignment="0" applyProtection="0"/>
    <xf numFmtId="0" fontId="6" fillId="0" borderId="0"/>
    <xf numFmtId="0" fontId="70" fillId="0" borderId="0" applyNumberFormat="0" applyFill="0" applyBorder="0" applyAlignment="0" applyProtection="0"/>
    <xf numFmtId="0" fontId="6" fillId="47" borderId="0" applyNumberFormat="0" applyFont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7" fillId="0" borderId="0">
      <alignment vertical="center"/>
    </xf>
    <xf numFmtId="0" fontId="6" fillId="0" borderId="0" applyFont="0" applyFill="0" applyBorder="0" applyAlignment="0" applyProtection="0"/>
    <xf numFmtId="203" fontId="6" fillId="0" borderId="0" applyFont="0" applyFill="0" applyBorder="0" applyProtection="0">
      <alignment horizontal="right"/>
    </xf>
    <xf numFmtId="37" fontId="6" fillId="0" borderId="0"/>
    <xf numFmtId="0" fontId="71" fillId="0" borderId="0">
      <alignment vertical="top"/>
    </xf>
    <xf numFmtId="0" fontId="72" fillId="0" borderId="0" applyNumberFormat="0" applyFill="0" applyBorder="0" applyProtection="0">
      <alignment vertical="top"/>
    </xf>
    <xf numFmtId="0" fontId="73" fillId="0" borderId="79" applyNumberFormat="0" applyFill="0" applyAlignment="0" applyProtection="0"/>
    <xf numFmtId="0" fontId="74" fillId="0" borderId="80" applyNumberFormat="0" applyFill="0" applyProtection="0">
      <alignment horizontal="center"/>
    </xf>
    <xf numFmtId="0" fontId="74" fillId="0" borderId="0" applyNumberFormat="0" applyFill="0" applyBorder="0" applyProtection="0">
      <alignment horizontal="left"/>
    </xf>
    <xf numFmtId="0" fontId="75" fillId="0" borderId="0" applyNumberFormat="0" applyFill="0" applyBorder="0" applyProtection="0">
      <alignment horizontal="centerContinuous"/>
    </xf>
    <xf numFmtId="0" fontId="71" fillId="0" borderId="0">
      <alignment vertical="top"/>
    </xf>
    <xf numFmtId="0" fontId="71" fillId="0" borderId="0">
      <alignment vertical="top"/>
    </xf>
    <xf numFmtId="0" fontId="6" fillId="0" borderId="0"/>
    <xf numFmtId="204" fontId="6" fillId="0" borderId="0">
      <alignment horizontal="left" wrapText="1"/>
    </xf>
    <xf numFmtId="0" fontId="71" fillId="0" borderId="0">
      <alignment vertical="top"/>
    </xf>
    <xf numFmtId="0" fontId="76" fillId="0" borderId="0"/>
    <xf numFmtId="205" fontId="39" fillId="0" borderId="0" applyFont="0" applyFill="0" applyBorder="0" applyAlignment="0" applyProtection="0"/>
    <xf numFmtId="206" fontId="39" fillId="0" borderId="0" applyFont="0" applyFill="0" applyBorder="0" applyAlignment="0" applyProtection="0"/>
    <xf numFmtId="207" fontId="6" fillId="0" borderId="0" applyFont="0" applyFill="0" applyBorder="0" applyAlignment="0"/>
    <xf numFmtId="0" fontId="6" fillId="0" borderId="0"/>
    <xf numFmtId="208" fontId="77" fillId="0" borderId="0">
      <alignment horizontal="center"/>
    </xf>
    <xf numFmtId="209" fontId="77" fillId="0" borderId="0">
      <alignment horizontal="center"/>
    </xf>
    <xf numFmtId="210" fontId="77" fillId="0" borderId="0">
      <alignment horizontal="center"/>
    </xf>
    <xf numFmtId="211" fontId="39" fillId="0" borderId="0">
      <alignment horizontal="center"/>
    </xf>
    <xf numFmtId="212" fontId="77" fillId="0" borderId="0">
      <alignment horizontal="center"/>
    </xf>
    <xf numFmtId="213" fontId="77" fillId="0" borderId="0">
      <alignment horizontal="center"/>
    </xf>
    <xf numFmtId="214" fontId="6" fillId="0" borderId="0"/>
    <xf numFmtId="215" fontId="6" fillId="42" borderId="0"/>
    <xf numFmtId="216" fontId="77" fillId="0" borderId="0">
      <alignment horizontal="center"/>
    </xf>
    <xf numFmtId="217" fontId="77" fillId="0" borderId="0">
      <alignment horizontal="center"/>
    </xf>
    <xf numFmtId="208" fontId="77" fillId="0" borderId="0">
      <alignment horizontal="center"/>
    </xf>
    <xf numFmtId="218" fontId="39" fillId="0" borderId="0">
      <alignment horizontal="center"/>
    </xf>
    <xf numFmtId="0" fontId="69" fillId="0" borderId="0"/>
    <xf numFmtId="0" fontId="8" fillId="48" borderId="0" applyNumberFormat="0" applyBorder="0" applyAlignment="0" applyProtection="0"/>
    <xf numFmtId="0" fontId="8" fillId="48" borderId="0" applyNumberFormat="0" applyBorder="0" applyAlignment="0" applyProtection="0"/>
    <xf numFmtId="0" fontId="4" fillId="23" borderId="0" applyNumberFormat="0" applyBorder="0" applyAlignment="0" applyProtection="0"/>
    <xf numFmtId="0" fontId="8" fillId="49" borderId="0" applyNumberFormat="0" applyBorder="0" applyAlignment="0" applyProtection="0"/>
    <xf numFmtId="0" fontId="8" fillId="49" borderId="0" applyNumberFormat="0" applyBorder="0" applyAlignment="0" applyProtection="0"/>
    <xf numFmtId="0" fontId="4" fillId="25" borderId="0" applyNumberFormat="0" applyBorder="0" applyAlignment="0" applyProtection="0"/>
    <xf numFmtId="0" fontId="8" fillId="50" borderId="0" applyNumberFormat="0" applyBorder="0" applyAlignment="0" applyProtection="0"/>
    <xf numFmtId="0" fontId="8" fillId="50" borderId="0" applyNumberFormat="0" applyBorder="0" applyAlignment="0" applyProtection="0"/>
    <xf numFmtId="0" fontId="4" fillId="27" borderId="0" applyNumberFormat="0" applyBorder="0" applyAlignment="0" applyProtection="0"/>
    <xf numFmtId="0" fontId="8" fillId="51" borderId="0" applyNumberFormat="0" applyBorder="0" applyAlignment="0" applyProtection="0"/>
    <xf numFmtId="0" fontId="8" fillId="51" borderId="0" applyNumberFormat="0" applyBorder="0" applyAlignment="0" applyProtection="0"/>
    <xf numFmtId="0" fontId="4" fillId="29" borderId="0" applyNumberFormat="0" applyBorder="0" applyAlignment="0" applyProtection="0"/>
    <xf numFmtId="0" fontId="8" fillId="52" borderId="0" applyNumberFormat="0" applyBorder="0" applyAlignment="0" applyProtection="0"/>
    <xf numFmtId="0" fontId="8" fillId="52" borderId="0" applyNumberFormat="0" applyBorder="0" applyAlignment="0" applyProtection="0"/>
    <xf numFmtId="0" fontId="4" fillId="31" borderId="0" applyNumberFormat="0" applyBorder="0" applyAlignment="0" applyProtection="0"/>
    <xf numFmtId="0" fontId="8" fillId="53" borderId="0" applyNumberFormat="0" applyBorder="0" applyAlignment="0" applyProtection="0"/>
    <xf numFmtId="0" fontId="8" fillId="53" borderId="0" applyNumberFormat="0" applyBorder="0" applyAlignment="0" applyProtection="0"/>
    <xf numFmtId="0" fontId="4" fillId="33" borderId="0" applyNumberFormat="0" applyBorder="0" applyAlignment="0" applyProtection="0"/>
    <xf numFmtId="0" fontId="6" fillId="0" borderId="0" applyFont="0"/>
    <xf numFmtId="0" fontId="8" fillId="54" borderId="0" applyNumberFormat="0" applyBorder="0" applyAlignment="0" applyProtection="0"/>
    <xf numFmtId="0" fontId="8" fillId="54" borderId="0" applyNumberFormat="0" applyBorder="0" applyAlignment="0" applyProtection="0"/>
    <xf numFmtId="0" fontId="4" fillId="24" borderId="0" applyNumberFormat="0" applyBorder="0" applyAlignment="0" applyProtection="0"/>
    <xf numFmtId="0" fontId="8" fillId="55" borderId="0" applyNumberFormat="0" applyBorder="0" applyAlignment="0" applyProtection="0"/>
    <xf numFmtId="0" fontId="8" fillId="55" borderId="0" applyNumberFormat="0" applyBorder="0" applyAlignment="0" applyProtection="0"/>
    <xf numFmtId="0" fontId="4" fillId="26" borderId="0" applyNumberFormat="0" applyBorder="0" applyAlignment="0" applyProtection="0"/>
    <xf numFmtId="0" fontId="8" fillId="56" borderId="0" applyNumberFormat="0" applyBorder="0" applyAlignment="0" applyProtection="0"/>
    <xf numFmtId="0" fontId="8" fillId="56" borderId="0" applyNumberFormat="0" applyBorder="0" applyAlignment="0" applyProtection="0"/>
    <xf numFmtId="0" fontId="4" fillId="28" borderId="0" applyNumberFormat="0" applyBorder="0" applyAlignment="0" applyProtection="0"/>
    <xf numFmtId="0" fontId="8" fillId="51" borderId="0" applyNumberFormat="0" applyBorder="0" applyAlignment="0" applyProtection="0"/>
    <xf numFmtId="0" fontId="8" fillId="51" borderId="0" applyNumberFormat="0" applyBorder="0" applyAlignment="0" applyProtection="0"/>
    <xf numFmtId="0" fontId="4" fillId="30" borderId="0" applyNumberFormat="0" applyBorder="0" applyAlignment="0" applyProtection="0"/>
    <xf numFmtId="0" fontId="8" fillId="54" borderId="0" applyNumberFormat="0" applyBorder="0" applyAlignment="0" applyProtection="0"/>
    <xf numFmtId="0" fontId="8" fillId="54" borderId="0" applyNumberFormat="0" applyBorder="0" applyAlignment="0" applyProtection="0"/>
    <xf numFmtId="0" fontId="4" fillId="32" borderId="0" applyNumberFormat="0" applyBorder="0" applyAlignment="0" applyProtection="0"/>
    <xf numFmtId="0" fontId="8" fillId="57" borderId="0" applyNumberFormat="0" applyBorder="0" applyAlignment="0" applyProtection="0"/>
    <xf numFmtId="0" fontId="8" fillId="57" borderId="0" applyNumberFormat="0" applyBorder="0" applyAlignment="0" applyProtection="0"/>
    <xf numFmtId="0" fontId="4" fillId="34" borderId="0" applyNumberFormat="0" applyBorder="0" applyAlignment="0" applyProtection="0"/>
    <xf numFmtId="0" fontId="78" fillId="58" borderId="0" applyNumberFormat="0" applyBorder="0" applyAlignment="0" applyProtection="0"/>
    <xf numFmtId="0" fontId="78" fillId="58" borderId="0" applyNumberFormat="0" applyBorder="0" applyAlignment="0" applyProtection="0"/>
    <xf numFmtId="0" fontId="78" fillId="55" borderId="0" applyNumberFormat="0" applyBorder="0" applyAlignment="0" applyProtection="0"/>
    <xf numFmtId="0" fontId="78" fillId="55" borderId="0" applyNumberFormat="0" applyBorder="0" applyAlignment="0" applyProtection="0"/>
    <xf numFmtId="0" fontId="78" fillId="56" borderId="0" applyNumberFormat="0" applyBorder="0" applyAlignment="0" applyProtection="0"/>
    <xf numFmtId="0" fontId="78" fillId="56" borderId="0" applyNumberFormat="0" applyBorder="0" applyAlignment="0" applyProtection="0"/>
    <xf numFmtId="0" fontId="78" fillId="59" borderId="0" applyNumberFormat="0" applyBorder="0" applyAlignment="0" applyProtection="0"/>
    <xf numFmtId="0" fontId="78" fillId="59" borderId="0" applyNumberFormat="0" applyBorder="0" applyAlignment="0" applyProtection="0"/>
    <xf numFmtId="0" fontId="78" fillId="60" borderId="0" applyNumberFormat="0" applyBorder="0" applyAlignment="0" applyProtection="0"/>
    <xf numFmtId="0" fontId="78" fillId="60" borderId="0" applyNumberFormat="0" applyBorder="0" applyAlignment="0" applyProtection="0"/>
    <xf numFmtId="0" fontId="78" fillId="61" borderId="0" applyNumberFormat="0" applyBorder="0" applyAlignment="0" applyProtection="0"/>
    <xf numFmtId="0" fontId="78" fillId="61" borderId="0" applyNumberFormat="0" applyBorder="0" applyAlignment="0" applyProtection="0"/>
    <xf numFmtId="37" fontId="43" fillId="0" borderId="0"/>
    <xf numFmtId="0" fontId="79" fillId="3" borderId="0" applyFont="0" applyBorder="0"/>
    <xf numFmtId="0" fontId="79" fillId="62" borderId="0" applyNumberFormat="0" applyFont="0" applyBorder="0" applyAlignment="0" applyProtection="0"/>
    <xf numFmtId="0" fontId="67" fillId="63" borderId="0" applyNumberFormat="0" applyFont="0" applyBorder="0" applyAlignment="0" applyProtection="0"/>
    <xf numFmtId="0" fontId="69" fillId="64" borderId="0" applyBorder="0"/>
    <xf numFmtId="0" fontId="6" fillId="0" borderId="35" applyNumberFormat="0" applyBorder="0" applyAlignment="0" applyProtection="0"/>
    <xf numFmtId="0" fontId="80" fillId="0" borderId="0" applyBorder="0">
      <alignment horizontal="right"/>
    </xf>
    <xf numFmtId="0" fontId="63" fillId="0" borderId="0" applyBorder="0">
      <alignment horizontal="right"/>
    </xf>
    <xf numFmtId="0" fontId="63" fillId="0" borderId="0" applyBorder="0">
      <alignment horizontal="right"/>
    </xf>
    <xf numFmtId="0" fontId="63" fillId="0" borderId="0" applyBorder="0">
      <alignment horizontal="right"/>
    </xf>
    <xf numFmtId="0" fontId="63" fillId="0" borderId="0" applyBorder="0">
      <alignment horizontal="right"/>
    </xf>
    <xf numFmtId="0" fontId="63" fillId="0" borderId="0" applyBorder="0">
      <alignment horizontal="right"/>
    </xf>
    <xf numFmtId="0" fontId="63" fillId="0" borderId="0" applyBorder="0">
      <alignment horizontal="right"/>
    </xf>
    <xf numFmtId="0" fontId="63" fillId="0" borderId="0" applyBorder="0">
      <alignment horizontal="right"/>
    </xf>
    <xf numFmtId="0" fontId="63" fillId="0" borderId="0" applyBorder="0">
      <alignment horizontal="right"/>
    </xf>
    <xf numFmtId="0" fontId="63" fillId="0" borderId="0" applyBorder="0">
      <alignment horizontal="right"/>
    </xf>
    <xf numFmtId="0" fontId="63" fillId="0" borderId="0" applyBorder="0">
      <alignment horizontal="right"/>
    </xf>
    <xf numFmtId="0" fontId="69" fillId="0" borderId="35" applyBorder="0">
      <alignment horizontal="right"/>
    </xf>
    <xf numFmtId="0" fontId="63" fillId="0" borderId="35" applyBorder="0">
      <alignment horizontal="right"/>
    </xf>
    <xf numFmtId="0" fontId="63" fillId="0" borderId="35" applyBorder="0">
      <alignment horizontal="right"/>
    </xf>
    <xf numFmtId="0" fontId="63" fillId="0" borderId="35" applyBorder="0">
      <alignment horizontal="right"/>
    </xf>
    <xf numFmtId="0" fontId="63" fillId="0" borderId="35" applyBorder="0">
      <alignment horizontal="right"/>
    </xf>
    <xf numFmtId="0" fontId="63" fillId="0" borderId="35" applyBorder="0">
      <alignment horizontal="right"/>
    </xf>
    <xf numFmtId="0" fontId="63" fillId="0" borderId="35" applyBorder="0">
      <alignment horizontal="right"/>
    </xf>
    <xf numFmtId="0" fontId="63" fillId="0" borderId="35" applyBorder="0">
      <alignment horizontal="right"/>
    </xf>
    <xf numFmtId="0" fontId="63" fillId="0" borderId="35" applyBorder="0">
      <alignment horizontal="right"/>
    </xf>
    <xf numFmtId="0" fontId="63" fillId="0" borderId="35" applyBorder="0">
      <alignment horizontal="right"/>
    </xf>
    <xf numFmtId="0" fontId="63" fillId="0" borderId="35" applyBorder="0">
      <alignment horizontal="right"/>
    </xf>
    <xf numFmtId="194" fontId="81" fillId="0" borderId="0" applyBorder="0">
      <alignment horizontal="right"/>
    </xf>
    <xf numFmtId="194" fontId="82" fillId="0" borderId="35" applyBorder="0">
      <alignment horizontal="right"/>
    </xf>
    <xf numFmtId="0" fontId="82" fillId="0" borderId="35" applyBorder="0">
      <alignment horizontal="right"/>
    </xf>
    <xf numFmtId="0" fontId="82" fillId="0" borderId="35" applyBorder="0">
      <alignment horizontal="right"/>
    </xf>
    <xf numFmtId="0" fontId="82" fillId="0" borderId="35" applyBorder="0">
      <alignment horizontal="right"/>
    </xf>
    <xf numFmtId="0" fontId="81" fillId="0" borderId="0" applyBorder="0">
      <alignment horizontal="right"/>
    </xf>
    <xf numFmtId="0" fontId="81" fillId="0" borderId="0" applyBorder="0">
      <alignment horizontal="right"/>
    </xf>
    <xf numFmtId="0" fontId="81" fillId="0" borderId="0" applyBorder="0">
      <alignment horizontal="right"/>
    </xf>
    <xf numFmtId="0" fontId="83" fillId="0" borderId="0">
      <alignment horizontal="left" indent="1"/>
    </xf>
    <xf numFmtId="0" fontId="79" fillId="65" borderId="35" applyNumberFormat="0" applyFont="0" applyBorder="0" applyAlignment="0" applyProtection="0"/>
    <xf numFmtId="0" fontId="84" fillId="66" borderId="81" applyBorder="0">
      <alignment horizontal="right"/>
    </xf>
    <xf numFmtId="0" fontId="63" fillId="66" borderId="81" applyBorder="0">
      <alignment horizontal="right"/>
    </xf>
    <xf numFmtId="0" fontId="63" fillId="66" borderId="81" applyBorder="0">
      <alignment horizontal="right"/>
    </xf>
    <xf numFmtId="0" fontId="63" fillId="66" borderId="81" applyBorder="0">
      <alignment horizontal="right"/>
    </xf>
    <xf numFmtId="0" fontId="63" fillId="66" borderId="81" applyBorder="0">
      <alignment horizontal="right"/>
    </xf>
    <xf numFmtId="0" fontId="63" fillId="66" borderId="81" applyBorder="0">
      <alignment horizontal="right"/>
    </xf>
    <xf numFmtId="0" fontId="63" fillId="66" borderId="81" applyBorder="0">
      <alignment horizontal="right"/>
    </xf>
    <xf numFmtId="0" fontId="63" fillId="66" borderId="81" applyBorder="0">
      <alignment horizontal="right"/>
    </xf>
    <xf numFmtId="0" fontId="63" fillId="66" borderId="81" applyBorder="0">
      <alignment horizontal="right"/>
    </xf>
    <xf numFmtId="0" fontId="63" fillId="66" borderId="81" applyBorder="0">
      <alignment horizontal="right"/>
    </xf>
    <xf numFmtId="0" fontId="63" fillId="66" borderId="81" applyBorder="0">
      <alignment horizontal="right"/>
    </xf>
    <xf numFmtId="0" fontId="84" fillId="0" borderId="81" applyBorder="0">
      <alignment horizontal="right"/>
    </xf>
    <xf numFmtId="0" fontId="63" fillId="0" borderId="81" applyBorder="0">
      <alignment horizontal="right"/>
    </xf>
    <xf numFmtId="0" fontId="63" fillId="0" borderId="81" applyBorder="0">
      <alignment horizontal="right"/>
    </xf>
    <xf numFmtId="0" fontId="63" fillId="0" borderId="81" applyBorder="0">
      <alignment horizontal="right"/>
    </xf>
    <xf numFmtId="0" fontId="63" fillId="0" borderId="81" applyBorder="0">
      <alignment horizontal="right"/>
    </xf>
    <xf numFmtId="0" fontId="63" fillId="0" borderId="81" applyBorder="0">
      <alignment horizontal="right"/>
    </xf>
    <xf numFmtId="0" fontId="63" fillId="0" borderId="81" applyBorder="0">
      <alignment horizontal="right"/>
    </xf>
    <xf numFmtId="0" fontId="63" fillId="0" borderId="81" applyBorder="0">
      <alignment horizontal="right"/>
    </xf>
    <xf numFmtId="0" fontId="63" fillId="0" borderId="81" applyBorder="0">
      <alignment horizontal="right"/>
    </xf>
    <xf numFmtId="0" fontId="63" fillId="0" borderId="81" applyBorder="0">
      <alignment horizontal="right"/>
    </xf>
    <xf numFmtId="0" fontId="63" fillId="0" borderId="81" applyBorder="0">
      <alignment horizontal="right"/>
    </xf>
    <xf numFmtId="0" fontId="62" fillId="0" borderId="35" applyNumberFormat="0" applyBorder="0" applyAlignment="0" applyProtection="0"/>
    <xf numFmtId="0" fontId="84" fillId="3" borderId="82" applyBorder="0">
      <alignment horizontal="center"/>
    </xf>
    <xf numFmtId="0" fontId="78" fillId="67" borderId="0" applyNumberFormat="0" applyBorder="0" applyAlignment="0" applyProtection="0"/>
    <xf numFmtId="0" fontId="78" fillId="67" borderId="0" applyNumberFormat="0" applyBorder="0" applyAlignment="0" applyProtection="0"/>
    <xf numFmtId="0" fontId="78" fillId="68" borderId="0" applyNumberFormat="0" applyBorder="0" applyAlignment="0" applyProtection="0"/>
    <xf numFmtId="0" fontId="78" fillId="68" borderId="0" applyNumberFormat="0" applyBorder="0" applyAlignment="0" applyProtection="0"/>
    <xf numFmtId="0" fontId="78" fillId="69" borderId="0" applyNumberFormat="0" applyBorder="0" applyAlignment="0" applyProtection="0"/>
    <xf numFmtId="0" fontId="78" fillId="69" borderId="0" applyNumberFormat="0" applyBorder="0" applyAlignment="0" applyProtection="0"/>
    <xf numFmtId="0" fontId="78" fillId="59" borderId="0" applyNumberFormat="0" applyBorder="0" applyAlignment="0" applyProtection="0"/>
    <xf numFmtId="0" fontId="78" fillId="59" borderId="0" applyNumberFormat="0" applyBorder="0" applyAlignment="0" applyProtection="0"/>
    <xf numFmtId="0" fontId="78" fillId="60" borderId="0" applyNumberFormat="0" applyBorder="0" applyAlignment="0" applyProtection="0"/>
    <xf numFmtId="0" fontId="78" fillId="60" borderId="0" applyNumberFormat="0" applyBorder="0" applyAlignment="0" applyProtection="0"/>
    <xf numFmtId="0" fontId="78" fillId="70" borderId="0" applyNumberFormat="0" applyBorder="0" applyAlignment="0" applyProtection="0"/>
    <xf numFmtId="0" fontId="78" fillId="70" borderId="0" applyNumberFormat="0" applyBorder="0" applyAlignment="0" applyProtection="0"/>
    <xf numFmtId="170" fontId="6" fillId="0" borderId="0" applyFont="0" applyFill="0" applyBorder="0" applyAlignment="0" applyProtection="0">
      <alignment vertical="top"/>
    </xf>
    <xf numFmtId="168" fontId="6" fillId="0" borderId="0" applyFont="0" applyFill="0" applyBorder="0" applyAlignment="0" applyProtection="0"/>
    <xf numFmtId="190" fontId="6" fillId="0" borderId="76" applyFont="0" applyFill="0" applyBorder="0" applyAlignment="0" applyProtection="0"/>
    <xf numFmtId="168" fontId="6" fillId="0" borderId="0" applyFont="0" applyFill="0" applyBorder="0" applyAlignment="0" applyProtection="0">
      <alignment vertical="top"/>
    </xf>
    <xf numFmtId="0" fontId="63" fillId="0" borderId="7">
      <alignment horizontal="right"/>
    </xf>
    <xf numFmtId="0" fontId="64" fillId="0" borderId="0" applyNumberFormat="0" applyFill="0" applyBorder="0" applyAlignment="0" applyProtection="0"/>
    <xf numFmtId="0" fontId="85" fillId="0" borderId="0"/>
    <xf numFmtId="0" fontId="86" fillId="0" borderId="0" applyNumberFormat="0" applyFill="0" applyBorder="0" applyAlignment="0" applyProtection="0"/>
    <xf numFmtId="219" fontId="87" fillId="71" borderId="83"/>
    <xf numFmtId="0" fontId="88" fillId="0" borderId="0">
      <alignment horizontal="center" wrapText="1"/>
      <protection locked="0"/>
    </xf>
    <xf numFmtId="0" fontId="6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89" fillId="0" borderId="25">
      <protection hidden="1"/>
    </xf>
    <xf numFmtId="0" fontId="90" fillId="72" borderId="25" applyNumberFormat="0" applyFont="0" applyBorder="0" applyAlignment="0" applyProtection="0">
      <protection hidden="1"/>
    </xf>
    <xf numFmtId="37" fontId="91" fillId="0" borderId="0"/>
    <xf numFmtId="38" fontId="43" fillId="73" borderId="0"/>
    <xf numFmtId="190" fontId="6" fillId="0" borderId="0">
      <alignment horizontal="center"/>
    </xf>
    <xf numFmtId="220" fontId="92" fillId="0" borderId="0"/>
    <xf numFmtId="221" fontId="93" fillId="0" borderId="0" applyNumberFormat="0" applyFill="0" applyBorder="0" applyAlignment="0" applyProtection="0"/>
    <xf numFmtId="190" fontId="6" fillId="0" borderId="0">
      <alignment horizontal="center"/>
    </xf>
    <xf numFmtId="190" fontId="6" fillId="0" borderId="0">
      <alignment horizontal="center"/>
    </xf>
    <xf numFmtId="222" fontId="94" fillId="0" borderId="0" applyNumberFormat="0" applyFill="0" applyBorder="0" applyAlignment="0" applyProtection="0"/>
    <xf numFmtId="38" fontId="43" fillId="73" borderId="0"/>
    <xf numFmtId="222" fontId="94" fillId="0" borderId="0" applyNumberFormat="0" applyFill="0" applyBorder="0" applyAlignment="0" applyProtection="0"/>
    <xf numFmtId="222" fontId="9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190" fontId="6" fillId="0" borderId="0">
      <alignment horizontal="center"/>
    </xf>
    <xf numFmtId="0" fontId="96" fillId="49" borderId="0" applyNumberFormat="0" applyBorder="0" applyAlignment="0" applyProtection="0"/>
    <xf numFmtId="0" fontId="96" fillId="49" borderId="0" applyNumberFormat="0" applyBorder="0" applyAlignment="0" applyProtection="0"/>
    <xf numFmtId="0" fontId="6" fillId="0" borderId="84" applyNumberFormat="0" applyFont="0" applyFill="0" applyAlignment="0"/>
    <xf numFmtId="223" fontId="69" fillId="0" borderId="0" applyFont="0" applyFill="0" applyBorder="0" applyAlignment="0" applyProtection="0">
      <alignment vertical="center"/>
    </xf>
    <xf numFmtId="0" fontId="97" fillId="0" borderId="0"/>
    <xf numFmtId="171" fontId="98" fillId="0" borderId="0" applyNumberFormat="0" applyFill="0" applyBorder="0" applyAlignment="0" applyProtection="0">
      <alignment horizontal="right"/>
    </xf>
    <xf numFmtId="165" fontId="99" fillId="0" borderId="0">
      <alignment horizontal="right"/>
      <protection locked="0"/>
    </xf>
    <xf numFmtId="0" fontId="100" fillId="0" borderId="0" applyNumberFormat="0" applyFill="0" applyBorder="0" applyAlignment="0" applyProtection="0"/>
    <xf numFmtId="0" fontId="101" fillId="0" borderId="32" applyNumberFormat="0" applyFill="0" applyAlignment="0" applyProtection="0"/>
    <xf numFmtId="224" fontId="6" fillId="0" borderId="0" applyFont="0" applyFill="0" applyBorder="0" applyAlignment="0" applyProtection="0"/>
    <xf numFmtId="0" fontId="88" fillId="0" borderId="6" applyNumberFormat="0" applyFont="0" applyFill="0" applyAlignment="0" applyProtection="0"/>
    <xf numFmtId="0" fontId="102" fillId="0" borderId="85" applyNumberFormat="0" applyFont="0" applyFill="0" applyAlignment="0" applyProtection="0">
      <alignment horizontal="centerContinuous"/>
    </xf>
    <xf numFmtId="0" fontId="103" fillId="0" borderId="0" applyFont="0" applyFill="0" applyBorder="0" applyAlignment="0" applyProtection="0"/>
    <xf numFmtId="37" fontId="43" fillId="0" borderId="0"/>
    <xf numFmtId="225" fontId="39" fillId="0" borderId="0" applyFont="0" applyFill="0" applyBorder="0" applyAlignment="0" applyProtection="0"/>
    <xf numFmtId="0" fontId="6" fillId="0" borderId="0" applyFont="0" applyFill="0" applyBorder="0" applyAlignment="0" applyProtection="0"/>
    <xf numFmtId="226" fontId="104" fillId="0" borderId="0" applyFill="0" applyBorder="0" applyAlignment="0"/>
    <xf numFmtId="227" fontId="104" fillId="0" borderId="0" applyFill="0" applyBorder="0" applyAlignment="0"/>
    <xf numFmtId="228" fontId="104" fillId="0" borderId="0" applyFill="0" applyBorder="0" applyAlignment="0"/>
    <xf numFmtId="229" fontId="104" fillId="0" borderId="0" applyFill="0" applyBorder="0" applyAlignment="0"/>
    <xf numFmtId="230" fontId="104" fillId="0" borderId="0" applyFill="0" applyBorder="0" applyAlignment="0"/>
    <xf numFmtId="226" fontId="104" fillId="0" borderId="0" applyFill="0" applyBorder="0" applyAlignment="0"/>
    <xf numFmtId="231" fontId="104" fillId="0" borderId="0" applyFill="0" applyBorder="0" applyAlignment="0"/>
    <xf numFmtId="227" fontId="104" fillId="0" borderId="0" applyFill="0" applyBorder="0" applyAlignment="0"/>
    <xf numFmtId="0" fontId="105" fillId="72" borderId="86" applyNumberFormat="0" applyAlignment="0" applyProtection="0"/>
    <xf numFmtId="0" fontId="105" fillId="72" borderId="86" applyNumberFormat="0" applyAlignment="0" applyProtection="0"/>
    <xf numFmtId="0" fontId="69" fillId="74" borderId="0" applyNumberFormat="0" applyFont="0" applyBorder="0" applyAlignment="0">
      <protection locked="0"/>
    </xf>
    <xf numFmtId="0" fontId="106" fillId="0" borderId="87">
      <alignment horizontal="right" vertical="center"/>
    </xf>
    <xf numFmtId="0" fontId="107" fillId="0" borderId="0"/>
    <xf numFmtId="0" fontId="108" fillId="0" borderId="0" applyFill="0" applyBorder="0" applyProtection="0">
      <alignment horizontal="center"/>
    </xf>
    <xf numFmtId="0" fontId="109" fillId="75" borderId="88" applyNumberFormat="0" applyAlignment="0" applyProtection="0"/>
    <xf numFmtId="0" fontId="109" fillId="75" borderId="88" applyNumberFormat="0" applyAlignment="0" applyProtection="0"/>
    <xf numFmtId="0" fontId="106" fillId="0" borderId="89">
      <alignment horizontal="left" vertical="center"/>
    </xf>
    <xf numFmtId="0" fontId="106" fillId="0" borderId="90">
      <alignment horizontal="right" vertical="center"/>
    </xf>
    <xf numFmtId="232" fontId="106" fillId="0" borderId="90">
      <alignment horizontal="right" vertical="center"/>
    </xf>
    <xf numFmtId="17" fontId="106" fillId="0" borderId="90">
      <alignment horizontal="right" vertical="center"/>
    </xf>
    <xf numFmtId="233" fontId="106" fillId="0" borderId="90">
      <alignment horizontal="right" vertical="center"/>
    </xf>
    <xf numFmtId="221" fontId="106" fillId="0" borderId="90">
      <alignment horizontal="right" vertical="center"/>
    </xf>
    <xf numFmtId="234" fontId="106" fillId="0" borderId="90">
      <alignment horizontal="right" vertical="center"/>
    </xf>
    <xf numFmtId="0" fontId="110" fillId="0" borderId="0" applyNumberFormat="0" applyFill="0" applyBorder="0">
      <alignment horizontal="center" wrapText="1"/>
    </xf>
    <xf numFmtId="0" fontId="111" fillId="0" borderId="0">
      <alignment horizontal="center" wrapText="1"/>
      <protection hidden="1"/>
    </xf>
    <xf numFmtId="235" fontId="69" fillId="0" borderId="0">
      <alignment vertical="center"/>
    </xf>
    <xf numFmtId="195" fontId="111" fillId="0" borderId="0"/>
    <xf numFmtId="195" fontId="111" fillId="0" borderId="0"/>
    <xf numFmtId="195" fontId="111" fillId="0" borderId="0"/>
    <xf numFmtId="195" fontId="111" fillId="0" borderId="0"/>
    <xf numFmtId="195" fontId="111" fillId="0" borderId="0"/>
    <xf numFmtId="195" fontId="111" fillId="0" borderId="0"/>
    <xf numFmtId="195" fontId="111" fillId="0" borderId="0"/>
    <xf numFmtId="195" fontId="111" fillId="0" borderId="0"/>
    <xf numFmtId="0" fontId="112" fillId="0" borderId="0"/>
    <xf numFmtId="168" fontId="113" fillId="0" borderId="0" applyFont="0" applyBorder="0">
      <alignment horizontal="right"/>
    </xf>
    <xf numFmtId="226" fontId="6" fillId="0" borderId="0" applyFont="0" applyFill="0" applyBorder="0" applyAlignment="0" applyProtection="0"/>
    <xf numFmtId="0" fontId="101" fillId="0" borderId="0" applyFont="0" applyFill="0" applyBorder="0" applyAlignment="0">
      <alignment horizontal="center" wrapText="1"/>
    </xf>
    <xf numFmtId="0" fontId="63" fillId="0" borderId="0" applyFont="0" applyFill="0" applyBorder="0" applyAlignment="0" applyProtection="0">
      <alignment horizontal="right"/>
    </xf>
    <xf numFmtId="0" fontId="63" fillId="0" borderId="0" applyFont="0" applyFill="0" applyBorder="0" applyAlignment="0" applyProtection="0"/>
    <xf numFmtId="236" fontId="114" fillId="0" borderId="0" applyFont="0" applyFill="0" applyBorder="0" applyAlignment="0" applyProtection="0">
      <alignment horizontal="right"/>
    </xf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237" fontId="6" fillId="0" borderId="0" applyFont="0" applyFill="0" applyBorder="0" applyAlignment="0" applyProtection="0"/>
    <xf numFmtId="237" fontId="6" fillId="0" borderId="0" applyFont="0" applyFill="0" applyBorder="0" applyAlignment="0" applyProtection="0"/>
    <xf numFmtId="237" fontId="6" fillId="0" borderId="0" applyFont="0" applyFill="0" applyBorder="0" applyAlignment="0" applyProtection="0"/>
    <xf numFmtId="237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115" fillId="0" borderId="0" applyFont="0" applyFill="0" applyBorder="0" applyAlignment="0" applyProtection="0"/>
    <xf numFmtId="170" fontId="115" fillId="0" borderId="0" applyFont="0" applyFill="0" applyBorder="0" applyAlignment="0" applyProtection="0"/>
    <xf numFmtId="170" fontId="8" fillId="0" borderId="0" applyFont="0" applyFill="0" applyBorder="0" applyAlignment="0" applyProtection="0"/>
    <xf numFmtId="238" fontId="114" fillId="0" borderId="0" applyFont="0" applyFill="0" applyBorder="0" applyAlignment="0" applyProtection="0"/>
    <xf numFmtId="239" fontId="114" fillId="0" borderId="0" applyFont="0" applyFill="0" applyBorder="0" applyAlignment="0" applyProtection="0">
      <alignment horizontal="right"/>
    </xf>
    <xf numFmtId="170" fontId="4" fillId="0" borderId="0" applyFont="0" applyFill="0" applyBorder="0" applyAlignment="0" applyProtection="0"/>
    <xf numFmtId="240" fontId="6" fillId="0" borderId="0" applyFont="0" applyFill="0" applyBorder="0" applyAlignment="0" applyProtection="0"/>
    <xf numFmtId="170" fontId="8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8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0" fontId="63" fillId="0" borderId="0" applyFont="0" applyFill="0" applyBorder="0" applyAlignment="0" applyProtection="0"/>
    <xf numFmtId="3" fontId="6" fillId="0" borderId="0" applyFont="0" applyFill="0" applyBorder="0" applyAlignment="0" applyProtection="0"/>
    <xf numFmtId="0" fontId="116" fillId="0" borderId="0"/>
    <xf numFmtId="0" fontId="117" fillId="0" borderId="0"/>
    <xf numFmtId="0" fontId="116" fillId="0" borderId="0"/>
    <xf numFmtId="0" fontId="117" fillId="0" borderId="0"/>
    <xf numFmtId="0" fontId="63" fillId="0" borderId="0"/>
    <xf numFmtId="39" fontId="67" fillId="0" borderId="0" applyNumberFormat="0" applyFill="0" applyBorder="0" applyAlignment="0" applyProtection="0">
      <alignment horizontal="center"/>
    </xf>
    <xf numFmtId="0" fontId="118" fillId="76" borderId="0">
      <alignment horizontal="center" vertical="center" wrapText="1"/>
    </xf>
    <xf numFmtId="241" fontId="6" fillId="0" borderId="0" applyFont="0" applyFill="0" applyBorder="0" applyAlignment="0" applyProtection="0"/>
    <xf numFmtId="0" fontId="119" fillId="0" borderId="0" applyNumberFormat="0" applyAlignment="0">
      <alignment horizontal="left"/>
    </xf>
    <xf numFmtId="0" fontId="120" fillId="0" borderId="0">
      <alignment horizontal="left" vertical="center" indent="2"/>
    </xf>
    <xf numFmtId="0" fontId="63" fillId="1" borderId="0" applyFont="0" applyFill="0" applyBorder="0" applyAlignment="0" applyProtection="0">
      <alignment horizontal="right"/>
    </xf>
    <xf numFmtId="3" fontId="6" fillId="0" borderId="91" applyNumberFormat="0" applyAlignment="0">
      <alignment vertical="center"/>
    </xf>
    <xf numFmtId="242" fontId="41" fillId="0" borderId="0" applyFill="0" applyBorder="0">
      <alignment horizontal="right"/>
      <protection locked="0"/>
    </xf>
    <xf numFmtId="164" fontId="121" fillId="0" borderId="0" applyFont="0" applyFill="0" applyBorder="0" applyAlignment="0" applyProtection="0">
      <alignment horizontal="center"/>
    </xf>
    <xf numFmtId="227" fontId="6" fillId="0" borderId="0" applyFont="0" applyFill="0" applyBorder="0" applyAlignment="0" applyProtection="0"/>
    <xf numFmtId="0" fontId="101" fillId="0" borderId="0" applyFont="0" applyFill="0" applyBorder="0" applyAlignment="0">
      <alignment horizontal="center" wrapText="1"/>
    </xf>
    <xf numFmtId="0" fontId="63" fillId="0" borderId="0" applyFont="0" applyFill="0" applyBorder="0" applyAlignment="0" applyProtection="0">
      <alignment horizontal="right"/>
    </xf>
    <xf numFmtId="243" fontId="122" fillId="0" borderId="0" applyFont="0" applyFill="0" applyBorder="0" applyAlignment="0" applyProtection="0"/>
    <xf numFmtId="244" fontId="114" fillId="0" borderId="0" applyFont="0" applyFill="0" applyBorder="0" applyAlignment="0" applyProtection="0">
      <alignment horizontal="right"/>
    </xf>
    <xf numFmtId="245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5" fillId="42" borderId="0"/>
    <xf numFmtId="0" fontId="6" fillId="0" borderId="0"/>
    <xf numFmtId="0" fontId="6" fillId="0" borderId="0"/>
    <xf numFmtId="246" fontId="65" fillId="0" borderId="0" applyFill="0" applyBorder="0" applyAlignment="0" applyProtection="0"/>
    <xf numFmtId="247" fontId="6" fillId="0" borderId="0"/>
    <xf numFmtId="247" fontId="6" fillId="0" borderId="0"/>
    <xf numFmtId="247" fontId="6" fillId="0" borderId="0"/>
    <xf numFmtId="247" fontId="6" fillId="0" borderId="0"/>
    <xf numFmtId="247" fontId="123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3" fillId="0" borderId="0"/>
    <xf numFmtId="0" fontId="1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247" fontId="6" fillId="0" borderId="0"/>
    <xf numFmtId="247" fontId="6" fillId="0" borderId="0"/>
    <xf numFmtId="247" fontId="123" fillId="0" borderId="0"/>
    <xf numFmtId="247" fontId="123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7" fontId="6" fillId="0" borderId="0"/>
    <xf numFmtId="248" fontId="39" fillId="0" borderId="0" applyFont="0" applyFill="0" applyBorder="0" applyAlignment="0" applyProtection="0"/>
    <xf numFmtId="0" fontId="6" fillId="0" borderId="0">
      <protection locked="0"/>
    </xf>
    <xf numFmtId="0" fontId="63" fillId="0" borderId="0" applyFont="0" applyFill="0" applyBorder="0" applyAlignment="0" applyProtection="0"/>
    <xf numFmtId="249" fontId="114" fillId="0" borderId="0" applyFont="0" applyFill="0" applyBorder="0" applyAlignment="0" applyProtection="0"/>
    <xf numFmtId="250" fontId="114" fillId="0" borderId="0" applyFont="0" applyFill="0" applyBorder="0" applyAlignment="0" applyProtection="0"/>
    <xf numFmtId="14" fontId="104" fillId="0" borderId="0" applyFill="0" applyBorder="0" applyAlignment="0"/>
    <xf numFmtId="14" fontId="124" fillId="0" borderId="0"/>
    <xf numFmtId="0" fontId="63" fillId="0" borderId="63" applyFont="0" applyFill="0" applyBorder="0" applyAlignment="0" applyProtection="0">
      <alignment horizontal="right"/>
    </xf>
    <xf numFmtId="15" fontId="125" fillId="0" borderId="0">
      <alignment horizontal="right" vertical="center"/>
    </xf>
    <xf numFmtId="0" fontId="126" fillId="0" borderId="92" applyNumberFormat="0" applyFill="0" applyBorder="0"/>
    <xf numFmtId="15" fontId="77" fillId="0" borderId="0" applyFont="0" applyFill="0" applyBorder="0" applyAlignment="0" applyProtection="0">
      <alignment horizontal="center"/>
    </xf>
    <xf numFmtId="251" fontId="65" fillId="2" borderId="0" applyFont="0" applyFill="0" applyBorder="0" applyAlignment="0" applyProtection="0"/>
    <xf numFmtId="14" fontId="127" fillId="0" borderId="25" applyNumberFormat="0" applyBorder="0" applyAlignment="0">
      <alignment horizontal="right"/>
    </xf>
    <xf numFmtId="202" fontId="77" fillId="0" borderId="0" applyFont="0" applyFill="0" applyBorder="0" applyAlignment="0" applyProtection="0">
      <alignment horizontal="center"/>
    </xf>
    <xf numFmtId="9" fontId="6" fillId="0" borderId="0" applyNumberFormat="0" applyFill="0" applyBorder="0" applyAlignment="0" applyProtection="0"/>
    <xf numFmtId="252" fontId="6" fillId="0" borderId="0" applyFont="0" applyFill="0" applyBorder="0" applyAlignment="0" applyProtection="0"/>
    <xf numFmtId="4" fontId="128" fillId="0" borderId="0" applyFont="0" applyFill="0" applyBorder="0" applyAlignment="0" applyProtection="0"/>
    <xf numFmtId="0" fontId="129" fillId="0" borderId="0">
      <protection locked="0"/>
    </xf>
    <xf numFmtId="0" fontId="6" fillId="0" borderId="0" applyFont="0" applyFill="0" applyBorder="0" applyAlignment="0"/>
    <xf numFmtId="0" fontId="63" fillId="0" borderId="47" applyNumberFormat="0" applyFont="0" applyFill="0" applyAlignment="0" applyProtection="0"/>
    <xf numFmtId="167" fontId="130" fillId="0" borderId="0" applyFill="0" applyBorder="0" applyAlignment="0" applyProtection="0"/>
    <xf numFmtId="1" fontId="88" fillId="0" borderId="0"/>
    <xf numFmtId="0" fontId="6" fillId="1" borderId="0" applyNumberFormat="0" applyBorder="0" applyAlignment="0" applyProtection="0"/>
    <xf numFmtId="0" fontId="131" fillId="0" borderId="0">
      <protection locked="0"/>
    </xf>
    <xf numFmtId="0" fontId="131" fillId="0" borderId="0">
      <protection locked="0"/>
    </xf>
    <xf numFmtId="226" fontId="37" fillId="0" borderId="0" applyFill="0" applyBorder="0" applyAlignment="0"/>
    <xf numFmtId="227" fontId="37" fillId="0" borderId="0" applyFill="0" applyBorder="0" applyAlignment="0"/>
    <xf numFmtId="226" fontId="37" fillId="0" borderId="0" applyFill="0" applyBorder="0" applyAlignment="0"/>
    <xf numFmtId="231" fontId="37" fillId="0" borderId="0" applyFill="0" applyBorder="0" applyAlignment="0"/>
    <xf numFmtId="227" fontId="37" fillId="0" borderId="0" applyFill="0" applyBorder="0" applyAlignment="0"/>
    <xf numFmtId="0" fontId="132" fillId="0" borderId="0" applyNumberFormat="0" applyAlignment="0">
      <alignment horizontal="left"/>
    </xf>
    <xf numFmtId="172" fontId="133" fillId="0" borderId="0"/>
    <xf numFmtId="253" fontId="98" fillId="0" borderId="0" applyFont="0" applyFill="0" applyBorder="0" applyAlignment="0" applyProtection="0"/>
    <xf numFmtId="254" fontId="39" fillId="0" borderId="0" applyFont="0" applyFill="0" applyBorder="0" applyAlignment="0" applyProtection="0"/>
    <xf numFmtId="241" fontId="6" fillId="0" borderId="0" applyFont="0" applyFill="0" applyBorder="0" applyAlignment="0" applyProtection="0"/>
    <xf numFmtId="0" fontId="134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0" fontId="129" fillId="0" borderId="0">
      <protection locked="0"/>
    </xf>
    <xf numFmtId="0" fontId="129" fillId="0" borderId="0">
      <protection locked="0"/>
    </xf>
    <xf numFmtId="0" fontId="129" fillId="0" borderId="0">
      <protection locked="0"/>
    </xf>
    <xf numFmtId="0" fontId="129" fillId="0" borderId="0">
      <protection locked="0"/>
    </xf>
    <xf numFmtId="0" fontId="129" fillId="0" borderId="0">
      <protection locked="0"/>
    </xf>
    <xf numFmtId="0" fontId="129" fillId="0" borderId="0">
      <protection locked="0"/>
    </xf>
    <xf numFmtId="0" fontId="129" fillId="0" borderId="0">
      <protection locked="0"/>
    </xf>
    <xf numFmtId="255" fontId="41" fillId="77" borderId="7">
      <alignment horizontal="left"/>
    </xf>
    <xf numFmtId="0" fontId="6" fillId="0" borderId="0" applyNumberFormat="0" applyFill="0" applyBorder="0"/>
    <xf numFmtId="0" fontId="6" fillId="0" borderId="0" applyNumberFormat="0" applyFill="0" applyBorder="0"/>
    <xf numFmtId="256" fontId="6" fillId="0" borderId="0"/>
    <xf numFmtId="0" fontId="129" fillId="0" borderId="0">
      <protection locked="0"/>
    </xf>
    <xf numFmtId="0" fontId="129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174" fontId="135" fillId="0" borderId="0" applyNumberFormat="0" applyFill="0" applyBorder="0" applyAlignment="0" applyProtection="0"/>
    <xf numFmtId="0" fontId="136" fillId="0" borderId="0" applyFill="0" applyBorder="0" applyProtection="0">
      <alignment horizontal="left"/>
    </xf>
    <xf numFmtId="202" fontId="6" fillId="0" borderId="0"/>
    <xf numFmtId="0" fontId="43" fillId="0" borderId="93" applyNumberFormat="0" applyFill="0"/>
    <xf numFmtId="0" fontId="43" fillId="0" borderId="93" applyNumberFormat="0" applyFill="0"/>
    <xf numFmtId="0" fontId="43" fillId="0" borderId="93" applyNumberFormat="0" applyFill="0"/>
    <xf numFmtId="0" fontId="45" fillId="0" borderId="94" applyNumberFormat="0" applyFill="0" applyBorder="0">
      <alignment horizontal="center"/>
    </xf>
    <xf numFmtId="0" fontId="137" fillId="0" borderId="0"/>
    <xf numFmtId="0" fontId="138" fillId="0" borderId="0"/>
    <xf numFmtId="0" fontId="139" fillId="50" borderId="0" applyNumberFormat="0" applyBorder="0" applyAlignment="0" applyProtection="0"/>
    <xf numFmtId="0" fontId="139" fillId="50" borderId="0" applyNumberFormat="0" applyBorder="0" applyAlignment="0" applyProtection="0"/>
    <xf numFmtId="38" fontId="69" fillId="3" borderId="0" applyNumberFormat="0" applyBorder="0" applyAlignment="0" applyProtection="0"/>
    <xf numFmtId="0" fontId="6" fillId="0" borderId="0" applyNumberFormat="0" applyFont="0" applyBorder="0" applyAlignment="0" applyProtection="0"/>
    <xf numFmtId="0" fontId="6" fillId="17" borderId="63" applyNumberFormat="0" applyFont="0" applyAlignment="0"/>
    <xf numFmtId="0" fontId="63" fillId="17" borderId="63" applyNumberFormat="0" applyFont="0" applyAlignment="0"/>
    <xf numFmtId="0" fontId="63" fillId="0" borderId="0" applyFont="0" applyFill="0" applyBorder="0" applyAlignment="0" applyProtection="0">
      <alignment horizontal="right"/>
    </xf>
    <xf numFmtId="172" fontId="140" fillId="78" borderId="26">
      <alignment horizontal="centerContinuous"/>
    </xf>
    <xf numFmtId="0" fontId="141" fillId="0" borderId="0">
      <alignment horizontal="left"/>
    </xf>
    <xf numFmtId="0" fontId="142" fillId="0" borderId="75" applyNumberFormat="0" applyFill="0" applyAlignment="0" applyProtection="0"/>
    <xf numFmtId="0" fontId="142" fillId="0" borderId="75" applyNumberFormat="0" applyFill="0" applyAlignment="0" applyProtection="0"/>
    <xf numFmtId="0" fontId="143" fillId="0" borderId="95" applyNumberFormat="0" applyFill="0" applyAlignment="0" applyProtection="0"/>
    <xf numFmtId="0" fontId="143" fillId="0" borderId="95" applyNumberFormat="0" applyFill="0" applyAlignment="0" applyProtection="0"/>
    <xf numFmtId="0" fontId="144" fillId="0" borderId="96" applyNumberFormat="0" applyFill="0" applyAlignment="0" applyProtection="0"/>
    <xf numFmtId="0" fontId="144" fillId="0" borderId="96" applyNumberFormat="0" applyFill="0" applyAlignment="0" applyProtection="0"/>
    <xf numFmtId="0" fontId="144" fillId="0" borderId="0" applyNumberFormat="0" applyFill="0" applyBorder="0" applyAlignment="0" applyProtection="0"/>
    <xf numFmtId="0" fontId="144" fillId="0" borderId="0" applyNumberFormat="0" applyFill="0" applyBorder="0" applyAlignment="0" applyProtection="0"/>
    <xf numFmtId="0" fontId="145" fillId="79" borderId="0">
      <alignment vertical="center"/>
    </xf>
    <xf numFmtId="0" fontId="146" fillId="79" borderId="0">
      <alignment horizontal="left" vertical="center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110" fillId="0" borderId="76" applyNumberFormat="0" applyFill="0" applyProtection="0">
      <alignment horizontal="center" vertical="center" wrapText="1"/>
    </xf>
    <xf numFmtId="0" fontId="6" fillId="80" borderId="0" applyNumberFormat="0" applyBorder="0" applyAlignment="0" applyProtection="0"/>
    <xf numFmtId="257" fontId="6" fillId="0" borderId="0" applyFont="0" applyFill="0" applyBorder="0" applyAlignment="0"/>
    <xf numFmtId="169" fontId="43" fillId="65" borderId="63" applyNumberFormat="0" applyAlignment="0" applyProtection="0"/>
    <xf numFmtId="0" fontId="147" fillId="0" borderId="0" applyNumberFormat="0" applyFill="0" applyBorder="0" applyAlignment="0" applyProtection="0">
      <alignment vertical="top"/>
      <protection locked="0"/>
    </xf>
    <xf numFmtId="0" fontId="148" fillId="0" borderId="0" applyFill="0" applyBorder="0"/>
    <xf numFmtId="10" fontId="69" fillId="17" borderId="63" applyNumberFormat="0" applyBorder="0" applyAlignment="0" applyProtection="0"/>
    <xf numFmtId="0" fontId="46" fillId="53" borderId="86" applyNumberFormat="0" applyAlignment="0" applyProtection="0"/>
    <xf numFmtId="0" fontId="46" fillId="53" borderId="86" applyNumberFormat="0" applyAlignment="0" applyProtection="0"/>
    <xf numFmtId="0" fontId="46" fillId="53" borderId="86" applyNumberFormat="0" applyAlignment="0" applyProtection="0"/>
    <xf numFmtId="0" fontId="149" fillId="53" borderId="86" applyNumberFormat="0" applyAlignment="0" applyProtection="0"/>
    <xf numFmtId="0" fontId="149" fillId="53" borderId="86" applyNumberFormat="0" applyAlignment="0" applyProtection="0"/>
    <xf numFmtId="0" fontId="46" fillId="53" borderId="86" applyNumberFormat="0" applyAlignment="0" applyProtection="0"/>
    <xf numFmtId="0" fontId="46" fillId="53" borderId="86" applyNumberFormat="0" applyAlignment="0" applyProtection="0"/>
    <xf numFmtId="0" fontId="46" fillId="53" borderId="86" applyNumberFormat="0" applyAlignment="0" applyProtection="0"/>
    <xf numFmtId="0" fontId="46" fillId="53" borderId="86" applyNumberFormat="0" applyAlignment="0" applyProtection="0"/>
    <xf numFmtId="0" fontId="46" fillId="53" borderId="86" applyNumberFormat="0" applyAlignment="0" applyProtection="0"/>
    <xf numFmtId="0" fontId="46" fillId="53" borderId="86" applyNumberFormat="0" applyAlignment="0" applyProtection="0"/>
    <xf numFmtId="15" fontId="150" fillId="65" borderId="0">
      <alignment horizontal="right" vertical="center"/>
      <protection locked="0"/>
    </xf>
    <xf numFmtId="258" fontId="150" fillId="65" borderId="0">
      <alignment horizontal="right" vertical="center"/>
      <protection locked="0"/>
    </xf>
    <xf numFmtId="259" fontId="150" fillId="65" borderId="0" applyProtection="0">
      <alignment horizontal="right" vertical="center"/>
      <protection locked="0"/>
    </xf>
    <xf numFmtId="221" fontId="150" fillId="65" borderId="0">
      <alignment horizontal="right" vertical="center"/>
      <protection locked="0"/>
    </xf>
    <xf numFmtId="260" fontId="150" fillId="65" borderId="0">
      <alignment horizontal="right" vertical="center"/>
      <protection locked="0"/>
    </xf>
    <xf numFmtId="222" fontId="99" fillId="0" borderId="0" applyFill="0" applyBorder="0" applyAlignment="0" applyProtection="0"/>
    <xf numFmtId="0" fontId="37" fillId="0" borderId="0" applyNumberFormat="0" applyFill="0" applyBorder="0" applyAlignment="0">
      <protection locked="0"/>
    </xf>
    <xf numFmtId="37" fontId="37" fillId="0" borderId="0" applyNumberFormat="0" applyFill="0" applyBorder="0" applyAlignment="0" applyProtection="0"/>
    <xf numFmtId="261" fontId="41" fillId="0" borderId="0" applyFill="0" applyBorder="0">
      <alignment horizontal="right"/>
      <protection locked="0"/>
    </xf>
    <xf numFmtId="0" fontId="64" fillId="81" borderId="97">
      <alignment horizontal="left" vertical="center" wrapText="1"/>
    </xf>
    <xf numFmtId="0" fontId="43" fillId="0" borderId="6" applyNumberFormat="0" applyFill="0" applyBorder="0"/>
    <xf numFmtId="0" fontId="43" fillId="0" borderId="6" applyNumberFormat="0" applyFill="0" applyBorder="0"/>
    <xf numFmtId="0" fontId="43" fillId="0" borderId="6" applyNumberFormat="0" applyFill="0" applyBorder="0"/>
    <xf numFmtId="262" fontId="6" fillId="0" borderId="6" applyFill="0" applyBorder="0"/>
    <xf numFmtId="262" fontId="6" fillId="0" borderId="6" applyFill="0" applyBorder="0"/>
    <xf numFmtId="0" fontId="43" fillId="0" borderId="0" applyNumberFormat="0" applyFill="0" applyBorder="0">
      <alignment horizontal="center"/>
    </xf>
    <xf numFmtId="0" fontId="43" fillId="0" borderId="0" applyNumberFormat="0" applyFill="0" applyBorder="0">
      <alignment horizontal="center"/>
    </xf>
    <xf numFmtId="0" fontId="43" fillId="0" borderId="0" applyNumberFormat="0" applyFill="0" applyBorder="0">
      <alignment horizontal="center"/>
    </xf>
    <xf numFmtId="263" fontId="6" fillId="0" borderId="0" applyFont="0" applyFill="0" applyBorder="0" applyAlignment="0" applyProtection="0"/>
    <xf numFmtId="264" fontId="6" fillId="0" borderId="0" applyFont="0" applyFill="0" applyBorder="0" applyAlignment="0" applyProtection="0"/>
    <xf numFmtId="222" fontId="65" fillId="0" borderId="7" applyNumberFormat="0" applyFont="0" applyFill="0" applyAlignment="0" applyProtection="0"/>
    <xf numFmtId="0" fontId="151" fillId="0" borderId="7" applyNumberFormat="0" applyFont="0" applyAlignment="0" applyProtection="0">
      <alignment horizontal="center"/>
      <protection locked="0"/>
    </xf>
    <xf numFmtId="0" fontId="147" fillId="0" borderId="0" applyNumberFormat="0" applyFill="0" applyBorder="0" applyAlignment="0" applyProtection="0">
      <alignment vertical="top"/>
      <protection locked="0"/>
    </xf>
    <xf numFmtId="0" fontId="152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148" fillId="82" borderId="0" applyNumberFormat="0" applyFont="0" applyBorder="0" applyProtection="0"/>
    <xf numFmtId="0" fontId="43" fillId="0" borderId="0" applyNumberFormat="0" applyFill="0" applyBorder="0">
      <alignment horizontal="right"/>
    </xf>
    <xf numFmtId="0" fontId="43" fillId="0" borderId="0" applyNumberFormat="0" applyFill="0" applyBorder="0">
      <alignment horizontal="right"/>
    </xf>
    <xf numFmtId="0" fontId="43" fillId="0" borderId="0" applyNumberFormat="0" applyFill="0" applyBorder="0">
      <alignment horizontal="right"/>
    </xf>
    <xf numFmtId="0" fontId="6" fillId="0" borderId="98" applyNumberFormat="0" applyFill="0" applyBorder="0">
      <alignment horizontal="center"/>
    </xf>
    <xf numFmtId="0" fontId="6" fillId="0" borderId="98" applyNumberFormat="0" applyFill="0" applyBorder="0">
      <alignment horizontal="center"/>
    </xf>
    <xf numFmtId="226" fontId="153" fillId="0" borderId="0" applyFill="0" applyBorder="0" applyAlignment="0"/>
    <xf numFmtId="227" fontId="153" fillId="0" borderId="0" applyFill="0" applyBorder="0" applyAlignment="0"/>
    <xf numFmtId="226" fontId="153" fillId="0" borderId="0" applyFill="0" applyBorder="0" applyAlignment="0"/>
    <xf numFmtId="231" fontId="153" fillId="0" borderId="0" applyFill="0" applyBorder="0" applyAlignment="0"/>
    <xf numFmtId="227" fontId="153" fillId="0" borderId="0" applyFill="0" applyBorder="0" applyAlignment="0"/>
    <xf numFmtId="0" fontId="154" fillId="0" borderId="99" applyNumberFormat="0" applyFill="0" applyAlignment="0" applyProtection="0"/>
    <xf numFmtId="0" fontId="154" fillId="0" borderId="99" applyNumberFormat="0" applyFill="0" applyAlignment="0" applyProtection="0"/>
    <xf numFmtId="265" fontId="65" fillId="0" borderId="0" applyFont="0" applyFill="0" applyBorder="0" applyAlignment="0" applyProtection="0"/>
    <xf numFmtId="266" fontId="65" fillId="0" borderId="0" applyFill="0" applyBorder="0" applyAlignment="0" applyProtection="0"/>
    <xf numFmtId="266" fontId="65" fillId="0" borderId="0" applyFill="0" applyBorder="0" applyAlignment="0" applyProtection="0"/>
    <xf numFmtId="266" fontId="65" fillId="0" borderId="0" applyFill="0" applyBorder="0" applyAlignment="0" applyProtection="0"/>
    <xf numFmtId="241" fontId="6" fillId="42" borderId="0" applyFont="0" applyFill="0" applyBorder="0" applyAlignment="0" applyProtection="0">
      <alignment horizontal="right"/>
    </xf>
    <xf numFmtId="0" fontId="155" fillId="0" borderId="25">
      <alignment horizontal="left"/>
      <protection locked="0"/>
    </xf>
    <xf numFmtId="0" fontId="156" fillId="72" borderId="0"/>
    <xf numFmtId="1" fontId="157" fillId="0" borderId="0"/>
    <xf numFmtId="0" fontId="158" fillId="0" borderId="0" applyNumberFormat="0" applyFill="0" applyBorder="0" applyAlignment="0" applyProtection="0">
      <alignment vertical="center"/>
    </xf>
    <xf numFmtId="0" fontId="159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217" fontId="77" fillId="0" borderId="0">
      <alignment horizontal="center"/>
    </xf>
    <xf numFmtId="0" fontId="162" fillId="0" borderId="0" applyBorder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98" fillId="0" borderId="0" applyFont="0" applyFill="0" applyBorder="0" applyAlignment="0" applyProtection="0">
      <alignment horizontal="right"/>
    </xf>
    <xf numFmtId="0" fontId="98" fillId="0" borderId="0" applyFill="0" applyProtection="0">
      <alignment horizontal="right"/>
    </xf>
    <xf numFmtId="3" fontId="121" fillId="0" borderId="0" applyFont="0" applyFill="0" applyBorder="0" applyAlignment="0" applyProtection="0">
      <alignment horizontal="center"/>
    </xf>
    <xf numFmtId="267" fontId="6" fillId="0" borderId="0" applyFont="0" applyFill="0" applyBorder="0" applyAlignment="0" applyProtection="0">
      <alignment horizontal="right"/>
    </xf>
    <xf numFmtId="0" fontId="163" fillId="0" borderId="0"/>
    <xf numFmtId="0" fontId="148" fillId="0" borderId="98" applyNumberFormat="0" applyAlignment="0">
      <alignment horizontal="left"/>
    </xf>
    <xf numFmtId="14" fontId="127" fillId="0" borderId="0"/>
    <xf numFmtId="0" fontId="164" fillId="0" borderId="6"/>
    <xf numFmtId="268" fontId="6" fillId="0" borderId="0" applyFont="0" applyFill="0" applyBorder="0" applyAlignment="0" applyProtection="0"/>
    <xf numFmtId="269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29" fillId="0" borderId="0">
      <protection locked="0"/>
    </xf>
    <xf numFmtId="17" fontId="77" fillId="0" borderId="0" applyFont="0" applyFill="0" applyBorder="0" applyAlignment="0" applyProtection="0">
      <alignment horizontal="center"/>
    </xf>
    <xf numFmtId="270" fontId="65" fillId="0" borderId="0" applyFont="0" applyFill="0" applyBorder="0" applyAlignment="0" applyProtection="0"/>
    <xf numFmtId="233" fontId="125" fillId="0" borderId="0">
      <alignment horizontal="right" vertical="center"/>
    </xf>
    <xf numFmtId="0" fontId="63" fillId="0" borderId="0" applyFont="0" applyFill="0" applyBorder="0" applyAlignment="0" applyProtection="0">
      <alignment horizontal="right"/>
    </xf>
    <xf numFmtId="241" fontId="6" fillId="0" borderId="0" applyFont="0" applyFill="0" applyBorder="0" applyAlignment="0" applyProtection="0"/>
    <xf numFmtId="222" fontId="65" fillId="0" borderId="0" applyFont="0" applyFill="0" applyBorder="0" applyAlignment="0" applyProtection="0"/>
    <xf numFmtId="0" fontId="6" fillId="0" borderId="0">
      <alignment horizontal="right"/>
    </xf>
    <xf numFmtId="259" fontId="165" fillId="0" borderId="0">
      <alignment horizontal="left" vertical="center"/>
    </xf>
    <xf numFmtId="0" fontId="166" fillId="47" borderId="0" applyNumberFormat="0" applyBorder="0" applyAlignment="0" applyProtection="0"/>
    <xf numFmtId="0" fontId="166" fillId="47" borderId="0" applyNumberFormat="0" applyBorder="0" applyAlignment="0" applyProtection="0"/>
    <xf numFmtId="0" fontId="111" fillId="0" borderId="0" applyNumberFormat="0" applyBorder="0" applyAlignment="0"/>
    <xf numFmtId="37" fontId="167" fillId="0" borderId="0"/>
    <xf numFmtId="0" fontId="98" fillId="0" borderId="0"/>
    <xf numFmtId="0" fontId="6" fillId="0" borderId="0"/>
    <xf numFmtId="271" fontId="65" fillId="0" borderId="0"/>
    <xf numFmtId="0" fontId="65" fillId="0" borderId="0" applyNumberFormat="0" applyFont="0" applyBorder="0" applyAlignment="0"/>
    <xf numFmtId="221" fontId="98" fillId="0" borderId="0"/>
    <xf numFmtId="272" fontId="6" fillId="0" borderId="0"/>
    <xf numFmtId="272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 applyNumberFormat="0" applyFill="0" applyBorder="0" applyAlignment="0" applyProtection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5" fillId="0" borderId="0"/>
    <xf numFmtId="0" fontId="115" fillId="0" borderId="0"/>
    <xf numFmtId="0" fontId="115" fillId="0" borderId="0"/>
    <xf numFmtId="0" fontId="6" fillId="0" borderId="0"/>
    <xf numFmtId="0" fontId="4" fillId="0" borderId="0"/>
    <xf numFmtId="0" fontId="65" fillId="0" borderId="0"/>
    <xf numFmtId="0" fontId="6" fillId="83" borderId="44" applyNumberFormat="0" applyFont="0" applyAlignment="0" applyProtection="0"/>
    <xf numFmtId="0" fontId="6" fillId="83" borderId="44" applyNumberFormat="0" applyFont="0" applyAlignment="0" applyProtection="0"/>
    <xf numFmtId="0" fontId="4" fillId="22" borderId="66" applyNumberFormat="0" applyFont="0" applyAlignment="0" applyProtection="0"/>
    <xf numFmtId="259" fontId="168" fillId="0" borderId="0">
      <alignment vertical="center"/>
    </xf>
    <xf numFmtId="0" fontId="6" fillId="0" borderId="0"/>
    <xf numFmtId="14" fontId="69" fillId="0" borderId="0" applyFont="0" applyFill="0" applyBorder="0" applyAlignment="0" applyProtection="0"/>
    <xf numFmtId="0" fontId="67" fillId="0" borderId="0">
      <alignment horizontal="center"/>
    </xf>
    <xf numFmtId="37" fontId="6" fillId="0" borderId="0" applyFont="0" applyFill="0" applyBorder="0" applyAlignment="0" applyProtection="0"/>
    <xf numFmtId="273" fontId="6" fillId="0" borderId="0" applyNumberFormat="0" applyFill="0" applyBorder="0" applyAlignment="0" applyProtection="0"/>
    <xf numFmtId="40" fontId="169" fillId="0" borderId="0" applyFont="0" applyFill="0" applyBorder="0" applyAlignment="0" applyProtection="0"/>
    <xf numFmtId="38" fontId="169" fillId="0" borderId="0" applyFont="0" applyFill="0" applyBorder="0" applyAlignment="0" applyProtection="0"/>
    <xf numFmtId="274" fontId="170" fillId="73" borderId="63"/>
    <xf numFmtId="0" fontId="6" fillId="84" borderId="0" applyNumberFormat="0" applyFont="0" applyBorder="0" applyAlignment="0"/>
    <xf numFmtId="0" fontId="65" fillId="0" borderId="0" applyFill="0" applyBorder="0" applyProtection="0"/>
    <xf numFmtId="275" fontId="65" fillId="0" borderId="0" applyFont="0" applyFill="0" applyBorder="0" applyProtection="0"/>
    <xf numFmtId="276" fontId="170" fillId="73" borderId="63" applyFont="0" applyFill="0" applyBorder="0" applyAlignment="0" applyProtection="0"/>
    <xf numFmtId="0" fontId="171" fillId="72" borderId="100" applyNumberFormat="0" applyAlignment="0" applyProtection="0"/>
    <xf numFmtId="0" fontId="171" fillId="72" borderId="100" applyNumberFormat="0" applyAlignment="0" applyProtection="0"/>
    <xf numFmtId="40" fontId="104" fillId="85" borderId="0">
      <alignment horizontal="right"/>
    </xf>
    <xf numFmtId="0" fontId="172" fillId="52" borderId="0">
      <alignment horizontal="center"/>
    </xf>
    <xf numFmtId="0" fontId="145" fillId="50" borderId="0"/>
    <xf numFmtId="0" fontId="173" fillId="85" borderId="0" applyBorder="0">
      <alignment horizontal="centerContinuous"/>
    </xf>
    <xf numFmtId="0" fontId="174" fillId="86" borderId="0" applyBorder="0">
      <alignment horizontal="centerContinuous"/>
    </xf>
    <xf numFmtId="222" fontId="87" fillId="0" borderId="0" applyFill="0" applyBorder="0" applyAlignment="0" applyProtection="0"/>
    <xf numFmtId="0" fontId="6" fillId="0" borderId="0" applyFont="0" applyFill="0" applyBorder="0" applyAlignment="0" applyProtection="0"/>
    <xf numFmtId="221" fontId="65" fillId="0" borderId="0" applyFont="0" applyFill="0" applyBorder="0" applyAlignment="0" applyProtection="0"/>
    <xf numFmtId="194" fontId="65" fillId="0" borderId="0" applyFont="0" applyFill="0" applyBorder="0" applyAlignment="0" applyProtection="0"/>
    <xf numFmtId="0" fontId="175" fillId="0" borderId="0" applyProtection="0">
      <alignment horizontal="left"/>
    </xf>
    <xf numFmtId="1" fontId="176" fillId="0" borderId="0" applyProtection="0">
      <alignment horizontal="right" vertical="center"/>
    </xf>
    <xf numFmtId="277" fontId="77" fillId="0" borderId="0">
      <alignment horizontal="center"/>
    </xf>
    <xf numFmtId="174" fontId="69" fillId="87" borderId="0" applyNumberFormat="0" applyFont="0" applyBorder="0" applyAlignment="0" applyProtection="0"/>
    <xf numFmtId="0" fontId="6" fillId="0" borderId="14" applyNumberFormat="0">
      <alignment vertical="center"/>
    </xf>
    <xf numFmtId="0" fontId="6" fillId="0" borderId="0" applyFont="0" applyFill="0" applyBorder="0" applyAlignment="0" applyProtection="0"/>
    <xf numFmtId="2" fontId="88" fillId="0" borderId="0"/>
    <xf numFmtId="14" fontId="88" fillId="0" borderId="0">
      <alignment horizontal="center" wrapText="1"/>
      <protection locked="0"/>
    </xf>
    <xf numFmtId="202" fontId="66" fillId="0" borderId="25">
      <alignment horizontal="right"/>
    </xf>
    <xf numFmtId="230" fontId="6" fillId="0" borderId="0" applyFont="0" applyFill="0" applyBorder="0" applyAlignment="0" applyProtection="0"/>
    <xf numFmtId="278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279" fontId="77" fillId="0" borderId="0" applyFont="0" applyFill="0" applyBorder="0" applyAlignment="0" applyProtection="0">
      <alignment horizontal="center"/>
    </xf>
    <xf numFmtId="273" fontId="6" fillId="0" borderId="0" applyFill="0" applyBorder="0">
      <alignment horizontal="right"/>
      <protection locked="0"/>
    </xf>
    <xf numFmtId="0" fontId="65" fillId="0" borderId="0"/>
    <xf numFmtId="280" fontId="6" fillId="0" borderId="3" applyNumberFormat="0" applyFill="0">
      <alignment horizontal="center"/>
    </xf>
    <xf numFmtId="280" fontId="6" fillId="0" borderId="3" applyNumberFormat="0" applyFill="0">
      <alignment horizontal="center"/>
    </xf>
    <xf numFmtId="0" fontId="129" fillId="0" borderId="0">
      <protection locked="0"/>
    </xf>
    <xf numFmtId="281" fontId="88" fillId="0" borderId="0" applyFont="0" applyFill="0" applyBorder="0" applyAlignment="0" applyProtection="0"/>
    <xf numFmtId="222" fontId="65" fillId="0" borderId="0"/>
    <xf numFmtId="226" fontId="177" fillId="0" borderId="0" applyFill="0" applyBorder="0" applyAlignment="0"/>
    <xf numFmtId="227" fontId="177" fillId="0" borderId="0" applyFill="0" applyBorder="0" applyAlignment="0"/>
    <xf numFmtId="226" fontId="177" fillId="0" borderId="0" applyFill="0" applyBorder="0" applyAlignment="0"/>
    <xf numFmtId="231" fontId="177" fillId="0" borderId="0" applyFill="0" applyBorder="0" applyAlignment="0"/>
    <xf numFmtId="227" fontId="177" fillId="0" borderId="0" applyFill="0" applyBorder="0" applyAlignment="0"/>
    <xf numFmtId="3" fontId="6" fillId="0" borderId="0"/>
    <xf numFmtId="10" fontId="88" fillId="0" borderId="0"/>
    <xf numFmtId="10" fontId="88" fillId="81" borderId="0"/>
    <xf numFmtId="9" fontId="88" fillId="0" borderId="0" applyFont="0" applyFill="0" applyBorder="0" applyAlignment="0" applyProtection="0"/>
    <xf numFmtId="0" fontId="111" fillId="0" borderId="0" applyNumberFormat="0" applyFont="0" applyFill="0" applyBorder="0" applyAlignment="0" applyProtection="0">
      <alignment horizontal="left"/>
    </xf>
    <xf numFmtId="15" fontId="111" fillId="0" borderId="0" applyFont="0" applyFill="0" applyBorder="0" applyAlignment="0" applyProtection="0"/>
    <xf numFmtId="4" fontId="111" fillId="0" borderId="0" applyFont="0" applyFill="0" applyBorder="0" applyAlignment="0" applyProtection="0"/>
    <xf numFmtId="0" fontId="64" fillId="0" borderId="6">
      <alignment horizontal="center"/>
    </xf>
    <xf numFmtId="3" fontId="111" fillId="0" borderId="0" applyFont="0" applyFill="0" applyBorder="0" applyAlignment="0" applyProtection="0"/>
    <xf numFmtId="0" fontId="111" fillId="88" borderId="0" applyNumberFormat="0" applyFont="0" applyBorder="0" applyAlignment="0" applyProtection="0"/>
    <xf numFmtId="282" fontId="41" fillId="0" borderId="0" applyFont="0" applyFill="0" applyBorder="0" applyAlignment="0" applyProtection="0">
      <alignment horizontal="right"/>
    </xf>
    <xf numFmtId="222" fontId="178" fillId="0" borderId="32" applyNumberFormat="0" applyFill="0" applyBorder="0" applyAlignment="0" applyProtection="0"/>
    <xf numFmtId="0" fontId="179" fillId="0" borderId="25" applyNumberFormat="0" applyFill="0" applyBorder="0" applyAlignment="0" applyProtection="0">
      <protection hidden="1"/>
    </xf>
    <xf numFmtId="0" fontId="79" fillId="0" borderId="0" applyNumberFormat="0" applyFill="0" applyBorder="0">
      <alignment vertical="center"/>
    </xf>
    <xf numFmtId="273" fontId="180" fillId="0" borderId="0" applyNumberFormat="0" applyFill="0" applyBorder="0" applyAlignment="0" applyProtection="0">
      <alignment horizontal="left"/>
    </xf>
    <xf numFmtId="38" fontId="181" fillId="0" borderId="0"/>
    <xf numFmtId="222" fontId="182" fillId="0" borderId="0">
      <alignment horizontal="right"/>
    </xf>
    <xf numFmtId="235" fontId="69" fillId="0" borderId="0">
      <alignment vertical="center"/>
    </xf>
    <xf numFmtId="0" fontId="106" fillId="0" borderId="0">
      <alignment horizontal="left" vertical="center"/>
    </xf>
    <xf numFmtId="283" fontId="106" fillId="0" borderId="0">
      <alignment horizontal="left" vertical="center"/>
    </xf>
    <xf numFmtId="259" fontId="183" fillId="0" borderId="0">
      <alignment horizontal="left" vertical="center" indent="1"/>
    </xf>
    <xf numFmtId="0" fontId="110" fillId="0" borderId="0" applyNumberFormat="0" applyFill="0" applyBorder="0">
      <alignment vertical="top"/>
    </xf>
    <xf numFmtId="165" fontId="65" fillId="0" borderId="0" applyFont="0" applyFill="0" applyBorder="0" applyAlignment="0" applyProtection="0"/>
    <xf numFmtId="194" fontId="6" fillId="0" borderId="0">
      <alignment horizontal="right"/>
    </xf>
    <xf numFmtId="0" fontId="6" fillId="0" borderId="0"/>
    <xf numFmtId="284" fontId="6" fillId="0" borderId="0" applyFill="0" applyBorder="0">
      <alignment horizontal="right"/>
      <protection hidden="1"/>
    </xf>
    <xf numFmtId="259" fontId="184" fillId="0" borderId="85">
      <alignment vertical="center"/>
    </xf>
    <xf numFmtId="0" fontId="185" fillId="76" borderId="63">
      <alignment horizontal="center" vertical="center" wrapText="1"/>
      <protection hidden="1"/>
    </xf>
    <xf numFmtId="0" fontId="6" fillId="0" borderId="0" applyNumberFormat="0" applyFill="0" applyBorder="0"/>
    <xf numFmtId="0" fontId="6" fillId="0" borderId="0" applyNumberFormat="0" applyFill="0" applyBorder="0"/>
    <xf numFmtId="38" fontId="186" fillId="0" borderId="0" applyFont="0" applyFill="0" applyBorder="0" applyAlignment="0" applyProtection="0"/>
    <xf numFmtId="189" fontId="6" fillId="0" borderId="0">
      <alignment horizontal="right"/>
    </xf>
    <xf numFmtId="285" fontId="6" fillId="0" borderId="0">
      <alignment horizontal="right"/>
    </xf>
    <xf numFmtId="165" fontId="65" fillId="0" borderId="0" applyFont="0" applyFill="0" applyBorder="0" applyAlignment="0" applyProtection="0"/>
    <xf numFmtId="0" fontId="187" fillId="0" borderId="0" applyNumberFormat="0" applyFill="0" applyBorder="0" applyAlignment="0" applyProtection="0"/>
    <xf numFmtId="0" fontId="188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89" fillId="89" borderId="0" applyNumberFormat="0" applyBorder="0" applyAlignment="0" applyProtection="0">
      <alignment horizontal="center" wrapText="1"/>
    </xf>
    <xf numFmtId="0" fontId="43" fillId="0" borderId="0" applyNumberFormat="0" applyFill="0" applyBorder="0" applyAlignment="0" applyProtection="0"/>
    <xf numFmtId="0" fontId="190" fillId="89" borderId="0" applyNumberFormat="0" applyBorder="0" applyAlignment="0" applyProtection="0"/>
    <xf numFmtId="0" fontId="65" fillId="0" borderId="0"/>
    <xf numFmtId="0" fontId="187" fillId="0" borderId="0" applyNumberFormat="0" applyFill="0" applyBorder="0" applyAlignment="0"/>
    <xf numFmtId="194" fontId="6" fillId="0" borderId="0">
      <alignment horizontal="right"/>
    </xf>
    <xf numFmtId="167" fontId="103" fillId="0" borderId="0" applyFill="0" applyBorder="0" applyAlignment="0" applyProtection="0"/>
    <xf numFmtId="0" fontId="6" fillId="0" borderId="0"/>
    <xf numFmtId="0" fontId="168" fillId="0" borderId="0">
      <alignment vertical="center"/>
    </xf>
    <xf numFmtId="286" fontId="168" fillId="0" borderId="0">
      <alignment horizontal="left" vertical="center"/>
    </xf>
    <xf numFmtId="0" fontId="191" fillId="0" borderId="0"/>
    <xf numFmtId="0" fontId="43" fillId="0" borderId="0" applyNumberFormat="0"/>
    <xf numFmtId="194" fontId="6" fillId="0" borderId="0">
      <alignment horizontal="right"/>
    </xf>
    <xf numFmtId="0" fontId="6" fillId="0" borderId="0"/>
    <xf numFmtId="0" fontId="128" fillId="0" borderId="0"/>
    <xf numFmtId="0" fontId="6" fillId="0" borderId="0"/>
    <xf numFmtId="189" fontId="6" fillId="0" borderId="0">
      <alignment horizontal="right"/>
    </xf>
    <xf numFmtId="0" fontId="6" fillId="0" borderId="0"/>
    <xf numFmtId="0" fontId="43" fillId="0" borderId="0" applyNumberFormat="0" applyFill="0" applyBorder="0" applyAlignment="0" applyProtection="0"/>
    <xf numFmtId="0" fontId="192" fillId="0" borderId="0" applyNumberFormat="0" applyFill="0" applyBorder="0" applyProtection="0"/>
    <xf numFmtId="0" fontId="193" fillId="90" borderId="0" applyNumberFormat="0" applyBorder="0" applyProtection="0"/>
    <xf numFmtId="0" fontId="106" fillId="44" borderId="0" applyNumberFormat="0" applyBorder="0" applyProtection="0"/>
    <xf numFmtId="0" fontId="194" fillId="0" borderId="0" applyNumberFormat="0" applyFill="0" applyBorder="0" applyProtection="0"/>
    <xf numFmtId="0" fontId="195" fillId="0" borderId="0" applyNumberFormat="0" applyFill="0" applyBorder="0" applyProtection="0"/>
    <xf numFmtId="0" fontId="183" fillId="0" borderId="0" applyNumberFormat="0" applyFill="0" applyBorder="0" applyProtection="0"/>
    <xf numFmtId="0" fontId="69" fillId="0" borderId="0" applyFill="0" applyBorder="0" applyProtection="0">
      <alignment horizontal="right" wrapText="1"/>
    </xf>
    <xf numFmtId="0" fontId="196" fillId="0" borderId="0" applyNumberFormat="0" applyFill="0" applyBorder="0" applyProtection="0"/>
    <xf numFmtId="0" fontId="62" fillId="0" borderId="0">
      <alignment vertical="top"/>
    </xf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277" fontId="6" fillId="3" borderId="0">
      <alignment horizontal="center"/>
    </xf>
    <xf numFmtId="208" fontId="6" fillId="3" borderId="0">
      <alignment horizontal="center"/>
    </xf>
    <xf numFmtId="0" fontId="164" fillId="0" borderId="0"/>
    <xf numFmtId="40" fontId="197" fillId="0" borderId="0" applyBorder="0">
      <alignment horizontal="right"/>
    </xf>
    <xf numFmtId="37" fontId="6" fillId="0" borderId="81" applyNumberFormat="0" applyFont="0" applyFill="0" applyAlignment="0" applyProtection="0"/>
    <xf numFmtId="280" fontId="6" fillId="0" borderId="16" applyNumberFormat="0" applyFill="0">
      <alignment horizontal="left"/>
    </xf>
    <xf numFmtId="280" fontId="6" fillId="0" borderId="16" applyNumberFormat="0" applyFill="0">
      <alignment horizontal="left"/>
    </xf>
    <xf numFmtId="37" fontId="150" fillId="65" borderId="0">
      <alignment horizontal="right" vertical="center"/>
      <protection locked="0"/>
    </xf>
    <xf numFmtId="287" fontId="6" fillId="0" borderId="0">
      <alignment horizontal="right"/>
    </xf>
    <xf numFmtId="0" fontId="198" fillId="0" borderId="0" applyBorder="0" applyProtection="0">
      <alignment vertical="center"/>
    </xf>
    <xf numFmtId="0" fontId="63" fillId="0" borderId="32" applyBorder="0" applyProtection="0">
      <alignment horizontal="right" vertical="center"/>
    </xf>
    <xf numFmtId="0" fontId="199" fillId="91" borderId="0" applyBorder="0" applyProtection="0">
      <alignment horizontal="centerContinuous" vertical="center"/>
    </xf>
    <xf numFmtId="0" fontId="199" fillId="92" borderId="32" applyBorder="0" applyProtection="0">
      <alignment horizontal="centerContinuous" vertical="center"/>
    </xf>
    <xf numFmtId="0" fontId="102" fillId="0" borderId="0" applyFill="0" applyBorder="0" applyProtection="0"/>
    <xf numFmtId="0" fontId="200" fillId="0" borderId="0" applyFill="0" applyBorder="0" applyProtection="0">
      <alignment horizontal="left"/>
    </xf>
    <xf numFmtId="0" fontId="136" fillId="0" borderId="7" applyFill="0" applyBorder="0" applyProtection="0">
      <alignment horizontal="left" vertical="top"/>
    </xf>
    <xf numFmtId="0" fontId="6" fillId="18" borderId="101" applyNumberFormat="0" applyFont="0">
      <alignment horizontal="center" vertical="center"/>
    </xf>
    <xf numFmtId="49" fontId="104" fillId="0" borderId="0" applyFill="0" applyBorder="0" applyAlignment="0"/>
    <xf numFmtId="288" fontId="104" fillId="0" borderId="0" applyFill="0" applyBorder="0" applyAlignment="0"/>
    <xf numFmtId="289" fontId="104" fillId="0" borderId="0" applyFill="0" applyBorder="0" applyAlignment="0"/>
    <xf numFmtId="0" fontId="43" fillId="0" borderId="0" applyNumberFormat="0" applyFill="0" applyBorder="0" applyAlignment="0" applyProtection="0"/>
    <xf numFmtId="0" fontId="201" fillId="0" borderId="0"/>
    <xf numFmtId="0" fontId="14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40" fontId="202" fillId="0" borderId="0"/>
    <xf numFmtId="0" fontId="203" fillId="0" borderId="0" applyNumberFormat="0" applyFill="0" applyBorder="0" applyAlignment="0" applyProtection="0"/>
    <xf numFmtId="0" fontId="111" fillId="0" borderId="0" applyBorder="0"/>
    <xf numFmtId="0" fontId="6" fillId="0" borderId="0"/>
    <xf numFmtId="290" fontId="6" fillId="0" borderId="0"/>
    <xf numFmtId="0" fontId="180" fillId="72" borderId="25"/>
    <xf numFmtId="0" fontId="204" fillId="0" borderId="102" applyNumberFormat="0" applyFill="0" applyAlignment="0" applyProtection="0"/>
    <xf numFmtId="0" fontId="204" fillId="0" borderId="102" applyNumberFormat="0" applyFill="0" applyAlignment="0" applyProtection="0"/>
    <xf numFmtId="177" fontId="6" fillId="0" borderId="103" applyNumberFormat="0" applyFont="0" applyFill="0" applyProtection="0"/>
    <xf numFmtId="0" fontId="6" fillId="0" borderId="104" applyNumberFormat="0" applyFont="0" applyFill="0" applyAlignment="0"/>
    <xf numFmtId="291" fontId="6" fillId="0" borderId="0" applyFont="0" applyFill="0" applyBorder="0" applyAlignment="0" applyProtection="0"/>
    <xf numFmtId="237" fontId="6" fillId="0" borderId="0" applyFont="0" applyFill="0" applyBorder="0" applyAlignment="0" applyProtection="0"/>
    <xf numFmtId="292" fontId="65" fillId="0" borderId="0" applyFill="0" applyBorder="0" applyProtection="0"/>
    <xf numFmtId="293" fontId="65" fillId="0" borderId="0" applyFill="0" applyBorder="0" applyProtection="0"/>
    <xf numFmtId="0" fontId="6" fillId="0" borderId="0" applyNumberFormat="0" applyFill="0" applyBorder="0"/>
    <xf numFmtId="0" fontId="6" fillId="0" borderId="0" applyNumberFormat="0" applyFill="0" applyBorder="0"/>
    <xf numFmtId="222" fontId="65" fillId="0" borderId="32" applyNumberFormat="0" applyFont="0" applyFill="0" applyAlignment="0" applyProtection="0"/>
    <xf numFmtId="202" fontId="46" fillId="17" borderId="0">
      <protection locked="0"/>
    </xf>
    <xf numFmtId="294" fontId="6" fillId="0" borderId="0" applyFont="0" applyFill="0" applyBorder="0" applyAlignment="0" applyProtection="0"/>
    <xf numFmtId="295" fontId="6" fillId="0" borderId="0" applyFont="0" applyFill="0" applyBorder="0" applyAlignment="0" applyProtection="0"/>
    <xf numFmtId="296" fontId="6" fillId="0" borderId="0" applyFont="0" applyFill="0" applyBorder="0" applyAlignment="0" applyProtection="0"/>
    <xf numFmtId="297" fontId="6" fillId="0" borderId="0" applyFont="0" applyFill="0" applyBorder="0" applyAlignment="0" applyProtection="0"/>
    <xf numFmtId="298" fontId="6" fillId="0" borderId="0" applyFont="0" applyFill="0" applyBorder="0" applyAlignment="0" applyProtection="0"/>
    <xf numFmtId="0" fontId="205" fillId="0" borderId="0" applyNumberFormat="0" applyFill="0" applyBorder="0" applyAlignment="0" applyProtection="0"/>
    <xf numFmtId="0" fontId="205" fillId="0" borderId="0" applyNumberFormat="0" applyFill="0" applyBorder="0" applyAlignment="0" applyProtection="0"/>
    <xf numFmtId="0" fontId="206" fillId="0" borderId="0"/>
    <xf numFmtId="1" fontId="206" fillId="0" borderId="0"/>
    <xf numFmtId="213" fontId="148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213" fontId="148" fillId="0" borderId="0">
      <protection locked="0"/>
    </xf>
    <xf numFmtId="299" fontId="148" fillId="0" borderId="0" applyFont="0" applyFill="0" applyBorder="0" applyAlignment="0" applyProtection="0">
      <alignment horizontal="right"/>
    </xf>
    <xf numFmtId="300" fontId="41" fillId="0" borderId="0"/>
    <xf numFmtId="0" fontId="6" fillId="0" borderId="0" applyNumberFormat="0" applyFont="0" applyBorder="0" applyAlignment="0" applyProtection="0"/>
    <xf numFmtId="0" fontId="103" fillId="0" borderId="0" applyFont="0" applyFill="0" applyBorder="0" applyAlignment="0" applyProtection="0"/>
    <xf numFmtId="274" fontId="207" fillId="73" borderId="0" applyFont="0" applyFill="0" applyBorder="0" applyAlignment="0" applyProtection="0">
      <alignment horizontal="center"/>
    </xf>
    <xf numFmtId="0" fontId="208" fillId="0" borderId="0"/>
    <xf numFmtId="0" fontId="6" fillId="0" borderId="0"/>
    <xf numFmtId="0" fontId="216" fillId="0" borderId="0" applyNumberFormat="0" applyFill="0" applyBorder="0" applyAlignment="0" applyProtection="0">
      <alignment vertical="top"/>
      <protection locked="0"/>
    </xf>
    <xf numFmtId="302" fontId="6" fillId="0" borderId="0" applyFill="0" applyBorder="0" applyAlignment="0" applyProtection="0"/>
    <xf numFmtId="303" fontId="219" fillId="0" borderId="0"/>
    <xf numFmtId="0" fontId="6" fillId="0" borderId="0"/>
    <xf numFmtId="0" fontId="2" fillId="0" borderId="0"/>
    <xf numFmtId="0" fontId="225" fillId="0" borderId="0"/>
  </cellStyleXfs>
  <cellXfs count="1122">
    <xf numFmtId="0" fontId="0" fillId="0" borderId="0" xfId="0"/>
    <xf numFmtId="0" fontId="17" fillId="0" borderId="0" xfId="4" applyFont="1" applyAlignment="1" applyProtection="1">
      <alignment vertical="center"/>
      <protection locked="0" hidden="1"/>
    </xf>
    <xf numFmtId="0" fontId="19" fillId="0" borderId="0" xfId="4" applyFont="1" applyAlignment="1">
      <alignment vertical="center"/>
    </xf>
    <xf numFmtId="0" fontId="16" fillId="0" borderId="0" xfId="4" applyFont="1" applyAlignment="1">
      <alignment vertical="center"/>
    </xf>
    <xf numFmtId="0" fontId="16" fillId="0" borderId="0" xfId="4" applyFont="1" applyAlignment="1">
      <alignment horizontal="center" vertical="center"/>
    </xf>
    <xf numFmtId="169" fontId="19" fillId="6" borderId="17" xfId="0" applyNumberFormat="1" applyFont="1" applyFill="1" applyBorder="1" applyAlignment="1" applyProtection="1">
      <alignment vertical="center"/>
      <protection locked="0" hidden="1"/>
    </xf>
    <xf numFmtId="169" fontId="13" fillId="4" borderId="20" xfId="0" applyNumberFormat="1" applyFont="1" applyFill="1" applyBorder="1" applyAlignment="1">
      <alignment vertical="center"/>
    </xf>
    <xf numFmtId="169" fontId="13" fillId="4" borderId="19" xfId="0" applyNumberFormat="1" applyFont="1" applyFill="1" applyBorder="1" applyAlignment="1" applyProtection="1">
      <alignment vertical="center"/>
      <protection locked="0" hidden="1"/>
    </xf>
    <xf numFmtId="169" fontId="16" fillId="0" borderId="19" xfId="0" applyNumberFormat="1" applyFont="1" applyBorder="1" applyAlignment="1" applyProtection="1">
      <alignment vertical="center" wrapText="1"/>
      <protection locked="0" hidden="1"/>
    </xf>
    <xf numFmtId="169" fontId="16" fillId="0" borderId="19" xfId="11" applyNumberFormat="1" applyFont="1" applyBorder="1" applyAlignment="1" applyProtection="1">
      <alignment vertical="center" wrapText="1"/>
      <protection locked="0"/>
    </xf>
    <xf numFmtId="169" fontId="14" fillId="6" borderId="31" xfId="0" applyNumberFormat="1" applyFont="1" applyFill="1" applyBorder="1" applyAlignment="1">
      <alignment vertical="center" wrapText="1"/>
    </xf>
    <xf numFmtId="0" fontId="9" fillId="6" borderId="21" xfId="4" applyFont="1" applyFill="1" applyBorder="1" applyAlignment="1">
      <alignment vertical="center"/>
    </xf>
    <xf numFmtId="0" fontId="10" fillId="0" borderId="18" xfId="4" applyFont="1" applyBorder="1" applyAlignment="1">
      <alignment horizontal="left" vertical="center"/>
    </xf>
    <xf numFmtId="0" fontId="25" fillId="0" borderId="0" xfId="16" applyFont="1" applyAlignment="1">
      <alignment vertical="center"/>
    </xf>
    <xf numFmtId="0" fontId="26" fillId="0" borderId="0" xfId="16" applyFont="1" applyAlignment="1">
      <alignment vertical="center"/>
    </xf>
    <xf numFmtId="0" fontId="25" fillId="0" borderId="0" xfId="16" applyFont="1" applyAlignment="1">
      <alignment horizontal="center" vertical="center"/>
    </xf>
    <xf numFmtId="0" fontId="25" fillId="0" borderId="0" xfId="16" applyFont="1" applyAlignment="1">
      <alignment vertical="center" wrapText="1"/>
    </xf>
    <xf numFmtId="169" fontId="4" fillId="0" borderId="19" xfId="11" applyNumberFormat="1" applyFont="1" applyBorder="1" applyAlignment="1">
      <alignment vertical="center"/>
    </xf>
    <xf numFmtId="0" fontId="25" fillId="0" borderId="0" xfId="4" applyFont="1" applyAlignment="1">
      <alignment vertical="center"/>
    </xf>
    <xf numFmtId="0" fontId="29" fillId="4" borderId="21" xfId="4" applyFont="1" applyFill="1" applyBorder="1" applyAlignment="1">
      <alignment vertical="center"/>
    </xf>
    <xf numFmtId="0" fontId="29" fillId="4" borderId="14" xfId="4" applyFont="1" applyFill="1" applyBorder="1" applyAlignment="1">
      <alignment vertical="center"/>
    </xf>
    <xf numFmtId="0" fontId="25" fillId="0" borderId="0" xfId="6" applyFont="1"/>
    <xf numFmtId="0" fontId="25" fillId="0" borderId="0" xfId="6" applyFont="1" applyAlignment="1">
      <alignment horizontal="center"/>
    </xf>
    <xf numFmtId="0" fontId="25" fillId="0" borderId="0" xfId="4" applyFont="1" applyAlignment="1">
      <alignment horizontal="center" vertical="center"/>
    </xf>
    <xf numFmtId="169" fontId="13" fillId="4" borderId="20" xfId="0" applyNumberFormat="1" applyFont="1" applyFill="1" applyBorder="1" applyAlignment="1" applyProtection="1">
      <alignment vertical="center"/>
      <protection locked="0" hidden="1"/>
    </xf>
    <xf numFmtId="0" fontId="16" fillId="6" borderId="52" xfId="4" applyFont="1" applyFill="1" applyBorder="1" applyAlignment="1">
      <alignment vertical="center"/>
    </xf>
    <xf numFmtId="0" fontId="29" fillId="12" borderId="21" xfId="4" applyFont="1" applyFill="1" applyBorder="1" applyAlignment="1">
      <alignment vertical="center"/>
    </xf>
    <xf numFmtId="0" fontId="29" fillId="12" borderId="14" xfId="4" applyFont="1" applyFill="1" applyBorder="1" applyAlignment="1">
      <alignment vertical="center"/>
    </xf>
    <xf numFmtId="0" fontId="16" fillId="6" borderId="29" xfId="4" applyFont="1" applyFill="1" applyBorder="1" applyAlignment="1">
      <alignment vertical="center"/>
    </xf>
    <xf numFmtId="0" fontId="16" fillId="0" borderId="54" xfId="4" applyFont="1" applyBorder="1" applyAlignment="1">
      <alignment vertical="center"/>
    </xf>
    <xf numFmtId="169" fontId="13" fillId="4" borderId="54" xfId="0" applyNumberFormat="1" applyFont="1" applyFill="1" applyBorder="1" applyAlignment="1" applyProtection="1">
      <alignment vertical="center"/>
      <protection locked="0" hidden="1"/>
    </xf>
    <xf numFmtId="0" fontId="34" fillId="0" borderId="54" xfId="4" applyFont="1" applyBorder="1" applyAlignment="1" applyProtection="1">
      <alignment horizontal="center" vertical="center"/>
      <protection locked="0"/>
    </xf>
    <xf numFmtId="0" fontId="13" fillId="4" borderId="55" xfId="4" applyFont="1" applyFill="1" applyBorder="1" applyAlignment="1" applyProtection="1">
      <alignment vertical="center"/>
      <protection locked="0"/>
    </xf>
    <xf numFmtId="0" fontId="13" fillId="4" borderId="54" xfId="4" applyFont="1" applyFill="1" applyBorder="1" applyAlignment="1" applyProtection="1">
      <alignment vertical="center"/>
      <protection locked="0"/>
    </xf>
    <xf numFmtId="0" fontId="16" fillId="0" borderId="48" xfId="4" applyFont="1" applyBorder="1" applyAlignment="1">
      <alignment vertical="center"/>
    </xf>
    <xf numFmtId="1" fontId="16" fillId="0" borderId="49" xfId="2" applyNumberFormat="1" applyFont="1" applyFill="1" applyBorder="1" applyAlignment="1" applyProtection="1">
      <alignment horizontal="center" vertical="center"/>
    </xf>
    <xf numFmtId="169" fontId="13" fillId="4" borderId="48" xfId="0" applyNumberFormat="1" applyFont="1" applyFill="1" applyBorder="1" applyAlignment="1" applyProtection="1">
      <alignment vertical="center"/>
      <protection locked="0" hidden="1"/>
    </xf>
    <xf numFmtId="169" fontId="13" fillId="4" borderId="56" xfId="0" applyNumberFormat="1" applyFont="1" applyFill="1" applyBorder="1" applyAlignment="1" applyProtection="1">
      <alignment vertical="center"/>
      <protection locked="0" hidden="1"/>
    </xf>
    <xf numFmtId="169" fontId="19" fillId="6" borderId="58" xfId="4" applyNumberFormat="1" applyFont="1" applyFill="1" applyBorder="1" applyAlignment="1">
      <alignment vertical="center"/>
    </xf>
    <xf numFmtId="170" fontId="16" fillId="0" borderId="0" xfId="4" applyNumberFormat="1" applyFont="1" applyAlignment="1">
      <alignment vertical="center"/>
    </xf>
    <xf numFmtId="0" fontId="9" fillId="11" borderId="9" xfId="4" applyFont="1" applyFill="1" applyBorder="1" applyAlignment="1">
      <alignment horizontal="center" vertical="center" wrapText="1"/>
    </xf>
    <xf numFmtId="175" fontId="9" fillId="11" borderId="9" xfId="4" applyNumberFormat="1" applyFont="1" applyFill="1" applyBorder="1" applyAlignment="1">
      <alignment horizontal="center" vertical="center" wrapText="1"/>
    </xf>
    <xf numFmtId="175" fontId="9" fillId="11" borderId="10" xfId="4" applyNumberFormat="1" applyFont="1" applyFill="1" applyBorder="1" applyAlignment="1">
      <alignment horizontal="center" vertical="center" wrapText="1"/>
    </xf>
    <xf numFmtId="175" fontId="9" fillId="21" borderId="22" xfId="4" applyNumberFormat="1" applyFont="1" applyFill="1" applyBorder="1" applyAlignment="1">
      <alignment vertical="center"/>
    </xf>
    <xf numFmtId="9" fontId="17" fillId="0" borderId="0" xfId="4" applyNumberFormat="1" applyFont="1" applyAlignment="1" applyProtection="1">
      <alignment vertical="center"/>
      <protection locked="0" hidden="1"/>
    </xf>
    <xf numFmtId="171" fontId="17" fillId="0" borderId="0" xfId="4" applyNumberFormat="1" applyFont="1" applyAlignment="1" applyProtection="1">
      <alignment vertical="center"/>
      <protection locked="0" hidden="1"/>
    </xf>
    <xf numFmtId="2" fontId="10" fillId="0" borderId="4" xfId="4" applyNumberFormat="1" applyFont="1" applyBorder="1" applyAlignment="1">
      <alignment horizontal="center" vertical="center"/>
    </xf>
    <xf numFmtId="175" fontId="9" fillId="0" borderId="4" xfId="4" applyNumberFormat="1" applyFont="1" applyBorder="1" applyAlignment="1">
      <alignment vertical="center"/>
    </xf>
    <xf numFmtId="175" fontId="9" fillId="6" borderId="5" xfId="4" applyNumberFormat="1" applyFont="1" applyFill="1" applyBorder="1" applyAlignment="1">
      <alignment vertical="center"/>
    </xf>
    <xf numFmtId="0" fontId="25" fillId="9" borderId="21" xfId="4" applyFont="1" applyFill="1" applyBorder="1" applyAlignment="1">
      <alignment vertical="center"/>
    </xf>
    <xf numFmtId="0" fontId="10" fillId="9" borderId="0" xfId="4" applyFont="1" applyFill="1" applyAlignment="1">
      <alignment vertical="center"/>
    </xf>
    <xf numFmtId="0" fontId="10" fillId="9" borderId="0" xfId="4" applyFont="1" applyFill="1" applyAlignment="1">
      <alignment horizontal="center" vertical="center"/>
    </xf>
    <xf numFmtId="0" fontId="10" fillId="9" borderId="15" xfId="4" applyFont="1" applyFill="1" applyBorder="1" applyAlignment="1">
      <alignment vertical="center"/>
    </xf>
    <xf numFmtId="176" fontId="9" fillId="6" borderId="13" xfId="4" applyNumberFormat="1" applyFont="1" applyFill="1" applyBorder="1" applyAlignment="1">
      <alignment vertical="center"/>
    </xf>
    <xf numFmtId="10" fontId="17" fillId="0" borderId="0" xfId="4" applyNumberFormat="1" applyFont="1" applyAlignment="1" applyProtection="1">
      <alignment vertical="center"/>
      <protection locked="0" hidden="1"/>
    </xf>
    <xf numFmtId="170" fontId="17" fillId="0" borderId="0" xfId="14" applyFont="1" applyAlignment="1" applyProtection="1">
      <alignment vertical="center"/>
      <protection locked="0" hidden="1"/>
    </xf>
    <xf numFmtId="170" fontId="17" fillId="0" borderId="0" xfId="4" applyNumberFormat="1" applyFont="1" applyAlignment="1" applyProtection="1">
      <alignment vertical="center"/>
      <protection locked="0" hidden="1"/>
    </xf>
    <xf numFmtId="3" fontId="26" fillId="6" borderId="24" xfId="4" applyNumberFormat="1" applyFont="1" applyFill="1" applyBorder="1" applyAlignment="1" applyProtection="1">
      <alignment horizontal="center" vertical="center"/>
      <protection locked="0"/>
    </xf>
    <xf numFmtId="169" fontId="4" fillId="0" borderId="78" xfId="11" applyNumberFormat="1" applyFont="1" applyBorder="1" applyAlignment="1">
      <alignment vertical="center"/>
    </xf>
    <xf numFmtId="0" fontId="17" fillId="0" borderId="0" xfId="15" applyFont="1" applyAlignment="1" applyProtection="1">
      <alignment vertical="center"/>
      <protection locked="0" hidden="1"/>
    </xf>
    <xf numFmtId="0" fontId="17" fillId="0" borderId="0" xfId="15" applyFont="1" applyAlignment="1" applyProtection="1">
      <alignment horizontal="left" vertical="center"/>
      <protection locked="0" hidden="1"/>
    </xf>
    <xf numFmtId="0" fontId="18" fillId="5" borderId="11" xfId="16" applyFont="1" applyFill="1" applyBorder="1" applyAlignment="1" applyProtection="1">
      <alignment horizontal="center" vertical="center" wrapText="1"/>
      <protection locked="0" hidden="1"/>
    </xf>
    <xf numFmtId="0" fontId="17" fillId="0" borderId="31" xfId="15" applyFont="1" applyBorder="1" applyAlignment="1" applyProtection="1">
      <alignment vertical="center"/>
      <protection locked="0" hidden="1"/>
    </xf>
    <xf numFmtId="171" fontId="17" fillId="0" borderId="28" xfId="385" applyNumberFormat="1" applyFont="1" applyFill="1" applyBorder="1" applyAlignment="1" applyProtection="1">
      <alignment horizontal="right" vertical="center"/>
      <protection locked="0" hidden="1"/>
    </xf>
    <xf numFmtId="0" fontId="21" fillId="0" borderId="0" xfId="43" applyFont="1" applyAlignment="1">
      <alignment vertical="center"/>
    </xf>
    <xf numFmtId="0" fontId="17" fillId="0" borderId="107" xfId="15" applyFont="1" applyBorder="1" applyAlignment="1" applyProtection="1">
      <alignment vertical="center"/>
      <protection locked="0" hidden="1"/>
    </xf>
    <xf numFmtId="0" fontId="17" fillId="0" borderId="108" xfId="15" applyFont="1" applyBorder="1" applyAlignment="1" applyProtection="1">
      <alignment horizontal="center" vertical="center"/>
      <protection locked="0" hidden="1"/>
    </xf>
    <xf numFmtId="195" fontId="17" fillId="0" borderId="109" xfId="372" applyNumberFormat="1" applyFont="1" applyFill="1" applyBorder="1" applyAlignment="1" applyProtection="1">
      <alignment horizontal="right" vertical="center"/>
      <protection locked="0" hidden="1"/>
    </xf>
    <xf numFmtId="9" fontId="17" fillId="0" borderId="108" xfId="15" applyNumberFormat="1" applyFont="1" applyBorder="1" applyAlignment="1" applyProtection="1">
      <alignment horizontal="center" vertical="center"/>
      <protection locked="0" hidden="1"/>
    </xf>
    <xf numFmtId="195" fontId="17" fillId="0" borderId="109" xfId="372" applyNumberFormat="1" applyFont="1" applyBorder="1" applyAlignment="1" applyProtection="1">
      <alignment vertical="center"/>
      <protection locked="0" hidden="1"/>
    </xf>
    <xf numFmtId="171" fontId="18" fillId="0" borderId="0" xfId="15" applyNumberFormat="1" applyFont="1" applyAlignment="1" applyProtection="1">
      <alignment vertical="center"/>
      <protection locked="0" hidden="1"/>
    </xf>
    <xf numFmtId="0" fontId="18" fillId="7" borderId="34" xfId="15" applyFont="1" applyFill="1" applyBorder="1" applyAlignment="1" applyProtection="1">
      <alignment vertical="center"/>
      <protection locked="0" hidden="1"/>
    </xf>
    <xf numFmtId="0" fontId="18" fillId="7" borderId="12" xfId="15" applyFont="1" applyFill="1" applyBorder="1" applyAlignment="1" applyProtection="1">
      <alignment vertical="center"/>
      <protection locked="0" hidden="1"/>
    </xf>
    <xf numFmtId="195" fontId="17" fillId="7" borderId="11" xfId="372" applyNumberFormat="1" applyFont="1" applyFill="1" applyBorder="1" applyAlignment="1" applyProtection="1">
      <alignment horizontal="right" vertical="center"/>
      <protection locked="0" hidden="1"/>
    </xf>
    <xf numFmtId="0" fontId="17" fillId="9" borderId="1" xfId="15" applyFont="1" applyFill="1" applyBorder="1" applyAlignment="1" applyProtection="1">
      <alignment vertical="center"/>
      <protection locked="0" hidden="1"/>
    </xf>
    <xf numFmtId="0" fontId="17" fillId="9" borderId="0" xfId="15" applyFont="1" applyFill="1" applyAlignment="1" applyProtection="1">
      <alignment vertical="center"/>
      <protection locked="0" hidden="1"/>
    </xf>
    <xf numFmtId="195" fontId="17" fillId="9" borderId="35" xfId="372" applyNumberFormat="1" applyFont="1" applyFill="1" applyBorder="1" applyAlignment="1" applyProtection="1">
      <alignment horizontal="right" vertical="center"/>
      <protection locked="0" hidden="1"/>
    </xf>
    <xf numFmtId="0" fontId="18" fillId="7" borderId="1" xfId="15" applyFont="1" applyFill="1" applyBorder="1" applyAlignment="1" applyProtection="1">
      <alignment vertical="center"/>
      <protection locked="0" hidden="1"/>
    </xf>
    <xf numFmtId="0" fontId="18" fillId="7" borderId="0" xfId="15" applyFont="1" applyFill="1" applyAlignment="1" applyProtection="1">
      <alignment vertical="center"/>
      <protection locked="0" hidden="1"/>
    </xf>
    <xf numFmtId="195" fontId="18" fillId="7" borderId="35" xfId="372" applyNumberFormat="1" applyFont="1" applyFill="1" applyBorder="1" applyAlignment="1" applyProtection="1">
      <alignment horizontal="right" vertical="center"/>
      <protection locked="0" hidden="1"/>
    </xf>
    <xf numFmtId="0" fontId="32" fillId="9" borderId="108" xfId="15" applyFont="1" applyFill="1" applyBorder="1" applyAlignment="1">
      <alignment horizontal="left" vertical="center"/>
    </xf>
    <xf numFmtId="171" fontId="17" fillId="0" borderId="0" xfId="385" applyNumberFormat="1" applyFont="1" applyAlignment="1" applyProtection="1">
      <alignment vertical="center"/>
      <protection locked="0" hidden="1"/>
    </xf>
    <xf numFmtId="171" fontId="17" fillId="9" borderId="35" xfId="372" applyNumberFormat="1" applyFont="1" applyFill="1" applyBorder="1" applyAlignment="1" applyProtection="1">
      <alignment horizontal="right" vertical="center"/>
      <protection locked="0" hidden="1"/>
    </xf>
    <xf numFmtId="0" fontId="17" fillId="9" borderId="37" xfId="15" applyFont="1" applyFill="1" applyBorder="1" applyAlignment="1" applyProtection="1">
      <alignment vertical="center"/>
      <protection locked="0" hidden="1"/>
    </xf>
    <xf numFmtId="0" fontId="17" fillId="9" borderId="6" xfId="15" applyFont="1" applyFill="1" applyBorder="1" applyAlignment="1" applyProtection="1">
      <alignment vertical="center"/>
      <protection locked="0" hidden="1"/>
    </xf>
    <xf numFmtId="171" fontId="17" fillId="9" borderId="11" xfId="372" applyNumberFormat="1" applyFont="1" applyFill="1" applyBorder="1" applyAlignment="1" applyProtection="1">
      <alignment horizontal="right" vertical="center"/>
      <protection locked="0" hidden="1"/>
    </xf>
    <xf numFmtId="0" fontId="18" fillId="9" borderId="23" xfId="15" applyFont="1" applyFill="1" applyBorder="1" applyAlignment="1" applyProtection="1">
      <alignment vertical="center"/>
      <protection locked="0" hidden="1"/>
    </xf>
    <xf numFmtId="0" fontId="17" fillId="9" borderId="2" xfId="15" applyFont="1" applyFill="1" applyBorder="1" applyAlignment="1" applyProtection="1">
      <alignment vertical="center"/>
      <protection locked="0" hidden="1"/>
    </xf>
    <xf numFmtId="195" fontId="17" fillId="9" borderId="40" xfId="372" applyNumberFormat="1" applyFont="1" applyFill="1" applyBorder="1" applyAlignment="1" applyProtection="1">
      <alignment horizontal="right" vertical="center"/>
      <protection locked="0" hidden="1"/>
    </xf>
    <xf numFmtId="2" fontId="17" fillId="0" borderId="0" xfId="15" applyNumberFormat="1" applyFont="1" applyAlignment="1" applyProtection="1">
      <alignment vertical="center"/>
      <protection locked="0" hidden="1"/>
    </xf>
    <xf numFmtId="2" fontId="18" fillId="9" borderId="1" xfId="15" applyNumberFormat="1" applyFont="1" applyFill="1" applyBorder="1" applyAlignment="1" applyProtection="1">
      <alignment vertical="center"/>
      <protection locked="0" hidden="1"/>
    </xf>
    <xf numFmtId="2" fontId="17" fillId="9" borderId="0" xfId="15" applyNumberFormat="1" applyFont="1" applyFill="1" applyAlignment="1" applyProtection="1">
      <alignment vertical="center"/>
      <protection locked="0" hidden="1"/>
    </xf>
    <xf numFmtId="0" fontId="18" fillId="9" borderId="21" xfId="15" applyFont="1" applyFill="1" applyBorder="1" applyAlignment="1" applyProtection="1">
      <alignment vertical="center"/>
      <protection locked="0" hidden="1"/>
    </xf>
    <xf numFmtId="0" fontId="18" fillId="9" borderId="14" xfId="15" applyFont="1" applyFill="1" applyBorder="1" applyAlignment="1" applyProtection="1">
      <alignment horizontal="center" vertical="center"/>
      <protection locked="0" hidden="1"/>
    </xf>
    <xf numFmtId="195" fontId="18" fillId="9" borderId="13" xfId="372" applyNumberFormat="1" applyFont="1" applyFill="1" applyBorder="1" applyAlignment="1" applyProtection="1">
      <alignment horizontal="right" vertical="center"/>
      <protection locked="0" hidden="1"/>
    </xf>
    <xf numFmtId="0" fontId="24" fillId="0" borderId="0" xfId="15" applyFont="1" applyAlignment="1" applyProtection="1">
      <alignment vertical="center"/>
      <protection locked="0" hidden="1"/>
    </xf>
    <xf numFmtId="0" fontId="24" fillId="46" borderId="21" xfId="15" applyFont="1" applyFill="1" applyBorder="1" applyAlignment="1" applyProtection="1">
      <alignment vertical="center"/>
      <protection locked="0" hidden="1"/>
    </xf>
    <xf numFmtId="0" fontId="24" fillId="46" borderId="22" xfId="15" applyFont="1" applyFill="1" applyBorder="1" applyAlignment="1" applyProtection="1">
      <alignment vertical="center"/>
      <protection locked="0" hidden="1"/>
    </xf>
    <xf numFmtId="171" fontId="24" fillId="46" borderId="13" xfId="372" applyNumberFormat="1" applyFont="1" applyFill="1" applyBorder="1" applyAlignment="1" applyProtection="1">
      <alignment horizontal="right" vertical="center"/>
      <protection locked="0" hidden="1"/>
    </xf>
    <xf numFmtId="171" fontId="24" fillId="4" borderId="13" xfId="372" applyNumberFormat="1" applyFont="1" applyFill="1" applyBorder="1" applyAlignment="1" applyProtection="1">
      <alignment horizontal="right" vertical="center"/>
      <protection locked="0" hidden="1"/>
    </xf>
    <xf numFmtId="0" fontId="24" fillId="4" borderId="21" xfId="15" applyFont="1" applyFill="1" applyBorder="1" applyAlignment="1" applyProtection="1">
      <alignment vertical="center"/>
      <protection locked="0" hidden="1"/>
    </xf>
    <xf numFmtId="171" fontId="24" fillId="0" borderId="0" xfId="372" applyNumberFormat="1" applyFont="1" applyFill="1" applyBorder="1" applyAlignment="1" applyProtection="1">
      <alignment horizontal="right" vertical="center"/>
      <protection locked="0" hidden="1"/>
    </xf>
    <xf numFmtId="0" fontId="18" fillId="0" borderId="26" xfId="15" applyFont="1" applyBorder="1" applyAlignment="1" applyProtection="1">
      <alignment horizontal="center" vertical="center"/>
      <protection locked="0" hidden="1"/>
    </xf>
    <xf numFmtId="0" fontId="18" fillId="0" borderId="0" xfId="15" applyFont="1" applyAlignment="1" applyProtection="1">
      <alignment vertical="center"/>
      <protection locked="0" hidden="1"/>
    </xf>
    <xf numFmtId="170" fontId="17" fillId="0" borderId="0" xfId="15" applyNumberFormat="1" applyFont="1" applyAlignment="1" applyProtection="1">
      <alignment vertical="center"/>
      <protection locked="0" hidden="1"/>
    </xf>
    <xf numFmtId="171" fontId="17" fillId="0" borderId="0" xfId="15" applyNumberFormat="1" applyFont="1" applyAlignment="1" applyProtection="1">
      <alignment vertical="center"/>
      <protection locked="0" hidden="1"/>
    </xf>
    <xf numFmtId="171" fontId="24" fillId="4" borderId="22" xfId="14" applyNumberFormat="1" applyFont="1" applyFill="1" applyBorder="1" applyAlignment="1" applyProtection="1">
      <alignment horizontal="left" vertical="center"/>
      <protection locked="0" hidden="1"/>
    </xf>
    <xf numFmtId="0" fontId="16" fillId="0" borderId="110" xfId="4" applyFont="1" applyBorder="1" applyAlignment="1">
      <alignment vertical="center"/>
    </xf>
    <xf numFmtId="0" fontId="24" fillId="4" borderId="16" xfId="15" applyFont="1" applyFill="1" applyBorder="1" applyAlignment="1">
      <alignment vertical="center"/>
    </xf>
    <xf numFmtId="0" fontId="24" fillId="4" borderId="3" xfId="15" applyFont="1" applyFill="1" applyBorder="1" applyAlignment="1">
      <alignment vertical="center" wrapText="1"/>
    </xf>
    <xf numFmtId="0" fontId="24" fillId="4" borderId="39" xfId="15" applyFont="1" applyFill="1" applyBorder="1" applyAlignment="1">
      <alignment vertical="center" wrapText="1"/>
    </xf>
    <xf numFmtId="0" fontId="17" fillId="0" borderId="0" xfId="15" applyFont="1" applyAlignment="1">
      <alignment vertical="center"/>
    </xf>
    <xf numFmtId="0" fontId="21" fillId="45" borderId="108" xfId="15" applyFont="1" applyFill="1" applyBorder="1" applyAlignment="1">
      <alignment horizontal="center" vertical="center"/>
    </xf>
    <xf numFmtId="0" fontId="21" fillId="45" borderId="108" xfId="15" applyFont="1" applyFill="1" applyBorder="1" applyAlignment="1">
      <alignment vertical="center"/>
    </xf>
    <xf numFmtId="0" fontId="17" fillId="45" borderId="108" xfId="16" applyFont="1" applyFill="1" applyBorder="1" applyAlignment="1">
      <alignment horizontal="center" vertical="center"/>
    </xf>
    <xf numFmtId="0" fontId="17" fillId="0" borderId="108" xfId="15" applyFont="1" applyBorder="1" applyAlignment="1">
      <alignment horizontal="center" vertical="center"/>
    </xf>
    <xf numFmtId="0" fontId="21" fillId="0" borderId="108" xfId="15" applyFont="1" applyBorder="1" applyAlignment="1">
      <alignment horizontal="left" vertical="center"/>
    </xf>
    <xf numFmtId="0" fontId="21" fillId="0" borderId="108" xfId="15" applyFont="1" applyBorder="1" applyAlignment="1">
      <alignment horizontal="right" vertical="center"/>
    </xf>
    <xf numFmtId="0" fontId="21" fillId="0" borderId="108" xfId="15" applyFont="1" applyBorder="1" applyAlignment="1">
      <alignment horizontal="center" vertical="center"/>
    </xf>
    <xf numFmtId="171" fontId="17" fillId="0" borderId="108" xfId="24" applyNumberFormat="1" applyFont="1" applyBorder="1" applyAlignment="1">
      <alignment horizontal="center" vertical="center"/>
    </xf>
    <xf numFmtId="0" fontId="209" fillId="5" borderId="108" xfId="15" applyFont="1" applyFill="1" applyBorder="1" applyAlignment="1">
      <alignment vertical="center"/>
    </xf>
    <xf numFmtId="3" fontId="18" fillId="5" borderId="108" xfId="15" applyNumberFormat="1" applyFont="1" applyFill="1" applyBorder="1" applyAlignment="1">
      <alignment horizontal="right" vertical="center"/>
    </xf>
    <xf numFmtId="0" fontId="18" fillId="5" borderId="108" xfId="15" applyFont="1" applyFill="1" applyBorder="1" applyAlignment="1">
      <alignment horizontal="center" vertical="center"/>
    </xf>
    <xf numFmtId="171" fontId="18" fillId="5" borderId="108" xfId="24" applyNumberFormat="1" applyFont="1" applyFill="1" applyBorder="1" applyAlignment="1">
      <alignment horizontal="right" vertical="center"/>
    </xf>
    <xf numFmtId="171" fontId="18" fillId="5" borderId="108" xfId="24" applyNumberFormat="1" applyFont="1" applyFill="1" applyBorder="1" applyAlignment="1">
      <alignment horizontal="center" vertical="center"/>
    </xf>
    <xf numFmtId="0" fontId="17" fillId="0" borderId="107" xfId="15" applyFont="1" applyBorder="1" applyAlignment="1">
      <alignment vertical="center"/>
    </xf>
    <xf numFmtId="0" fontId="17" fillId="0" borderId="108" xfId="15" applyFont="1" applyBorder="1" applyAlignment="1">
      <alignment vertical="center"/>
    </xf>
    <xf numFmtId="3" fontId="18" fillId="0" borderId="108" xfId="15" applyNumberFormat="1" applyFont="1" applyBorder="1" applyAlignment="1">
      <alignment horizontal="right" vertical="center"/>
    </xf>
    <xf numFmtId="3" fontId="18" fillId="0" borderId="110" xfId="15" applyNumberFormat="1" applyFont="1" applyBorder="1" applyAlignment="1">
      <alignment horizontal="right" vertical="center"/>
    </xf>
    <xf numFmtId="171" fontId="17" fillId="0" borderId="109" xfId="15" applyNumberFormat="1" applyFont="1" applyBorder="1" applyAlignment="1">
      <alignment vertical="center"/>
    </xf>
    <xf numFmtId="0" fontId="210" fillId="4" borderId="111" xfId="15" applyFont="1" applyFill="1" applyBorder="1" applyAlignment="1">
      <alignment horizontal="left" vertical="center"/>
    </xf>
    <xf numFmtId="0" fontId="210" fillId="4" borderId="114" xfId="15" applyFont="1" applyFill="1" applyBorder="1" applyAlignment="1">
      <alignment horizontal="left" vertical="center"/>
    </xf>
    <xf numFmtId="3" fontId="24" fillId="4" borderId="114" xfId="15" applyNumberFormat="1" applyFont="1" applyFill="1" applyBorder="1" applyAlignment="1">
      <alignment horizontal="right" vertical="center"/>
    </xf>
    <xf numFmtId="0" fontId="23" fillId="4" borderId="114" xfId="15" applyFont="1" applyFill="1" applyBorder="1" applyAlignment="1">
      <alignment horizontal="center" vertical="center"/>
    </xf>
    <xf numFmtId="3" fontId="24" fillId="4" borderId="112" xfId="15" applyNumberFormat="1" applyFont="1" applyFill="1" applyBorder="1" applyAlignment="1">
      <alignment horizontal="right" vertical="center"/>
    </xf>
    <xf numFmtId="0" fontId="211" fillId="2" borderId="46" xfId="15" applyFont="1" applyFill="1" applyBorder="1" applyAlignment="1">
      <alignment vertical="center"/>
    </xf>
    <xf numFmtId="0" fontId="211" fillId="2" borderId="32" xfId="15" applyFont="1" applyFill="1" applyBorder="1" applyAlignment="1">
      <alignment vertical="center"/>
    </xf>
    <xf numFmtId="0" fontId="21" fillId="11" borderId="108" xfId="15" applyFont="1" applyFill="1" applyBorder="1" applyAlignment="1">
      <alignment horizontal="center" vertical="center"/>
    </xf>
    <xf numFmtId="0" fontId="21" fillId="11" borderId="108" xfId="15" applyFont="1" applyFill="1" applyBorder="1" applyAlignment="1">
      <alignment horizontal="left" vertical="center"/>
    </xf>
    <xf numFmtId="0" fontId="17" fillId="11" borderId="108" xfId="15" applyFont="1" applyFill="1" applyBorder="1" applyAlignment="1">
      <alignment vertical="center"/>
    </xf>
    <xf numFmtId="0" fontId="21" fillId="0" borderId="109" xfId="15" applyFont="1" applyBorder="1" applyAlignment="1">
      <alignment horizontal="center" vertical="center"/>
    </xf>
    <xf numFmtId="0" fontId="21" fillId="0" borderId="110" xfId="15" applyFont="1" applyBorder="1" applyAlignment="1">
      <alignment horizontal="center" vertical="center"/>
    </xf>
    <xf numFmtId="171" fontId="17" fillId="0" borderId="108" xfId="385" applyNumberFormat="1" applyFont="1" applyBorder="1" applyAlignment="1">
      <alignment horizontal="center" vertical="center"/>
    </xf>
    <xf numFmtId="0" fontId="17" fillId="0" borderId="0" xfId="15" applyFont="1" applyAlignment="1">
      <alignment horizontal="center" vertical="center"/>
    </xf>
    <xf numFmtId="9" fontId="17" fillId="0" borderId="0" xfId="7" applyFont="1" applyFill="1" applyAlignment="1" applyProtection="1">
      <alignment vertical="center"/>
      <protection locked="0" hidden="1"/>
    </xf>
    <xf numFmtId="0" fontId="31" fillId="4" borderId="14" xfId="1353" applyFont="1" applyFill="1" applyBorder="1" applyAlignment="1">
      <alignment vertical="center"/>
    </xf>
    <xf numFmtId="0" fontId="31" fillId="4" borderId="2" xfId="1353" applyFont="1" applyFill="1" applyBorder="1" applyAlignment="1">
      <alignment vertical="center"/>
    </xf>
    <xf numFmtId="0" fontId="31" fillId="4" borderId="24" xfId="1353" applyFont="1" applyFill="1" applyBorder="1" applyAlignment="1">
      <alignment vertical="center"/>
    </xf>
    <xf numFmtId="0" fontId="32" fillId="0" borderId="0" xfId="1353" applyFont="1" applyAlignment="1">
      <alignment vertical="center"/>
    </xf>
    <xf numFmtId="0" fontId="32" fillId="0" borderId="0" xfId="1353" applyFont="1" applyAlignment="1">
      <alignment horizontal="center" vertical="center" wrapText="1"/>
    </xf>
    <xf numFmtId="0" fontId="30" fillId="0" borderId="8" xfId="1353" applyFont="1" applyBorder="1" applyAlignment="1">
      <alignment horizontal="center" vertical="center" wrapText="1"/>
    </xf>
    <xf numFmtId="0" fontId="30" fillId="0" borderId="9" xfId="1353" applyFont="1" applyBorder="1" applyAlignment="1">
      <alignment horizontal="center" vertical="center" wrapText="1"/>
    </xf>
    <xf numFmtId="0" fontId="30" fillId="0" borderId="30" xfId="1353" applyFont="1" applyBorder="1" applyAlignment="1">
      <alignment horizontal="center" vertical="center" wrapText="1"/>
    </xf>
    <xf numFmtId="0" fontId="30" fillId="0" borderId="14" xfId="1353" applyFont="1" applyBorder="1" applyAlignment="1">
      <alignment horizontal="center" vertical="center" wrapText="1"/>
    </xf>
    <xf numFmtId="0" fontId="30" fillId="0" borderId="10" xfId="1353" applyFont="1" applyBorder="1" applyAlignment="1">
      <alignment horizontal="center" vertical="center" wrapText="1"/>
    </xf>
    <xf numFmtId="0" fontId="32" fillId="0" borderId="0" xfId="1353" applyFont="1" applyAlignment="1">
      <alignment horizontal="center" vertical="center"/>
    </xf>
    <xf numFmtId="0" fontId="30" fillId="0" borderId="10" xfId="1353" applyFont="1" applyBorder="1" applyAlignment="1">
      <alignment horizontal="center" vertical="center"/>
    </xf>
    <xf numFmtId="4" fontId="32" fillId="5" borderId="9" xfId="1353" applyNumberFormat="1" applyFont="1" applyFill="1" applyBorder="1" applyAlignment="1">
      <alignment horizontal="right" vertical="center"/>
    </xf>
    <xf numFmtId="4" fontId="32" fillId="5" borderId="30" xfId="1353" applyNumberFormat="1" applyFont="1" applyFill="1" applyBorder="1" applyAlignment="1">
      <alignment horizontal="right" vertical="center"/>
    </xf>
    <xf numFmtId="4" fontId="32" fillId="5" borderId="14" xfId="1353" applyNumberFormat="1" applyFont="1" applyFill="1" applyBorder="1" applyAlignment="1">
      <alignment horizontal="right" vertical="center"/>
    </xf>
    <xf numFmtId="4" fontId="32" fillId="5" borderId="8" xfId="1353" applyNumberFormat="1" applyFont="1" applyFill="1" applyBorder="1" applyAlignment="1">
      <alignment horizontal="right" vertical="center"/>
    </xf>
    <xf numFmtId="4" fontId="32" fillId="5" borderId="10" xfId="1353" applyNumberFormat="1" applyFont="1" applyFill="1" applyBorder="1" applyAlignment="1">
      <alignment horizontal="right" vertical="center"/>
    </xf>
    <xf numFmtId="4" fontId="32" fillId="0" borderId="4" xfId="1353" applyNumberFormat="1" applyFont="1" applyBorder="1" applyAlignment="1">
      <alignment horizontal="right" vertical="center"/>
    </xf>
    <xf numFmtId="4" fontId="32" fillId="0" borderId="108" xfId="1353" applyNumberFormat="1" applyFont="1" applyBorder="1" applyAlignment="1">
      <alignment horizontal="right" vertical="center"/>
    </xf>
    <xf numFmtId="4" fontId="32" fillId="0" borderId="110" xfId="1353" applyNumberFormat="1" applyFont="1" applyBorder="1" applyAlignment="1">
      <alignment horizontal="right" vertical="center"/>
    </xf>
    <xf numFmtId="4" fontId="32" fillId="0" borderId="107" xfId="1353" applyNumberFormat="1" applyFont="1" applyBorder="1" applyAlignment="1">
      <alignment horizontal="right" vertical="center"/>
    </xf>
    <xf numFmtId="4" fontId="32" fillId="0" borderId="109" xfId="1353" applyNumberFormat="1" applyFont="1" applyBorder="1" applyAlignment="1">
      <alignment horizontal="right" vertical="center"/>
    </xf>
    <xf numFmtId="4" fontId="32" fillId="0" borderId="116" xfId="1353" applyNumberFormat="1" applyFont="1" applyBorder="1" applyAlignment="1">
      <alignment horizontal="right" vertical="center"/>
    </xf>
    <xf numFmtId="0" fontId="32" fillId="0" borderId="0" xfId="1353" applyFont="1" applyAlignment="1" applyProtection="1">
      <alignment vertical="center"/>
      <protection locked="0"/>
    </xf>
    <xf numFmtId="4" fontId="32" fillId="0" borderId="108" xfId="1353" applyNumberFormat="1" applyFont="1" applyBorder="1" applyAlignment="1" applyProtection="1">
      <alignment horizontal="right" vertical="center"/>
      <protection locked="0"/>
    </xf>
    <xf numFmtId="4" fontId="32" fillId="0" borderId="110" xfId="1353" applyNumberFormat="1" applyFont="1" applyBorder="1" applyAlignment="1" applyProtection="1">
      <alignment horizontal="right" vertical="center"/>
      <protection locked="0"/>
    </xf>
    <xf numFmtId="4" fontId="32" fillId="0" borderId="107" xfId="1353" applyNumberFormat="1" applyFont="1" applyBorder="1" applyAlignment="1" applyProtection="1">
      <alignment horizontal="right" vertical="center"/>
      <protection locked="0"/>
    </xf>
    <xf numFmtId="4" fontId="32" fillId="0" borderId="109" xfId="1353" applyNumberFormat="1" applyFont="1" applyBorder="1" applyAlignment="1" applyProtection="1">
      <alignment horizontal="right" vertical="center"/>
      <protection locked="0"/>
    </xf>
    <xf numFmtId="4" fontId="30" fillId="0" borderId="114" xfId="1353" applyNumberFormat="1" applyFont="1" applyBorder="1" applyAlignment="1">
      <alignment horizontal="right" vertical="center"/>
    </xf>
    <xf numFmtId="4" fontId="30" fillId="0" borderId="112" xfId="1353" applyNumberFormat="1" applyFont="1" applyBorder="1" applyAlignment="1">
      <alignment horizontal="right" vertical="center"/>
    </xf>
    <xf numFmtId="4" fontId="30" fillId="0" borderId="111" xfId="1353" applyNumberFormat="1" applyFont="1" applyBorder="1" applyAlignment="1">
      <alignment horizontal="right" vertical="center"/>
    </xf>
    <xf numFmtId="0" fontId="30" fillId="0" borderId="0" xfId="1353" applyFont="1" applyAlignment="1">
      <alignment vertical="center"/>
    </xf>
    <xf numFmtId="0" fontId="30" fillId="5" borderId="18" xfId="1353" applyFont="1" applyFill="1" applyBorder="1" applyAlignment="1">
      <alignment vertical="center"/>
    </xf>
    <xf numFmtId="0" fontId="32" fillId="5" borderId="4" xfId="1353" applyFont="1" applyFill="1" applyBorder="1" applyAlignment="1">
      <alignment horizontal="left" vertical="center"/>
    </xf>
    <xf numFmtId="10" fontId="32" fillId="5" borderId="5" xfId="1353" applyNumberFormat="1" applyFont="1" applyFill="1" applyBorder="1" applyAlignment="1">
      <alignment horizontal="center" vertical="center"/>
    </xf>
    <xf numFmtId="4" fontId="32" fillId="5" borderId="4" xfId="1353" applyNumberFormat="1" applyFont="1" applyFill="1" applyBorder="1" applyAlignment="1">
      <alignment horizontal="right" vertical="center"/>
    </xf>
    <xf numFmtId="4" fontId="32" fillId="5" borderId="42" xfId="1353" applyNumberFormat="1" applyFont="1" applyFill="1" applyBorder="1" applyAlignment="1">
      <alignment horizontal="right" vertical="center"/>
    </xf>
    <xf numFmtId="4" fontId="32" fillId="5" borderId="18" xfId="1353" applyNumberFormat="1" applyFont="1" applyFill="1" applyBorder="1" applyAlignment="1">
      <alignment horizontal="right" vertical="center"/>
    </xf>
    <xf numFmtId="4" fontId="32" fillId="5" borderId="5" xfId="1353" applyNumberFormat="1" applyFont="1" applyFill="1" applyBorder="1" applyAlignment="1">
      <alignment horizontal="right" vertical="center"/>
    </xf>
    <xf numFmtId="10" fontId="32" fillId="0" borderId="109" xfId="1353" applyNumberFormat="1" applyFont="1" applyBorder="1" applyAlignment="1">
      <alignment horizontal="center" vertical="center"/>
    </xf>
    <xf numFmtId="9" fontId="32" fillId="0" borderId="109" xfId="1353" applyNumberFormat="1" applyFont="1" applyBorder="1" applyAlignment="1">
      <alignment horizontal="center" vertical="center"/>
    </xf>
    <xf numFmtId="0" fontId="30" fillId="8" borderId="107" xfId="1353" applyFont="1" applyFill="1" applyBorder="1" applyAlignment="1">
      <alignment horizontal="center" vertical="center"/>
    </xf>
    <xf numFmtId="9" fontId="30" fillId="8" borderId="109" xfId="1353" applyNumberFormat="1" applyFont="1" applyFill="1" applyBorder="1" applyAlignment="1">
      <alignment horizontal="center" vertical="center"/>
    </xf>
    <xf numFmtId="4" fontId="30" fillId="0" borderId="108" xfId="1353" applyNumberFormat="1" applyFont="1" applyBorder="1" applyAlignment="1">
      <alignment horizontal="right" vertical="center"/>
    </xf>
    <xf numFmtId="4" fontId="30" fillId="0" borderId="110" xfId="1353" applyNumberFormat="1" applyFont="1" applyBorder="1" applyAlignment="1">
      <alignment horizontal="right" vertical="center"/>
    </xf>
    <xf numFmtId="4" fontId="30" fillId="0" borderId="107" xfId="1353" applyNumberFormat="1" applyFont="1" applyBorder="1" applyAlignment="1">
      <alignment horizontal="right" vertical="center"/>
    </xf>
    <xf numFmtId="4" fontId="30" fillId="0" borderId="109" xfId="1353" applyNumberFormat="1" applyFont="1" applyBorder="1" applyAlignment="1">
      <alignment horizontal="right" vertical="center"/>
    </xf>
    <xf numFmtId="0" fontId="30" fillId="8" borderId="111" xfId="1353" applyFont="1" applyFill="1" applyBorder="1" applyAlignment="1">
      <alignment horizontal="center" vertical="center"/>
    </xf>
    <xf numFmtId="0" fontId="30" fillId="5" borderId="18" xfId="1353" applyFont="1" applyFill="1" applyBorder="1" applyAlignment="1">
      <alignment horizontal="left" vertical="center"/>
    </xf>
    <xf numFmtId="0" fontId="32" fillId="5" borderId="5" xfId="1353" applyFont="1" applyFill="1" applyBorder="1" applyAlignment="1">
      <alignment horizontal="left" vertical="center"/>
    </xf>
    <xf numFmtId="0" fontId="32" fillId="0" borderId="106" xfId="1353" applyFont="1" applyBorder="1" applyAlignment="1">
      <alignment horizontal="center" vertical="center"/>
    </xf>
    <xf numFmtId="4" fontId="32" fillId="0" borderId="119" xfId="1353" applyNumberFormat="1" applyFont="1" applyBorder="1" applyAlignment="1">
      <alignment horizontal="right" vertical="center"/>
    </xf>
    <xf numFmtId="4" fontId="32" fillId="0" borderId="115" xfId="1353" applyNumberFormat="1" applyFont="1" applyBorder="1" applyAlignment="1">
      <alignment horizontal="right" vertical="center"/>
    </xf>
    <xf numFmtId="0" fontId="30" fillId="8" borderId="8" xfId="1353" applyFont="1" applyFill="1" applyBorder="1" applyAlignment="1">
      <alignment horizontal="left" vertical="center"/>
    </xf>
    <xf numFmtId="0" fontId="30" fillId="8" borderId="9" xfId="1353" applyFont="1" applyFill="1" applyBorder="1" applyAlignment="1">
      <alignment horizontal="left" vertical="center"/>
    </xf>
    <xf numFmtId="10" fontId="30" fillId="8" borderId="10" xfId="1353" applyNumberFormat="1" applyFont="1" applyFill="1" applyBorder="1" applyAlignment="1">
      <alignment horizontal="center" vertical="center"/>
    </xf>
    <xf numFmtId="4" fontId="30" fillId="0" borderId="9" xfId="1353" applyNumberFormat="1" applyFont="1" applyBorder="1" applyAlignment="1">
      <alignment horizontal="right" vertical="center"/>
    </xf>
    <xf numFmtId="4" fontId="30" fillId="0" borderId="30" xfId="1353" applyNumberFormat="1" applyFont="1" applyBorder="1" applyAlignment="1">
      <alignment horizontal="right" vertical="center"/>
    </xf>
    <xf numFmtId="0" fontId="30" fillId="5" borderId="31" xfId="1353" applyFont="1" applyFill="1" applyBorder="1" applyAlignment="1">
      <alignment horizontal="left" vertical="center"/>
    </xf>
    <xf numFmtId="0" fontId="32" fillId="5" borderId="26" xfId="1353" applyFont="1" applyFill="1" applyBorder="1" applyAlignment="1">
      <alignment horizontal="left" vertical="center"/>
    </xf>
    <xf numFmtId="0" fontId="32" fillId="5" borderId="28" xfId="1353" applyFont="1" applyFill="1" applyBorder="1" applyAlignment="1">
      <alignment horizontal="left" vertical="center"/>
    </xf>
    <xf numFmtId="4" fontId="32" fillId="5" borderId="26" xfId="1353" applyNumberFormat="1" applyFont="1" applyFill="1" applyBorder="1" applyAlignment="1">
      <alignment horizontal="right" vertical="center"/>
    </xf>
    <xf numFmtId="4" fontId="32" fillId="5" borderId="28" xfId="1353" applyNumberFormat="1" applyFont="1" applyFill="1" applyBorder="1" applyAlignment="1">
      <alignment horizontal="right" vertical="center"/>
    </xf>
    <xf numFmtId="4" fontId="32" fillId="5" borderId="29" xfId="1353" applyNumberFormat="1" applyFont="1" applyFill="1" applyBorder="1" applyAlignment="1">
      <alignment horizontal="right" vertical="center"/>
    </xf>
    <xf numFmtId="4" fontId="32" fillId="5" borderId="31" xfId="1353" applyNumberFormat="1" applyFont="1" applyFill="1" applyBorder="1" applyAlignment="1">
      <alignment horizontal="right" vertical="center"/>
    </xf>
    <xf numFmtId="4" fontId="32" fillId="0" borderId="118" xfId="1353" applyNumberFormat="1" applyFont="1" applyBorder="1" applyAlignment="1">
      <alignment horizontal="right" vertical="center"/>
    </xf>
    <xf numFmtId="4" fontId="30" fillId="0" borderId="8" xfId="1353" applyNumberFormat="1" applyFont="1" applyBorder="1" applyAlignment="1">
      <alignment horizontal="right" vertical="center"/>
    </xf>
    <xf numFmtId="4" fontId="30" fillId="0" borderId="21" xfId="1353" applyNumberFormat="1" applyFont="1" applyBorder="1" applyAlignment="1">
      <alignment horizontal="right" vertical="center"/>
    </xf>
    <xf numFmtId="4" fontId="32" fillId="5" borderId="107" xfId="1353" applyNumberFormat="1" applyFont="1" applyFill="1" applyBorder="1" applyAlignment="1">
      <alignment horizontal="right" vertical="center"/>
    </xf>
    <xf numFmtId="4" fontId="32" fillId="5" borderId="108" xfId="1353" applyNumberFormat="1" applyFont="1" applyFill="1" applyBorder="1" applyAlignment="1">
      <alignment horizontal="right" vertical="center"/>
    </xf>
    <xf numFmtId="4" fontId="32" fillId="5" borderId="109" xfId="1353" applyNumberFormat="1" applyFont="1" applyFill="1" applyBorder="1" applyAlignment="1">
      <alignment horizontal="right" vertical="center"/>
    </xf>
    <xf numFmtId="4" fontId="32" fillId="5" borderId="110" xfId="1353" applyNumberFormat="1" applyFont="1" applyFill="1" applyBorder="1" applyAlignment="1">
      <alignment horizontal="right" vertical="center"/>
    </xf>
    <xf numFmtId="4" fontId="32" fillId="0" borderId="117" xfId="1353" applyNumberFormat="1" applyFont="1" applyBorder="1" applyAlignment="1">
      <alignment horizontal="right" vertical="center"/>
    </xf>
    <xf numFmtId="0" fontId="30" fillId="0" borderId="107" xfId="1353" applyFont="1" applyBorder="1" applyAlignment="1">
      <alignment horizontal="left" vertical="center" wrapText="1"/>
    </xf>
    <xf numFmtId="0" fontId="30" fillId="0" borderId="108" xfId="1353" applyFont="1" applyBorder="1" applyAlignment="1">
      <alignment horizontal="left" vertical="center" wrapText="1"/>
    </xf>
    <xf numFmtId="0" fontId="30" fillId="0" borderId="109" xfId="1353" applyFont="1" applyBorder="1" applyAlignment="1">
      <alignment horizontal="left" vertical="center" wrapText="1"/>
    </xf>
    <xf numFmtId="4" fontId="30" fillId="0" borderId="117" xfId="1353" applyNumberFormat="1" applyFont="1" applyBorder="1" applyAlignment="1">
      <alignment horizontal="right" vertical="center"/>
    </xf>
    <xf numFmtId="0" fontId="30" fillId="5" borderId="107" xfId="1353" applyFont="1" applyFill="1" applyBorder="1" applyAlignment="1">
      <alignment horizontal="left" vertical="center"/>
    </xf>
    <xf numFmtId="0" fontId="32" fillId="5" borderId="108" xfId="1353" applyFont="1" applyFill="1" applyBorder="1" applyAlignment="1">
      <alignment horizontal="left" vertical="center"/>
    </xf>
    <xf numFmtId="0" fontId="32" fillId="5" borderId="109" xfId="1353" applyFont="1" applyFill="1" applyBorder="1" applyAlignment="1">
      <alignment horizontal="left" vertical="center"/>
    </xf>
    <xf numFmtId="9" fontId="32" fillId="0" borderId="109" xfId="1353" applyNumberFormat="1" applyFont="1" applyBorder="1" applyAlignment="1">
      <alignment horizontal="left" vertical="center"/>
    </xf>
    <xf numFmtId="4" fontId="32" fillId="0" borderId="108" xfId="24" applyNumberFormat="1" applyFont="1" applyFill="1" applyBorder="1" applyAlignment="1" applyProtection="1">
      <alignment horizontal="right" vertical="center"/>
    </xf>
    <xf numFmtId="4" fontId="32" fillId="0" borderId="109" xfId="24" applyNumberFormat="1" applyFont="1" applyFill="1" applyBorder="1" applyAlignment="1" applyProtection="1">
      <alignment horizontal="right" vertical="center"/>
    </xf>
    <xf numFmtId="4" fontId="32" fillId="0" borderId="110" xfId="24" applyNumberFormat="1" applyFont="1" applyFill="1" applyBorder="1" applyAlignment="1" applyProtection="1">
      <alignment horizontal="right" vertical="center"/>
    </xf>
    <xf numFmtId="4" fontId="32" fillId="0" borderId="107" xfId="24" applyNumberFormat="1" applyFont="1" applyFill="1" applyBorder="1" applyAlignment="1" applyProtection="1">
      <alignment horizontal="right" vertical="center"/>
    </xf>
    <xf numFmtId="168" fontId="31" fillId="4" borderId="114" xfId="1353" applyNumberFormat="1" applyFont="1" applyFill="1" applyBorder="1" applyAlignment="1">
      <alignment horizontal="right" vertical="center"/>
    </xf>
    <xf numFmtId="168" fontId="31" fillId="4" borderId="112" xfId="1353" applyNumberFormat="1" applyFont="1" applyFill="1" applyBorder="1" applyAlignment="1">
      <alignment horizontal="right" vertical="center"/>
    </xf>
    <xf numFmtId="168" fontId="31" fillId="4" borderId="111" xfId="1353" applyNumberFormat="1" applyFont="1" applyFill="1" applyBorder="1" applyAlignment="1">
      <alignment horizontal="right" vertical="center"/>
    </xf>
    <xf numFmtId="0" fontId="61" fillId="0" borderId="0" xfId="1353" applyFont="1" applyAlignment="1">
      <alignment vertical="center"/>
    </xf>
    <xf numFmtId="169" fontId="16" fillId="0" borderId="107" xfId="11" applyNumberFormat="1" applyFont="1" applyBorder="1" applyAlignment="1" applyProtection="1">
      <alignment vertical="center" wrapText="1"/>
      <protection locked="0"/>
    </xf>
    <xf numFmtId="0" fontId="4" fillId="0" borderId="108" xfId="58" applyFont="1" applyBorder="1" applyAlignment="1">
      <alignment horizontal="left" vertical="center"/>
    </xf>
    <xf numFmtId="171" fontId="4" fillId="0" borderId="108" xfId="14" applyNumberFormat="1" applyFont="1" applyFill="1" applyBorder="1" applyAlignment="1">
      <alignment horizontal="left" vertical="center"/>
    </xf>
    <xf numFmtId="2" fontId="25" fillId="0" borderId="110" xfId="4" applyNumberFormat="1" applyFont="1" applyBorder="1" applyAlignment="1" applyProtection="1">
      <alignment horizontal="center" vertical="center"/>
      <protection locked="0"/>
    </xf>
    <xf numFmtId="0" fontId="21" fillId="0" borderId="108" xfId="43" applyFont="1" applyBorder="1" applyAlignment="1">
      <alignment vertical="center"/>
    </xf>
    <xf numFmtId="0" fontId="18" fillId="5" borderId="26" xfId="15" applyFont="1" applyFill="1" applyBorder="1" applyAlignment="1" applyProtection="1">
      <alignment horizontal="center" vertical="center"/>
      <protection locked="0" hidden="1"/>
    </xf>
    <xf numFmtId="171" fontId="18" fillId="5" borderId="28" xfId="385" applyNumberFormat="1" applyFont="1" applyFill="1" applyBorder="1" applyAlignment="1" applyProtection="1">
      <alignment horizontal="right" vertical="center"/>
      <protection locked="0" hidden="1"/>
    </xf>
    <xf numFmtId="0" fontId="17" fillId="0" borderId="1" xfId="15" applyFont="1" applyBorder="1" applyAlignment="1" applyProtection="1">
      <alignment vertical="center"/>
      <protection locked="0" hidden="1"/>
    </xf>
    <xf numFmtId="0" fontId="17" fillId="0" borderId="15" xfId="15" applyFont="1" applyBorder="1" applyAlignment="1" applyProtection="1">
      <alignment vertical="center"/>
      <protection locked="0" hidden="1"/>
    </xf>
    <xf numFmtId="0" fontId="13" fillId="4" borderId="21" xfId="1353" applyFont="1" applyFill="1" applyBorder="1" applyAlignment="1">
      <alignment vertical="center"/>
    </xf>
    <xf numFmtId="4" fontId="32" fillId="0" borderId="42" xfId="1353" applyNumberFormat="1" applyFont="1" applyBorder="1" applyAlignment="1">
      <alignment horizontal="right" vertical="center"/>
    </xf>
    <xf numFmtId="4" fontId="32" fillId="0" borderId="18" xfId="1353" applyNumberFormat="1" applyFont="1" applyBorder="1" applyAlignment="1">
      <alignment horizontal="right" vertical="center"/>
    </xf>
    <xf numFmtId="4" fontId="32" fillId="0" borderId="5" xfId="1353" applyNumberFormat="1" applyFont="1" applyBorder="1" applyAlignment="1">
      <alignment horizontal="right" vertical="center"/>
    </xf>
    <xf numFmtId="4" fontId="32" fillId="0" borderId="117" xfId="1353" applyNumberFormat="1" applyFont="1" applyBorder="1" applyAlignment="1" applyProtection="1">
      <alignment horizontal="right" vertical="center"/>
      <protection locked="0"/>
    </xf>
    <xf numFmtId="0" fontId="25" fillId="6" borderId="109" xfId="16" applyFont="1" applyFill="1" applyBorder="1" applyAlignment="1">
      <alignment horizontal="left" vertical="center"/>
    </xf>
    <xf numFmtId="0" fontId="40" fillId="6" borderId="109" xfId="16" applyFont="1" applyFill="1" applyBorder="1" applyAlignment="1">
      <alignment vertical="center"/>
    </xf>
    <xf numFmtId="0" fontId="40" fillId="6" borderId="109" xfId="16" applyFont="1" applyFill="1" applyBorder="1" applyAlignment="1">
      <alignment vertical="center" wrapText="1"/>
    </xf>
    <xf numFmtId="0" fontId="25" fillId="6" borderId="109" xfId="16" applyFont="1" applyFill="1" applyBorder="1" applyAlignment="1">
      <alignment vertical="center"/>
    </xf>
    <xf numFmtId="0" fontId="25" fillId="6" borderId="113" xfId="16" applyFont="1" applyFill="1" applyBorder="1" applyAlignment="1">
      <alignment vertical="center"/>
    </xf>
    <xf numFmtId="170" fontId="17" fillId="0" borderId="0" xfId="14" applyFont="1" applyFill="1" applyAlignment="1" applyProtection="1">
      <alignment vertical="center"/>
      <protection locked="0" hidden="1"/>
    </xf>
    <xf numFmtId="2" fontId="25" fillId="12" borderId="5" xfId="4" applyNumberFormat="1" applyFont="1" applyFill="1" applyBorder="1" applyAlignment="1" applyProtection="1">
      <alignment horizontal="center" vertical="center"/>
      <protection locked="0"/>
    </xf>
    <xf numFmtId="0" fontId="16" fillId="0" borderId="116" xfId="4" applyFont="1" applyBorder="1" applyAlignment="1">
      <alignment vertical="center"/>
    </xf>
    <xf numFmtId="169" fontId="19" fillId="6" borderId="118" xfId="4" applyNumberFormat="1" applyFont="1" applyFill="1" applyBorder="1" applyAlignment="1">
      <alignment vertical="center"/>
    </xf>
    <xf numFmtId="169" fontId="13" fillId="4" borderId="116" xfId="0" applyNumberFormat="1" applyFont="1" applyFill="1" applyBorder="1" applyAlignment="1" applyProtection="1">
      <alignment vertical="center"/>
      <protection locked="0" hidden="1"/>
    </xf>
    <xf numFmtId="169" fontId="13" fillId="4" borderId="122" xfId="0" applyNumberFormat="1" applyFont="1" applyFill="1" applyBorder="1" applyAlignment="1" applyProtection="1">
      <alignment vertical="center"/>
      <protection locked="0" hidden="1"/>
    </xf>
    <xf numFmtId="0" fontId="4" fillId="0" borderId="0" xfId="1045" applyAlignment="1">
      <alignment horizontal="center" vertical="center"/>
    </xf>
    <xf numFmtId="171" fontId="16" fillId="0" borderId="116" xfId="14" applyNumberFormat="1" applyFont="1" applyBorder="1" applyAlignment="1">
      <alignment vertical="center"/>
    </xf>
    <xf numFmtId="0" fontId="16" fillId="0" borderId="107" xfId="4" applyFont="1" applyBorder="1" applyAlignment="1">
      <alignment vertical="center"/>
    </xf>
    <xf numFmtId="169" fontId="16" fillId="0" borderId="107" xfId="0" applyNumberFormat="1" applyFont="1" applyBorder="1" applyAlignment="1" applyProtection="1">
      <alignment vertical="center" wrapText="1"/>
      <protection locked="0" hidden="1"/>
    </xf>
    <xf numFmtId="0" fontId="18" fillId="5" borderId="108" xfId="16" applyFont="1" applyFill="1" applyBorder="1" applyAlignment="1" applyProtection="1">
      <alignment horizontal="center" vertical="center" wrapText="1"/>
      <protection locked="0" hidden="1"/>
    </xf>
    <xf numFmtId="0" fontId="17" fillId="5" borderId="108" xfId="15" applyFont="1" applyFill="1" applyBorder="1" applyAlignment="1" applyProtection="1">
      <alignment vertical="center"/>
      <protection locked="0" hidden="1"/>
    </xf>
    <xf numFmtId="0" fontId="18" fillId="5" borderId="108" xfId="15" applyFont="1" applyFill="1" applyBorder="1" applyAlignment="1" applyProtection="1">
      <alignment vertical="center"/>
      <protection locked="0" hidden="1"/>
    </xf>
    <xf numFmtId="0" fontId="13" fillId="4" borderId="0" xfId="43" applyFont="1" applyFill="1" applyAlignment="1">
      <alignment horizontal="left" vertical="center"/>
    </xf>
    <xf numFmtId="0" fontId="4" fillId="13" borderId="0" xfId="43" applyFont="1" applyFill="1" applyAlignment="1">
      <alignment horizontal="left" vertical="center"/>
    </xf>
    <xf numFmtId="0" fontId="13" fillId="96" borderId="0" xfId="43" applyFont="1" applyFill="1" applyAlignment="1">
      <alignment horizontal="left" vertical="center"/>
    </xf>
    <xf numFmtId="0" fontId="216" fillId="9" borderId="0" xfId="1354" applyFill="1" applyAlignment="1" applyProtection="1">
      <alignment horizontal="left" vertical="center"/>
      <protection locked="0"/>
    </xf>
    <xf numFmtId="0" fontId="217" fillId="0" borderId="0" xfId="1354" applyFont="1" applyFill="1" applyAlignment="1" applyProtection="1">
      <alignment horizontal="center" vertical="center"/>
    </xf>
    <xf numFmtId="0" fontId="27" fillId="5" borderId="21" xfId="4" applyFont="1" applyFill="1" applyBorder="1" applyAlignment="1" applyProtection="1">
      <alignment vertical="center"/>
      <protection locked="0"/>
    </xf>
    <xf numFmtId="0" fontId="27" fillId="5" borderId="14" xfId="4" applyFont="1" applyFill="1" applyBorder="1" applyAlignment="1" applyProtection="1">
      <alignment vertical="center"/>
      <protection locked="0"/>
    </xf>
    <xf numFmtId="0" fontId="40" fillId="5" borderId="14" xfId="4" applyFont="1" applyFill="1" applyBorder="1" applyAlignment="1" applyProtection="1">
      <alignment vertical="center"/>
      <protection locked="0"/>
    </xf>
    <xf numFmtId="0" fontId="27" fillId="5" borderId="22" xfId="4" applyFont="1" applyFill="1" applyBorder="1" applyAlignment="1" applyProtection="1">
      <alignment horizontal="right" vertical="center"/>
      <protection locked="0"/>
    </xf>
    <xf numFmtId="0" fontId="27" fillId="5" borderId="21" xfId="4" applyFont="1" applyFill="1" applyBorder="1" applyAlignment="1" applyProtection="1">
      <alignment horizontal="left" vertical="center"/>
      <protection locked="0"/>
    </xf>
    <xf numFmtId="0" fontId="27" fillId="5" borderId="14" xfId="4" applyFont="1" applyFill="1" applyBorder="1" applyAlignment="1" applyProtection="1">
      <alignment horizontal="left" vertical="center"/>
      <protection locked="0"/>
    </xf>
    <xf numFmtId="0" fontId="25" fillId="9" borderId="14" xfId="4" applyFont="1" applyFill="1" applyBorder="1" applyAlignment="1" applyProtection="1">
      <alignment horizontal="center" vertical="center"/>
      <protection locked="0"/>
    </xf>
    <xf numFmtId="0" fontId="25" fillId="9" borderId="14" xfId="4" applyFont="1" applyFill="1" applyBorder="1" applyAlignment="1" applyProtection="1">
      <alignment vertical="center"/>
      <protection locked="0"/>
    </xf>
    <xf numFmtId="0" fontId="25" fillId="9" borderId="22" xfId="4" applyFont="1" applyFill="1" applyBorder="1" applyAlignment="1" applyProtection="1">
      <alignment vertical="center"/>
      <protection locked="0"/>
    </xf>
    <xf numFmtId="0" fontId="25" fillId="9" borderId="0" xfId="4" applyFont="1" applyFill="1" applyAlignment="1" applyProtection="1">
      <alignment vertical="center"/>
      <protection locked="0"/>
    </xf>
    <xf numFmtId="0" fontId="25" fillId="9" borderId="0" xfId="4" applyFont="1" applyFill="1" applyAlignment="1" applyProtection="1">
      <alignment horizontal="center" vertical="center"/>
      <protection locked="0"/>
    </xf>
    <xf numFmtId="0" fontId="25" fillId="0" borderId="18" xfId="4" applyFont="1" applyBorder="1" applyAlignment="1" applyProtection="1">
      <alignment vertical="center"/>
      <protection locked="0"/>
    </xf>
    <xf numFmtId="2" fontId="26" fillId="12" borderId="109" xfId="4" applyNumberFormat="1" applyFont="1" applyFill="1" applyBorder="1" applyAlignment="1" applyProtection="1">
      <alignment horizontal="center" vertical="center"/>
      <protection locked="0"/>
    </xf>
    <xf numFmtId="0" fontId="25" fillId="0" borderId="107" xfId="4" applyFont="1" applyBorder="1" applyAlignment="1" applyProtection="1">
      <alignment vertical="center"/>
      <protection locked="0"/>
    </xf>
    <xf numFmtId="2" fontId="26" fillId="0" borderId="110" xfId="4" applyNumberFormat="1" applyFont="1" applyBorder="1" applyAlignment="1" applyProtection="1">
      <alignment horizontal="center" vertical="center"/>
      <protection locked="0"/>
    </xf>
    <xf numFmtId="0" fontId="25" fillId="0" borderId="109" xfId="7" applyNumberFormat="1" applyFont="1" applyBorder="1" applyAlignment="1" applyProtection="1">
      <alignment horizontal="center" vertical="center"/>
      <protection locked="0"/>
    </xf>
    <xf numFmtId="0" fontId="25" fillId="0" borderId="111" xfId="4" applyFont="1" applyBorder="1" applyAlignment="1" applyProtection="1">
      <alignment vertical="center"/>
      <protection locked="0"/>
    </xf>
    <xf numFmtId="9" fontId="25" fillId="0" borderId="112" xfId="7" applyFont="1" applyBorder="1" applyAlignment="1" applyProtection="1">
      <alignment horizontal="center" vertical="center"/>
      <protection locked="0"/>
    </xf>
    <xf numFmtId="9" fontId="25" fillId="0" borderId="113" xfId="7" applyFont="1" applyBorder="1" applyAlignment="1" applyProtection="1">
      <alignment horizontal="center" vertical="center"/>
      <protection locked="0"/>
    </xf>
    <xf numFmtId="0" fontId="25" fillId="9" borderId="6" xfId="4" applyFont="1" applyFill="1" applyBorder="1" applyAlignment="1" applyProtection="1">
      <alignment vertical="center"/>
      <protection locked="0"/>
    </xf>
    <xf numFmtId="0" fontId="25" fillId="9" borderId="38" xfId="4" applyFont="1" applyFill="1" applyBorder="1" applyAlignment="1" applyProtection="1">
      <alignment vertical="center"/>
      <protection locked="0"/>
    </xf>
    <xf numFmtId="0" fontId="25" fillId="6" borderId="23" xfId="4" applyFont="1" applyFill="1" applyBorder="1" applyAlignment="1" applyProtection="1">
      <alignment vertical="center"/>
      <protection locked="0"/>
    </xf>
    <xf numFmtId="0" fontId="25" fillId="6" borderId="2" xfId="4" applyFont="1" applyFill="1" applyBorder="1" applyAlignment="1" applyProtection="1">
      <alignment horizontal="center" vertical="center"/>
      <protection locked="0"/>
    </xf>
    <xf numFmtId="0" fontId="25" fillId="6" borderId="24" xfId="4" applyFont="1" applyFill="1" applyBorder="1" applyAlignment="1" applyProtection="1">
      <alignment vertical="center"/>
      <protection locked="0"/>
    </xf>
    <xf numFmtId="0" fontId="26" fillId="0" borderId="46" xfId="4" applyFont="1" applyBorder="1" applyAlignment="1" applyProtection="1">
      <alignment vertical="center"/>
      <protection locked="0"/>
    </xf>
    <xf numFmtId="0" fontId="25" fillId="6" borderId="1" xfId="4" applyFont="1" applyFill="1" applyBorder="1" applyAlignment="1" applyProtection="1">
      <alignment vertical="center"/>
      <protection locked="0"/>
    </xf>
    <xf numFmtId="0" fontId="25" fillId="6" borderId="0" xfId="4" applyFont="1" applyFill="1" applyAlignment="1" applyProtection="1">
      <alignment horizontal="center" vertical="center"/>
      <protection locked="0"/>
    </xf>
    <xf numFmtId="0" fontId="25" fillId="6" borderId="15" xfId="4" applyFont="1" applyFill="1" applyBorder="1" applyAlignment="1" applyProtection="1">
      <alignment vertical="center"/>
      <protection locked="0"/>
    </xf>
    <xf numFmtId="0" fontId="26" fillId="0" borderId="117" xfId="4" applyFont="1" applyBorder="1" applyAlignment="1" applyProtection="1">
      <alignment vertical="center"/>
      <protection locked="0"/>
    </xf>
    <xf numFmtId="0" fontId="25" fillId="6" borderId="37" xfId="4" applyFont="1" applyFill="1" applyBorder="1" applyAlignment="1" applyProtection="1">
      <alignment vertical="center"/>
      <protection locked="0"/>
    </xf>
    <xf numFmtId="0" fontId="25" fillId="6" borderId="6" xfId="4" applyFont="1" applyFill="1" applyBorder="1" applyAlignment="1" applyProtection="1">
      <alignment horizontal="center" vertical="center"/>
      <protection locked="0"/>
    </xf>
    <xf numFmtId="0" fontId="25" fillId="6" borderId="38" xfId="4" applyFont="1" applyFill="1" applyBorder="1" applyAlignment="1" applyProtection="1">
      <alignment vertical="center"/>
      <protection locked="0"/>
    </xf>
    <xf numFmtId="0" fontId="26" fillId="0" borderId="121" xfId="4" applyFont="1" applyBorder="1" applyAlignment="1" applyProtection="1">
      <alignment vertical="center"/>
      <protection locked="0"/>
    </xf>
    <xf numFmtId="0" fontId="217" fillId="0" borderId="0" xfId="1354" applyFont="1" applyFill="1" applyAlignment="1" applyProtection="1">
      <alignment horizontal="center" vertical="center"/>
      <protection locked="0"/>
    </xf>
    <xf numFmtId="1" fontId="16" fillId="0" borderId="108" xfId="2" applyNumberFormat="1" applyFont="1" applyFill="1" applyBorder="1" applyAlignment="1" applyProtection="1">
      <alignment horizontal="center" vertical="center"/>
    </xf>
    <xf numFmtId="169" fontId="4" fillId="97" borderId="19" xfId="11" applyNumberFormat="1" applyFont="1" applyFill="1" applyBorder="1" applyAlignment="1">
      <alignment vertical="center"/>
    </xf>
    <xf numFmtId="0" fontId="16" fillId="97" borderId="110" xfId="4" applyFont="1" applyFill="1" applyBorder="1" applyAlignment="1">
      <alignment vertical="center"/>
    </xf>
    <xf numFmtId="169" fontId="4" fillId="0" borderId="65" xfId="11" applyNumberFormat="1" applyFont="1" applyBorder="1" applyAlignment="1">
      <alignment vertical="center"/>
    </xf>
    <xf numFmtId="0" fontId="16" fillId="0" borderId="64" xfId="4" applyFont="1" applyBorder="1" applyAlignment="1">
      <alignment vertical="center"/>
    </xf>
    <xf numFmtId="171" fontId="16" fillId="0" borderId="116" xfId="14" applyNumberFormat="1" applyFont="1" applyFill="1" applyBorder="1" applyAlignment="1">
      <alignment vertical="center"/>
    </xf>
    <xf numFmtId="169" fontId="16" fillId="0" borderId="19" xfId="4" applyNumberFormat="1" applyFont="1" applyBorder="1" applyAlignment="1" applyProtection="1">
      <alignment vertical="center"/>
      <protection locked="0"/>
    </xf>
    <xf numFmtId="0" fontId="16" fillId="0" borderId="54" xfId="4" applyFont="1" applyBorder="1" applyAlignment="1" applyProtection="1">
      <alignment vertical="center"/>
      <protection locked="0"/>
    </xf>
    <xf numFmtId="1" fontId="16" fillId="0" borderId="108" xfId="4" applyNumberFormat="1" applyFont="1" applyBorder="1" applyAlignment="1" applyProtection="1">
      <alignment horizontal="center" vertical="center"/>
      <protection locked="0"/>
    </xf>
    <xf numFmtId="0" fontId="16" fillId="0" borderId="77" xfId="4" applyFont="1" applyBorder="1" applyAlignment="1">
      <alignment vertical="center"/>
    </xf>
    <xf numFmtId="169" fontId="16" fillId="0" borderId="31" xfId="4" applyNumberFormat="1" applyFont="1" applyBorder="1" applyAlignment="1" applyProtection="1">
      <alignment vertical="center"/>
      <protection locked="0"/>
    </xf>
    <xf numFmtId="0" fontId="16" fillId="0" borderId="29" xfId="4" applyFont="1" applyBorder="1" applyAlignment="1" applyProtection="1">
      <alignment vertical="center"/>
      <protection locked="0"/>
    </xf>
    <xf numFmtId="1" fontId="16" fillId="0" borderId="49" xfId="11" applyNumberFormat="1" applyFont="1" applyBorder="1" applyAlignment="1" applyProtection="1">
      <alignment horizontal="center" vertical="center"/>
      <protection locked="0"/>
    </xf>
    <xf numFmtId="1" fontId="19" fillId="6" borderId="52" xfId="0" applyNumberFormat="1" applyFont="1" applyFill="1" applyBorder="1" applyAlignment="1" applyProtection="1">
      <alignment vertical="center"/>
      <protection locked="0" hidden="1"/>
    </xf>
    <xf numFmtId="1" fontId="16" fillId="0" borderId="63" xfId="11" applyNumberFormat="1" applyFont="1" applyBorder="1" applyAlignment="1" applyProtection="1">
      <alignment horizontal="center" vertical="center"/>
      <protection locked="0"/>
    </xf>
    <xf numFmtId="1" fontId="4" fillId="0" borderId="49" xfId="11" applyNumberFormat="1" applyFont="1" applyBorder="1" applyAlignment="1" applyProtection="1">
      <alignment horizontal="center" vertical="center"/>
      <protection locked="0"/>
    </xf>
    <xf numFmtId="1" fontId="16" fillId="0" borderId="49" xfId="0" applyNumberFormat="1" applyFont="1" applyBorder="1" applyAlignment="1" applyProtection="1">
      <alignment horizontal="center" vertical="center"/>
      <protection locked="0"/>
    </xf>
    <xf numFmtId="1" fontId="16" fillId="0" borderId="108" xfId="11" applyNumberFormat="1" applyFont="1" applyBorder="1" applyAlignment="1" applyProtection="1">
      <alignment horizontal="center" vertical="center"/>
      <protection locked="0"/>
    </xf>
    <xf numFmtId="1" fontId="13" fillId="4" borderId="49" xfId="0" applyNumberFormat="1" applyFont="1" applyFill="1" applyBorder="1" applyAlignment="1" applyProtection="1">
      <alignment horizontal="center" vertical="center"/>
      <protection locked="0"/>
    </xf>
    <xf numFmtId="1" fontId="4" fillId="0" borderId="49" xfId="4" applyNumberFormat="1" applyFont="1" applyBorder="1" applyAlignment="1" applyProtection="1">
      <alignment horizontal="center" vertical="center"/>
      <protection locked="0"/>
    </xf>
    <xf numFmtId="1" fontId="14" fillId="0" borderId="49" xfId="4" applyNumberFormat="1" applyFont="1" applyBorder="1" applyAlignment="1" applyProtection="1">
      <alignment horizontal="center" vertical="center"/>
      <protection locked="0"/>
    </xf>
    <xf numFmtId="1" fontId="16" fillId="0" borderId="49" xfId="4" applyNumberFormat="1" applyFont="1" applyBorder="1" applyAlignment="1" applyProtection="1">
      <alignment horizontal="center" vertical="center"/>
      <protection locked="0"/>
    </xf>
    <xf numFmtId="1" fontId="13" fillId="4" borderId="51" xfId="4" applyNumberFormat="1" applyFont="1" applyFill="1" applyBorder="1" applyAlignment="1" applyProtection="1">
      <alignment horizontal="center" vertical="center"/>
      <protection locked="0"/>
    </xf>
    <xf numFmtId="1" fontId="16" fillId="0" borderId="49" xfId="0" applyNumberFormat="1" applyFont="1" applyBorder="1" applyAlignment="1" applyProtection="1">
      <alignment horizontal="center" vertical="center" wrapText="1"/>
      <protection locked="0" hidden="1"/>
    </xf>
    <xf numFmtId="1" fontId="16" fillId="0" borderId="49" xfId="0" applyNumberFormat="1" applyFont="1" applyBorder="1" applyAlignment="1" applyProtection="1">
      <alignment horizontal="center" vertical="center"/>
      <protection locked="0" hidden="1"/>
    </xf>
    <xf numFmtId="1" fontId="13" fillId="4" borderId="49" xfId="0" applyNumberFormat="1" applyFont="1" applyFill="1" applyBorder="1" applyAlignment="1" applyProtection="1">
      <alignment horizontal="center" vertical="center"/>
      <protection locked="0" hidden="1"/>
    </xf>
    <xf numFmtId="1" fontId="16" fillId="0" borderId="108" xfId="0" applyNumberFormat="1" applyFont="1" applyBorder="1" applyAlignment="1" applyProtection="1">
      <alignment horizontal="center" vertical="center" wrapText="1"/>
      <protection locked="0" hidden="1"/>
    </xf>
    <xf numFmtId="1" fontId="16" fillId="0" borderId="108" xfId="0" applyNumberFormat="1" applyFont="1" applyBorder="1" applyAlignment="1" applyProtection="1">
      <alignment horizontal="center" vertical="center"/>
      <protection locked="0" hidden="1"/>
    </xf>
    <xf numFmtId="1" fontId="16" fillId="0" borderId="67" xfId="11" applyNumberFormat="1" applyFont="1" applyBorder="1" applyAlignment="1" applyProtection="1">
      <alignment horizontal="center" vertical="center"/>
      <protection locked="0"/>
    </xf>
    <xf numFmtId="1" fontId="16" fillId="0" borderId="26" xfId="4" applyNumberFormat="1" applyFont="1" applyBorder="1" applyAlignment="1" applyProtection="1">
      <alignment horizontal="center" vertical="center"/>
      <protection locked="0"/>
    </xf>
    <xf numFmtId="1" fontId="13" fillId="4" borderId="49" xfId="4" applyNumberFormat="1" applyFont="1" applyFill="1" applyBorder="1" applyAlignment="1" applyProtection="1">
      <alignment horizontal="center" vertical="center"/>
      <protection locked="0"/>
    </xf>
    <xf numFmtId="171" fontId="19" fillId="6" borderId="59" xfId="14" applyNumberFormat="1" applyFont="1" applyFill="1" applyBorder="1" applyAlignment="1" applyProtection="1">
      <alignment vertical="center"/>
      <protection locked="0" hidden="1"/>
    </xf>
    <xf numFmtId="171" fontId="13" fillId="4" borderId="50" xfId="14" applyNumberFormat="1" applyFont="1" applyFill="1" applyBorder="1" applyAlignment="1" applyProtection="1">
      <alignment horizontal="center" vertical="center"/>
      <protection locked="0"/>
    </xf>
    <xf numFmtId="171" fontId="13" fillId="4" borderId="57" xfId="14" applyNumberFormat="1" applyFont="1" applyFill="1" applyBorder="1" applyAlignment="1" applyProtection="1">
      <alignment horizontal="center" vertical="center"/>
      <protection locked="0"/>
    </xf>
    <xf numFmtId="171" fontId="16" fillId="0" borderId="50" xfId="14" applyNumberFormat="1" applyFont="1" applyFill="1" applyBorder="1" applyAlignment="1" applyProtection="1">
      <alignment vertical="center"/>
      <protection locked="0" hidden="1"/>
    </xf>
    <xf numFmtId="171" fontId="13" fillId="4" borderId="50" xfId="14" applyNumberFormat="1" applyFont="1" applyFill="1" applyBorder="1" applyAlignment="1" applyProtection="1">
      <alignment horizontal="right" vertical="center"/>
      <protection locked="0" hidden="1"/>
    </xf>
    <xf numFmtId="171" fontId="16" fillId="0" borderId="109" xfId="14" applyNumberFormat="1" applyFont="1" applyFill="1" applyBorder="1" applyAlignment="1" applyProtection="1">
      <alignment vertical="center"/>
      <protection locked="0" hidden="1"/>
    </xf>
    <xf numFmtId="171" fontId="16" fillId="0" borderId="0" xfId="14" applyNumberFormat="1" applyFont="1" applyAlignment="1">
      <alignment vertical="center"/>
    </xf>
    <xf numFmtId="169" fontId="4" fillId="0" borderId="117" xfId="11" applyNumberFormat="1" applyFont="1" applyBorder="1" applyAlignment="1">
      <alignment vertical="center"/>
    </xf>
    <xf numFmtId="169" fontId="13" fillId="4" borderId="115" xfId="0" applyNumberFormat="1" applyFont="1" applyFill="1" applyBorder="1" applyAlignment="1">
      <alignment vertical="center"/>
    </xf>
    <xf numFmtId="0" fontId="14" fillId="11" borderId="119" xfId="4" applyFont="1" applyFill="1" applyBorder="1" applyAlignment="1" applyProtection="1">
      <alignment horizontal="center" vertical="center"/>
      <protection locked="0"/>
    </xf>
    <xf numFmtId="169" fontId="14" fillId="6" borderId="108" xfId="0" applyNumberFormat="1" applyFont="1" applyFill="1" applyBorder="1" applyAlignment="1">
      <alignment vertical="center" wrapText="1"/>
    </xf>
    <xf numFmtId="1" fontId="14" fillId="6" borderId="108" xfId="0" applyNumberFormat="1" applyFont="1" applyFill="1" applyBorder="1" applyAlignment="1">
      <alignment horizontal="center" vertical="center" wrapText="1"/>
    </xf>
    <xf numFmtId="171" fontId="16" fillId="6" borderId="108" xfId="14" applyNumberFormat="1" applyFont="1" applyFill="1" applyBorder="1" applyAlignment="1" applyProtection="1">
      <alignment horizontal="center" vertical="center"/>
    </xf>
    <xf numFmtId="169" fontId="4" fillId="0" borderId="108" xfId="11" applyNumberFormat="1" applyFont="1" applyBorder="1" applyAlignment="1">
      <alignment vertical="center"/>
    </xf>
    <xf numFmtId="171" fontId="16" fillId="5" borderId="108" xfId="14" applyNumberFormat="1" applyFont="1" applyFill="1" applyBorder="1" applyAlignment="1">
      <alignment vertical="center"/>
    </xf>
    <xf numFmtId="171" fontId="16" fillId="0" borderId="108" xfId="14" applyNumberFormat="1" applyFont="1" applyFill="1" applyBorder="1" applyAlignment="1" applyProtection="1">
      <alignment vertical="center"/>
    </xf>
    <xf numFmtId="0" fontId="16" fillId="97" borderId="108" xfId="4" applyFont="1" applyFill="1" applyBorder="1" applyAlignment="1">
      <alignment vertical="center"/>
    </xf>
    <xf numFmtId="1" fontId="15" fillId="0" borderId="108" xfId="11" applyNumberFormat="1" applyFont="1" applyBorder="1" applyAlignment="1" applyProtection="1">
      <alignment horizontal="center" vertical="center"/>
      <protection locked="0"/>
    </xf>
    <xf numFmtId="0" fontId="16" fillId="0" borderId="108" xfId="4" applyFont="1" applyBorder="1" applyAlignment="1">
      <alignment vertical="center"/>
    </xf>
    <xf numFmtId="169" fontId="13" fillId="4" borderId="108" xfId="0" applyNumberFormat="1" applyFont="1" applyFill="1" applyBorder="1" applyAlignment="1">
      <alignment vertical="center"/>
    </xf>
    <xf numFmtId="1" fontId="13" fillId="4" borderId="108" xfId="0" applyNumberFormat="1" applyFont="1" applyFill="1" applyBorder="1" applyAlignment="1">
      <alignment horizontal="center" vertical="center"/>
    </xf>
    <xf numFmtId="171" fontId="13" fillId="4" borderId="108" xfId="14" applyNumberFormat="1" applyFont="1" applyFill="1" applyBorder="1" applyAlignment="1" applyProtection="1">
      <alignment horizontal="center" vertical="center"/>
    </xf>
    <xf numFmtId="0" fontId="17" fillId="0" borderId="0" xfId="1034" applyFont="1"/>
    <xf numFmtId="0" fontId="25" fillId="0" borderId="0" xfId="1034" applyFont="1"/>
    <xf numFmtId="171" fontId="25" fillId="0" borderId="0" xfId="14" applyNumberFormat="1" applyFont="1" applyBorder="1"/>
    <xf numFmtId="0" fontId="18" fillId="0" borderId="0" xfId="1034" applyFont="1"/>
    <xf numFmtId="171" fontId="17" fillId="0" borderId="0" xfId="14" applyNumberFormat="1" applyFont="1"/>
    <xf numFmtId="0" fontId="26" fillId="0" borderId="127" xfId="1034" applyFont="1" applyBorder="1"/>
    <xf numFmtId="0" fontId="25" fillId="0" borderId="127" xfId="1034" applyFont="1" applyBorder="1"/>
    <xf numFmtId="171" fontId="26" fillId="0" borderId="0" xfId="14" applyNumberFormat="1" applyFont="1" applyBorder="1" applyAlignment="1">
      <alignment horizontal="center"/>
    </xf>
    <xf numFmtId="171" fontId="25" fillId="0" borderId="127" xfId="14" applyNumberFormat="1" applyFont="1" applyBorder="1"/>
    <xf numFmtId="171" fontId="25" fillId="0" borderId="127" xfId="14" applyNumberFormat="1" applyFont="1" applyFill="1" applyBorder="1" applyAlignment="1" applyProtection="1"/>
    <xf numFmtId="171" fontId="25" fillId="0" borderId="0" xfId="14" applyNumberFormat="1" applyFont="1" applyFill="1" applyBorder="1" applyAlignment="1" applyProtection="1"/>
    <xf numFmtId="171" fontId="26" fillId="0" borderId="127" xfId="14" applyNumberFormat="1" applyFont="1" applyFill="1" applyBorder="1" applyAlignment="1" applyProtection="1"/>
    <xf numFmtId="171" fontId="26" fillId="0" borderId="0" xfId="14" applyNumberFormat="1" applyFont="1" applyFill="1" applyBorder="1" applyAlignment="1" applyProtection="1"/>
    <xf numFmtId="0" fontId="17" fillId="0" borderId="127" xfId="1034" applyFont="1" applyBorder="1"/>
    <xf numFmtId="171" fontId="17" fillId="0" borderId="127" xfId="14" applyNumberFormat="1" applyFont="1" applyBorder="1"/>
    <xf numFmtId="171" fontId="17" fillId="0" borderId="0" xfId="14" applyNumberFormat="1" applyFont="1" applyBorder="1"/>
    <xf numFmtId="171" fontId="18" fillId="0" borderId="0" xfId="14" applyNumberFormat="1" applyFont="1"/>
    <xf numFmtId="0" fontId="26" fillId="5" borderId="127" xfId="1034" applyFont="1" applyFill="1" applyBorder="1"/>
    <xf numFmtId="171" fontId="26" fillId="5" borderId="127" xfId="14" applyNumberFormat="1" applyFont="1" applyFill="1" applyBorder="1" applyAlignment="1" applyProtection="1"/>
    <xf numFmtId="171" fontId="26" fillId="5" borderId="0" xfId="14" applyNumberFormat="1" applyFont="1" applyFill="1" applyBorder="1" applyAlignment="1" applyProtection="1"/>
    <xf numFmtId="0" fontId="25" fillId="5" borderId="127" xfId="1034" applyFont="1" applyFill="1" applyBorder="1"/>
    <xf numFmtId="1" fontId="16" fillId="0" borderId="119" xfId="4" applyNumberFormat="1" applyFont="1" applyBorder="1" applyAlignment="1" applyProtection="1">
      <alignment horizontal="center" vertical="center"/>
      <protection locked="0"/>
    </xf>
    <xf numFmtId="1" fontId="16" fillId="0" borderId="25" xfId="4" applyNumberFormat="1" applyFont="1" applyBorder="1" applyAlignment="1" applyProtection="1">
      <alignment horizontal="center" vertical="center"/>
      <protection locked="0"/>
    </xf>
    <xf numFmtId="0" fontId="21" fillId="6" borderId="108" xfId="43" applyFont="1" applyFill="1" applyBorder="1" applyAlignment="1">
      <alignment vertical="center"/>
    </xf>
    <xf numFmtId="195" fontId="21" fillId="0" borderId="0" xfId="14" applyNumberFormat="1" applyFont="1" applyAlignment="1">
      <alignment vertical="center"/>
    </xf>
    <xf numFmtId="195" fontId="21" fillId="0" borderId="108" xfId="14" applyNumberFormat="1" applyFont="1" applyBorder="1" applyAlignment="1">
      <alignment vertical="center"/>
    </xf>
    <xf numFmtId="195" fontId="28" fillId="6" borderId="108" xfId="14" applyNumberFormat="1" applyFont="1" applyFill="1" applyBorder="1" applyAlignment="1">
      <alignment vertical="center"/>
    </xf>
    <xf numFmtId="171" fontId="29" fillId="4" borderId="14" xfId="14" applyNumberFormat="1" applyFont="1" applyFill="1" applyBorder="1" applyAlignment="1" applyProtection="1">
      <alignment vertical="center"/>
    </xf>
    <xf numFmtId="171" fontId="14" fillId="11" borderId="62" xfId="14" applyNumberFormat="1" applyFont="1" applyFill="1" applyBorder="1" applyAlignment="1" applyProtection="1">
      <alignment horizontal="left" vertical="center"/>
      <protection locked="0"/>
    </xf>
    <xf numFmtId="171" fontId="14" fillId="11" borderId="128" xfId="14" applyNumberFormat="1" applyFont="1" applyFill="1" applyBorder="1" applyAlignment="1" applyProtection="1">
      <alignment horizontal="left" vertical="center"/>
      <protection locked="0"/>
    </xf>
    <xf numFmtId="171" fontId="14" fillId="6" borderId="108" xfId="14" applyNumberFormat="1" applyFont="1" applyFill="1" applyBorder="1" applyAlignment="1" applyProtection="1">
      <alignment vertical="center" wrapText="1"/>
    </xf>
    <xf numFmtId="171" fontId="16" fillId="97" borderId="108" xfId="14" applyNumberFormat="1" applyFont="1" applyFill="1" applyBorder="1" applyAlignment="1">
      <alignment vertical="center"/>
    </xf>
    <xf numFmtId="171" fontId="16" fillId="0" borderId="108" xfId="14" applyNumberFormat="1" applyFont="1" applyFill="1" applyBorder="1" applyAlignment="1">
      <alignment vertical="center"/>
    </xf>
    <xf numFmtId="171" fontId="13" fillId="4" borderId="108" xfId="14" applyNumberFormat="1" applyFont="1" applyFill="1" applyBorder="1" applyAlignment="1" applyProtection="1">
      <alignment vertical="center"/>
    </xf>
    <xf numFmtId="171" fontId="4" fillId="0" borderId="108" xfId="14" applyNumberFormat="1" applyFont="1" applyFill="1" applyBorder="1" applyAlignment="1" applyProtection="1">
      <alignment vertical="center"/>
    </xf>
    <xf numFmtId="171" fontId="19" fillId="6" borderId="118" xfId="14" applyNumberFormat="1" applyFont="1" applyFill="1" applyBorder="1" applyAlignment="1">
      <alignment vertical="center"/>
    </xf>
    <xf numFmtId="171" fontId="13" fillId="4" borderId="116" xfId="14" applyNumberFormat="1" applyFont="1" applyFill="1" applyBorder="1" applyAlignment="1" applyProtection="1">
      <alignment vertical="center"/>
      <protection locked="0" hidden="1"/>
    </xf>
    <xf numFmtId="171" fontId="13" fillId="4" borderId="122" xfId="14" applyNumberFormat="1" applyFont="1" applyFill="1" applyBorder="1" applyAlignment="1" applyProtection="1">
      <alignment vertical="center"/>
      <protection locked="0" hidden="1"/>
    </xf>
    <xf numFmtId="3" fontId="25" fillId="0" borderId="0" xfId="4" applyNumberFormat="1" applyFont="1" applyAlignment="1">
      <alignment vertical="center"/>
    </xf>
    <xf numFmtId="1" fontId="16" fillId="0" borderId="25" xfId="4" applyNumberFormat="1" applyFont="1" applyBorder="1" applyAlignment="1" applyProtection="1">
      <alignment vertical="center"/>
      <protection locked="0"/>
    </xf>
    <xf numFmtId="1" fontId="16" fillId="0" borderId="26" xfId="4" applyNumberFormat="1" applyFont="1" applyBorder="1" applyAlignment="1" applyProtection="1">
      <alignment vertical="center"/>
      <protection locked="0"/>
    </xf>
    <xf numFmtId="169" fontId="16" fillId="0" borderId="107" xfId="4" applyNumberFormat="1" applyFont="1" applyBorder="1" applyAlignment="1" applyProtection="1">
      <alignment vertical="center"/>
      <protection locked="0"/>
    </xf>
    <xf numFmtId="0" fontId="16" fillId="0" borderId="110" xfId="4" applyFont="1" applyBorder="1" applyAlignment="1" applyProtection="1">
      <alignment vertical="center"/>
      <protection locked="0"/>
    </xf>
    <xf numFmtId="171" fontId="17" fillId="0" borderId="115" xfId="385" applyNumberFormat="1" applyFont="1" applyBorder="1" applyAlignment="1">
      <alignment horizontal="center" vertical="center"/>
    </xf>
    <xf numFmtId="171" fontId="0" fillId="0" borderId="110" xfId="385" applyNumberFormat="1" applyFont="1" applyBorder="1" applyAlignment="1">
      <alignment vertical="center"/>
    </xf>
    <xf numFmtId="171" fontId="0" fillId="0" borderId="116" xfId="385" applyNumberFormat="1" applyFont="1" applyBorder="1" applyAlignment="1">
      <alignment vertical="center"/>
    </xf>
    <xf numFmtId="171" fontId="0" fillId="0" borderId="108" xfId="385" applyNumberFormat="1" applyFont="1" applyBorder="1" applyAlignment="1">
      <alignment vertical="center"/>
    </xf>
    <xf numFmtId="0" fontId="4" fillId="0" borderId="0" xfId="1045" applyAlignment="1">
      <alignment vertical="center"/>
    </xf>
    <xf numFmtId="0" fontId="4" fillId="0" borderId="108" xfId="1045" applyBorder="1" applyAlignment="1">
      <alignment vertical="center"/>
    </xf>
    <xf numFmtId="0" fontId="4" fillId="0" borderId="108" xfId="1045" applyBorder="1" applyAlignment="1">
      <alignment horizontal="left" vertical="center"/>
    </xf>
    <xf numFmtId="171" fontId="0" fillId="6" borderId="108" xfId="385" applyNumberFormat="1" applyFont="1" applyFill="1" applyBorder="1" applyAlignment="1">
      <alignment vertical="center"/>
    </xf>
    <xf numFmtId="171" fontId="0" fillId="6" borderId="110" xfId="385" applyNumberFormat="1" applyFont="1" applyFill="1" applyBorder="1" applyAlignment="1">
      <alignment vertical="center"/>
    </xf>
    <xf numFmtId="171" fontId="4" fillId="0" borderId="0" xfId="1045" applyNumberFormat="1" applyAlignment="1">
      <alignment vertical="center"/>
    </xf>
    <xf numFmtId="170" fontId="4" fillId="0" borderId="0" xfId="1045" applyNumberFormat="1" applyAlignment="1">
      <alignment vertical="center"/>
    </xf>
    <xf numFmtId="171" fontId="0" fillId="0" borderId="0" xfId="385" applyNumberFormat="1" applyFont="1" applyAlignment="1">
      <alignment vertical="center"/>
    </xf>
    <xf numFmtId="0" fontId="14" fillId="6" borderId="108" xfId="1045" applyFont="1" applyFill="1" applyBorder="1" applyAlignment="1">
      <alignment vertical="center"/>
    </xf>
    <xf numFmtId="171" fontId="43" fillId="6" borderId="108" xfId="385" applyNumberFormat="1" applyFont="1" applyFill="1" applyBorder="1" applyAlignment="1">
      <alignment vertical="center"/>
    </xf>
    <xf numFmtId="169" fontId="19" fillId="11" borderId="58" xfId="4" applyNumberFormat="1" applyFont="1" applyFill="1" applyBorder="1" applyAlignment="1">
      <alignment vertical="center"/>
    </xf>
    <xf numFmtId="171" fontId="19" fillId="11" borderId="118" xfId="14" applyNumberFormat="1" applyFont="1" applyFill="1" applyBorder="1" applyAlignment="1">
      <alignment vertical="center"/>
    </xf>
    <xf numFmtId="169" fontId="19" fillId="11" borderId="118" xfId="4" applyNumberFormat="1" applyFont="1" applyFill="1" applyBorder="1" applyAlignment="1">
      <alignment vertical="center"/>
    </xf>
    <xf numFmtId="1" fontId="19" fillId="11" borderId="52" xfId="0" applyNumberFormat="1" applyFont="1" applyFill="1" applyBorder="1" applyAlignment="1" applyProtection="1">
      <alignment vertical="center"/>
      <protection locked="0" hidden="1"/>
    </xf>
    <xf numFmtId="171" fontId="19" fillId="11" borderId="59" xfId="14" applyNumberFormat="1" applyFont="1" applyFill="1" applyBorder="1" applyAlignment="1" applyProtection="1">
      <alignment vertical="center"/>
      <protection locked="0" hidden="1"/>
    </xf>
    <xf numFmtId="170" fontId="43" fillId="6" borderId="108" xfId="385" applyFont="1" applyFill="1" applyBorder="1" applyAlignment="1">
      <alignment vertical="center"/>
    </xf>
    <xf numFmtId="195" fontId="21" fillId="0" borderId="108" xfId="43" applyNumberFormat="1" applyFont="1" applyBorder="1" applyAlignment="1">
      <alignment vertical="center"/>
    </xf>
    <xf numFmtId="195" fontId="17" fillId="0" borderId="108" xfId="15" applyNumberFormat="1" applyFont="1" applyBorder="1" applyAlignment="1" applyProtection="1">
      <alignment vertical="center"/>
      <protection locked="0" hidden="1"/>
    </xf>
    <xf numFmtId="195" fontId="18" fillId="5" borderId="108" xfId="15" applyNumberFormat="1" applyFont="1" applyFill="1" applyBorder="1" applyAlignment="1" applyProtection="1">
      <alignment vertical="center"/>
      <protection locked="0" hidden="1"/>
    </xf>
    <xf numFmtId="0" fontId="17" fillId="0" borderId="0" xfId="1034" applyFont="1" applyAlignment="1">
      <alignment horizontal="center"/>
    </xf>
    <xf numFmtId="0" fontId="18" fillId="0" borderId="108" xfId="1034" applyFont="1" applyBorder="1" applyAlignment="1">
      <alignment horizontal="center" vertical="center"/>
    </xf>
    <xf numFmtId="0" fontId="17" fillId="0" borderId="108" xfId="1034" applyFont="1" applyBorder="1" applyAlignment="1">
      <alignment horizontal="center"/>
    </xf>
    <xf numFmtId="0" fontId="17" fillId="0" borderId="108" xfId="1034" applyFont="1" applyBorder="1"/>
    <xf numFmtId="0" fontId="17" fillId="0" borderId="0" xfId="1034" applyFont="1" applyAlignment="1">
      <alignment horizontal="center" vertical="center"/>
    </xf>
    <xf numFmtId="0" fontId="17" fillId="0" borderId="0" xfId="1034" applyFont="1" applyAlignment="1">
      <alignment vertical="center"/>
    </xf>
    <xf numFmtId="0" fontId="17" fillId="0" borderId="108" xfId="1034" applyFont="1" applyBorder="1" applyAlignment="1">
      <alignment vertical="center"/>
    </xf>
    <xf numFmtId="171" fontId="17" fillId="0" borderId="108" xfId="14" applyNumberFormat="1" applyFont="1" applyBorder="1" applyAlignment="1">
      <alignment vertical="center"/>
    </xf>
    <xf numFmtId="171" fontId="18" fillId="0" borderId="0" xfId="1034" applyNumberFormat="1" applyFont="1" applyAlignment="1">
      <alignment vertical="center"/>
    </xf>
    <xf numFmtId="0" fontId="17" fillId="0" borderId="0" xfId="1034" applyFont="1" applyAlignment="1">
      <alignment horizontal="left" vertical="center"/>
    </xf>
    <xf numFmtId="171" fontId="17" fillId="0" borderId="0" xfId="14" applyNumberFormat="1" applyFont="1" applyAlignment="1">
      <alignment vertical="center"/>
    </xf>
    <xf numFmtId="0" fontId="18" fillId="0" borderId="0" xfId="1034" applyFont="1" applyAlignment="1">
      <alignment vertical="center"/>
    </xf>
    <xf numFmtId="171" fontId="18" fillId="0" borderId="0" xfId="14" applyNumberFormat="1" applyFont="1" applyAlignment="1">
      <alignment vertical="center"/>
    </xf>
    <xf numFmtId="304" fontId="17" fillId="42" borderId="108" xfId="1034" applyNumberFormat="1" applyFont="1" applyFill="1" applyBorder="1" applyAlignment="1">
      <alignment horizontal="center" vertical="center" wrapText="1"/>
    </xf>
    <xf numFmtId="0" fontId="17" fillId="0" borderId="108" xfId="1034" applyFont="1" applyBorder="1" applyAlignment="1">
      <alignment horizontal="center" vertical="center" wrapText="1"/>
    </xf>
    <xf numFmtId="0" fontId="220" fillId="42" borderId="108" xfId="1034" applyFont="1" applyFill="1" applyBorder="1" applyAlignment="1">
      <alignment horizontal="left" vertical="center" wrapText="1"/>
    </xf>
    <xf numFmtId="0" fontId="17" fillId="0" borderId="0" xfId="1034" applyFont="1" applyAlignment="1">
      <alignment horizontal="left"/>
    </xf>
    <xf numFmtId="0" fontId="17" fillId="0" borderId="108" xfId="1034" applyFont="1" applyBorder="1" applyAlignment="1">
      <alignment horizontal="left" vertical="center" wrapText="1"/>
    </xf>
    <xf numFmtId="0" fontId="18" fillId="6" borderId="108" xfId="1034" applyFont="1" applyFill="1" applyBorder="1" applyAlignment="1">
      <alignment vertical="center"/>
    </xf>
    <xf numFmtId="170" fontId="17" fillId="42" borderId="108" xfId="14" applyFont="1" applyFill="1" applyBorder="1" applyAlignment="1">
      <alignment horizontal="center" vertical="center" wrapText="1"/>
    </xf>
    <xf numFmtId="170" fontId="17" fillId="42" borderId="108" xfId="14" applyFont="1" applyFill="1" applyBorder="1" applyAlignment="1">
      <alignment horizontal="center" vertical="center"/>
    </xf>
    <xf numFmtId="170" fontId="17" fillId="0" borderId="108" xfId="14" applyFont="1" applyFill="1" applyBorder="1" applyAlignment="1">
      <alignment horizontal="center" vertical="center"/>
    </xf>
    <xf numFmtId="0" fontId="18" fillId="6" borderId="108" xfId="1034" applyFont="1" applyFill="1" applyBorder="1" applyAlignment="1">
      <alignment horizontal="left" vertical="center"/>
    </xf>
    <xf numFmtId="0" fontId="18" fillId="0" borderId="0" xfId="1034" applyFont="1" applyAlignment="1">
      <alignment horizontal="center"/>
    </xf>
    <xf numFmtId="0" fontId="17" fillId="0" borderId="108" xfId="1034" applyFont="1" applyBorder="1" applyAlignment="1">
      <alignment vertical="center" wrapText="1"/>
    </xf>
    <xf numFmtId="0" fontId="24" fillId="101" borderId="108" xfId="1034" applyFont="1" applyFill="1" applyBorder="1" applyAlignment="1">
      <alignment horizontal="center" vertical="center"/>
    </xf>
    <xf numFmtId="170" fontId="17" fillId="42" borderId="108" xfId="1034" applyNumberFormat="1" applyFont="1" applyFill="1" applyBorder="1" applyAlignment="1">
      <alignment horizontal="left" vertical="center" wrapText="1"/>
    </xf>
    <xf numFmtId="170" fontId="17" fillId="0" borderId="108" xfId="1034" applyNumberFormat="1" applyFont="1" applyBorder="1" applyAlignment="1">
      <alignment horizontal="left" vertical="center" wrapText="1"/>
    </xf>
    <xf numFmtId="0" fontId="17" fillId="9" borderId="0" xfId="1034" applyFont="1" applyFill="1" applyAlignment="1">
      <alignment vertical="center"/>
    </xf>
    <xf numFmtId="0" fontId="17" fillId="0" borderId="0" xfId="1034" applyFont="1" applyAlignment="1">
      <alignment vertical="center" wrapText="1"/>
    </xf>
    <xf numFmtId="170" fontId="17" fillId="0" borderId="0" xfId="14" applyFont="1" applyBorder="1" applyAlignment="1">
      <alignment horizontal="center" vertical="center" wrapText="1"/>
    </xf>
    <xf numFmtId="170" fontId="24" fillId="101" borderId="108" xfId="14" applyFont="1" applyFill="1" applyBorder="1" applyAlignment="1">
      <alignment horizontal="center" vertical="center" wrapText="1"/>
    </xf>
    <xf numFmtId="170" fontId="17" fillId="0" borderId="108" xfId="14" applyFont="1" applyBorder="1" applyAlignment="1">
      <alignment horizontal="center" vertical="center" wrapText="1"/>
    </xf>
    <xf numFmtId="170" fontId="17" fillId="0" borderId="0" xfId="14" applyFont="1" applyAlignment="1">
      <alignment horizontal="center" vertical="center" wrapText="1"/>
    </xf>
    <xf numFmtId="0" fontId="17" fillId="0" borderId="0" xfId="1034" applyFont="1" applyAlignment="1">
      <alignment horizontal="center" vertical="center" wrapText="1"/>
    </xf>
    <xf numFmtId="195" fontId="17" fillId="0" borderId="0" xfId="14" applyNumberFormat="1" applyFont="1" applyAlignment="1">
      <alignment vertical="center" wrapText="1"/>
    </xf>
    <xf numFmtId="170" fontId="17" fillId="0" borderId="108" xfId="1034" applyNumberFormat="1" applyFont="1" applyBorder="1" applyAlignment="1">
      <alignment vertical="center" wrapText="1"/>
    </xf>
    <xf numFmtId="2" fontId="18" fillId="6" borderId="108" xfId="1034" applyNumberFormat="1" applyFont="1" applyFill="1" applyBorder="1" applyAlignment="1">
      <alignment horizontal="left" vertical="center"/>
    </xf>
    <xf numFmtId="170" fontId="18" fillId="6" borderId="108" xfId="14" applyFont="1" applyFill="1" applyBorder="1" applyAlignment="1">
      <alignment horizontal="center" vertical="center" wrapText="1"/>
    </xf>
    <xf numFmtId="2" fontId="17" fillId="0" borderId="108" xfId="14" applyNumberFormat="1" applyFont="1" applyBorder="1" applyAlignment="1">
      <alignment horizontal="center" vertical="center" wrapText="1"/>
    </xf>
    <xf numFmtId="0" fontId="23" fillId="10" borderId="108" xfId="1034" applyFont="1" applyFill="1" applyBorder="1" applyAlignment="1">
      <alignment horizontal="left" vertical="center"/>
    </xf>
    <xf numFmtId="0" fontId="23" fillId="10" borderId="108" xfId="1034" applyFont="1" applyFill="1" applyBorder="1" applyAlignment="1">
      <alignment horizontal="center" vertical="center" wrapText="1"/>
    </xf>
    <xf numFmtId="195" fontId="23" fillId="10" borderId="108" xfId="14" applyNumberFormat="1" applyFont="1" applyFill="1" applyBorder="1" applyAlignment="1">
      <alignment vertical="center" wrapText="1"/>
    </xf>
    <xf numFmtId="171" fontId="17" fillId="9" borderId="0" xfId="14" applyNumberFormat="1" applyFont="1" applyFill="1" applyAlignment="1">
      <alignment vertical="center"/>
    </xf>
    <xf numFmtId="0" fontId="29" fillId="4" borderId="21" xfId="4" applyFont="1" applyFill="1" applyBorder="1" applyAlignment="1" applyProtection="1">
      <alignment vertical="center"/>
      <protection locked="0" hidden="1"/>
    </xf>
    <xf numFmtId="0" fontId="29" fillId="4" borderId="14" xfId="4" applyFont="1" applyFill="1" applyBorder="1" applyAlignment="1" applyProtection="1">
      <alignment vertical="center"/>
      <protection locked="0" hidden="1"/>
    </xf>
    <xf numFmtId="0" fontId="29" fillId="4" borderId="22" xfId="4" applyFont="1" applyFill="1" applyBorder="1" applyAlignment="1" applyProtection="1">
      <alignment vertical="center"/>
      <protection locked="0" hidden="1"/>
    </xf>
    <xf numFmtId="0" fontId="10" fillId="9" borderId="1" xfId="4" applyFont="1" applyFill="1" applyBorder="1" applyAlignment="1">
      <alignment horizontal="center" vertical="center"/>
    </xf>
    <xf numFmtId="0" fontId="18" fillId="11" borderId="8" xfId="4" applyFont="1" applyFill="1" applyBorder="1" applyAlignment="1" applyProtection="1">
      <alignment horizontal="left" vertical="center" wrapText="1"/>
      <protection locked="0" hidden="1"/>
    </xf>
    <xf numFmtId="0" fontId="10" fillId="0" borderId="105" xfId="4" applyFont="1" applyBorder="1" applyAlignment="1">
      <alignment horizontal="left" vertical="center"/>
    </xf>
    <xf numFmtId="2" fontId="10" fillId="0" borderId="119" xfId="4" applyNumberFormat="1" applyFont="1" applyBorder="1" applyAlignment="1">
      <alignment horizontal="center" vertical="center"/>
    </xf>
    <xf numFmtId="175" fontId="9" fillId="0" borderId="119" xfId="4" applyNumberFormat="1" applyFont="1" applyBorder="1" applyAlignment="1">
      <alignment vertical="center"/>
    </xf>
    <xf numFmtId="175" fontId="9" fillId="6" borderId="106" xfId="4" applyNumberFormat="1" applyFont="1" applyFill="1" applyBorder="1" applyAlignment="1">
      <alignment vertical="center"/>
    </xf>
    <xf numFmtId="0" fontId="17" fillId="5" borderId="108" xfId="1034" applyFont="1" applyFill="1" applyBorder="1" applyAlignment="1">
      <alignment horizontal="left" vertical="center" wrapText="1"/>
    </xf>
    <xf numFmtId="170" fontId="17" fillId="5" borderId="108" xfId="1034" applyNumberFormat="1" applyFont="1" applyFill="1" applyBorder="1" applyAlignment="1">
      <alignment horizontal="left" vertical="center" wrapText="1"/>
    </xf>
    <xf numFmtId="304" fontId="17" fillId="5" borderId="108" xfId="1034" applyNumberFormat="1" applyFont="1" applyFill="1" applyBorder="1" applyAlignment="1">
      <alignment horizontal="center" vertical="center" wrapText="1"/>
    </xf>
    <xf numFmtId="170" fontId="17" fillId="5" borderId="108" xfId="14" applyFont="1" applyFill="1" applyBorder="1" applyAlignment="1">
      <alignment horizontal="center" vertical="center" wrapText="1"/>
    </xf>
    <xf numFmtId="0" fontId="17" fillId="93" borderId="108" xfId="1034" applyFont="1" applyFill="1" applyBorder="1" applyAlignment="1">
      <alignment horizontal="left" vertical="center" wrapText="1"/>
    </xf>
    <xf numFmtId="170" fontId="17" fillId="93" borderId="108" xfId="1034" applyNumberFormat="1" applyFont="1" applyFill="1" applyBorder="1" applyAlignment="1">
      <alignment horizontal="left" vertical="center" wrapText="1"/>
    </xf>
    <xf numFmtId="304" fontId="17" fillId="93" borderId="108" xfId="1034" applyNumberFormat="1" applyFont="1" applyFill="1" applyBorder="1" applyAlignment="1">
      <alignment horizontal="center" vertical="center" wrapText="1"/>
    </xf>
    <xf numFmtId="170" fontId="17" fillId="93" borderId="108" xfId="14" applyFont="1" applyFill="1" applyBorder="1" applyAlignment="1">
      <alignment horizontal="center" vertical="center" wrapText="1"/>
    </xf>
    <xf numFmtId="195" fontId="24" fillId="96" borderId="108" xfId="14" applyNumberFormat="1" applyFont="1" applyFill="1" applyBorder="1" applyAlignment="1">
      <alignment horizontal="center" vertical="center"/>
    </xf>
    <xf numFmtId="195" fontId="23" fillId="96" borderId="108" xfId="14" applyNumberFormat="1" applyFont="1" applyFill="1" applyBorder="1" applyAlignment="1">
      <alignment vertical="center"/>
    </xf>
    <xf numFmtId="195" fontId="28" fillId="103" borderId="0" xfId="14" applyNumberFormat="1" applyFont="1" applyFill="1" applyAlignment="1">
      <alignment vertical="center"/>
    </xf>
    <xf numFmtId="171" fontId="28" fillId="0" borderId="0" xfId="14" applyNumberFormat="1" applyFont="1" applyAlignment="1">
      <alignment vertical="center"/>
    </xf>
    <xf numFmtId="171" fontId="24" fillId="96" borderId="0" xfId="14" applyNumberFormat="1" applyFont="1" applyFill="1" applyAlignment="1">
      <alignment vertical="center"/>
    </xf>
    <xf numFmtId="170" fontId="21" fillId="0" borderId="0" xfId="43" applyNumberFormat="1" applyFont="1" applyAlignment="1">
      <alignment vertical="center"/>
    </xf>
    <xf numFmtId="170" fontId="40" fillId="9" borderId="124" xfId="14" applyFont="1" applyFill="1" applyBorder="1" applyAlignment="1" applyProtection="1">
      <alignment horizontal="right" vertical="center"/>
      <protection locked="0" hidden="1"/>
    </xf>
    <xf numFmtId="170" fontId="40" fillId="9" borderId="129" xfId="14" applyFont="1" applyFill="1" applyBorder="1" applyAlignment="1" applyProtection="1">
      <alignment horizontal="right" vertical="center"/>
      <protection locked="0" hidden="1"/>
    </xf>
    <xf numFmtId="0" fontId="40" fillId="0" borderId="0" xfId="20" applyFont="1" applyAlignment="1" applyProtection="1">
      <alignment vertical="center"/>
      <protection locked="0" hidden="1"/>
    </xf>
    <xf numFmtId="0" fontId="213" fillId="94" borderId="8" xfId="20" applyFont="1" applyFill="1" applyBorder="1" applyAlignment="1" applyProtection="1">
      <alignment horizontal="left" vertical="center" wrapText="1"/>
      <protection locked="0" hidden="1"/>
    </xf>
    <xf numFmtId="0" fontId="217" fillId="0" borderId="0" xfId="1354" applyFont="1" applyFill="1" applyAlignment="1" applyProtection="1">
      <alignment horizontal="center" vertical="center"/>
      <protection locked="0" hidden="1"/>
    </xf>
    <xf numFmtId="177" fontId="40" fillId="0" borderId="107" xfId="20" applyNumberFormat="1" applyFont="1" applyBorder="1" applyAlignment="1" applyProtection="1">
      <alignment vertical="center"/>
      <protection locked="0" hidden="1"/>
    </xf>
    <xf numFmtId="2" fontId="40" fillId="0" borderId="0" xfId="20" applyNumberFormat="1" applyFont="1" applyAlignment="1" applyProtection="1">
      <alignment vertical="center"/>
      <protection locked="0" hidden="1"/>
    </xf>
    <xf numFmtId="0" fontId="214" fillId="6" borderId="8" xfId="1269" applyNumberFormat="1" applyFont="1" applyFill="1" applyBorder="1" applyAlignment="1" applyProtection="1">
      <alignment vertical="center"/>
      <protection locked="0" hidden="1"/>
    </xf>
    <xf numFmtId="177" fontId="40" fillId="9" borderId="1" xfId="23" applyFont="1" applyFill="1" applyBorder="1" applyAlignment="1" applyProtection="1">
      <alignment vertical="center"/>
      <protection locked="0" hidden="1"/>
    </xf>
    <xf numFmtId="177" fontId="40" fillId="9" borderId="0" xfId="23" applyFont="1" applyFill="1" applyBorder="1" applyAlignment="1" applyProtection="1">
      <alignment vertical="center"/>
      <protection locked="0" hidden="1"/>
    </xf>
    <xf numFmtId="0" fontId="40" fillId="9" borderId="0" xfId="20" applyFont="1" applyFill="1" applyAlignment="1" applyProtection="1">
      <alignment vertical="center"/>
      <protection locked="0" hidden="1"/>
    </xf>
    <xf numFmtId="0" fontId="40" fillId="9" borderId="15" xfId="20" applyFont="1" applyFill="1" applyBorder="1" applyAlignment="1" applyProtection="1">
      <alignment vertical="center"/>
      <protection locked="0" hidden="1"/>
    </xf>
    <xf numFmtId="0" fontId="27" fillId="9" borderId="1" xfId="20" applyFont="1" applyFill="1" applyBorder="1" applyAlignment="1" applyProtection="1">
      <alignment vertical="center"/>
      <protection locked="0" hidden="1"/>
    </xf>
    <xf numFmtId="0" fontId="40" fillId="9" borderId="1" xfId="20" applyFont="1" applyFill="1" applyBorder="1" applyAlignment="1" applyProtection="1">
      <alignment vertical="center"/>
      <protection locked="0" hidden="1"/>
    </xf>
    <xf numFmtId="9" fontId="27" fillId="9" borderId="0" xfId="20" applyNumberFormat="1" applyFont="1" applyFill="1" applyAlignment="1" applyProtection="1">
      <alignment horizontal="center" vertical="center"/>
      <protection locked="0" hidden="1"/>
    </xf>
    <xf numFmtId="0" fontId="27" fillId="12" borderId="23" xfId="20" applyFont="1" applyFill="1" applyBorder="1" applyAlignment="1" applyProtection="1">
      <alignment vertical="center"/>
      <protection locked="0" hidden="1"/>
    </xf>
    <xf numFmtId="0" fontId="27" fillId="12" borderId="2" xfId="20" applyFont="1" applyFill="1" applyBorder="1" applyAlignment="1" applyProtection="1">
      <alignment horizontal="center" vertical="center"/>
      <protection locked="0" hidden="1"/>
    </xf>
    <xf numFmtId="0" fontId="27" fillId="12" borderId="24" xfId="20" applyFont="1" applyFill="1" applyBorder="1" applyAlignment="1" applyProtection="1">
      <alignment horizontal="center" vertical="center"/>
      <protection locked="0" hidden="1"/>
    </xf>
    <xf numFmtId="177" fontId="40" fillId="9" borderId="123" xfId="20" applyNumberFormat="1" applyFont="1" applyFill="1" applyBorder="1" applyAlignment="1" applyProtection="1">
      <alignment vertical="center"/>
      <protection locked="0" hidden="1"/>
    </xf>
    <xf numFmtId="177" fontId="27" fillId="9" borderId="125" xfId="20" applyNumberFormat="1" applyFont="1" applyFill="1" applyBorder="1" applyAlignment="1" applyProtection="1">
      <alignment vertical="center"/>
      <protection locked="0" hidden="1"/>
    </xf>
    <xf numFmtId="170" fontId="27" fillId="9" borderId="126" xfId="14" applyFont="1" applyFill="1" applyBorder="1" applyAlignment="1" applyProtection="1">
      <alignment vertical="center"/>
      <protection locked="0" hidden="1"/>
    </xf>
    <xf numFmtId="170" fontId="27" fillId="9" borderId="130" xfId="14" applyFont="1" applyFill="1" applyBorder="1" applyAlignment="1" applyProtection="1">
      <alignment vertical="center"/>
      <protection locked="0" hidden="1"/>
    </xf>
    <xf numFmtId="0" fontId="40" fillId="9" borderId="37" xfId="20" applyFont="1" applyFill="1" applyBorder="1" applyAlignment="1" applyProtection="1">
      <alignment vertical="center"/>
      <protection locked="0" hidden="1"/>
    </xf>
    <xf numFmtId="0" fontId="40" fillId="9" borderId="6" xfId="20" applyFont="1" applyFill="1" applyBorder="1" applyAlignment="1" applyProtection="1">
      <alignment vertical="center"/>
      <protection locked="0" hidden="1"/>
    </xf>
    <xf numFmtId="0" fontId="40" fillId="9" borderId="38" xfId="20" applyFont="1" applyFill="1" applyBorder="1" applyAlignment="1" applyProtection="1">
      <alignment vertical="center"/>
      <protection locked="0" hidden="1"/>
    </xf>
    <xf numFmtId="0" fontId="40" fillId="0" borderId="23" xfId="20" applyFont="1" applyBorder="1" applyAlignment="1" applyProtection="1">
      <alignment vertical="center"/>
      <protection locked="0" hidden="1"/>
    </xf>
    <xf numFmtId="9" fontId="40" fillId="95" borderId="2" xfId="20" applyNumberFormat="1" applyFont="1" applyFill="1" applyBorder="1" applyAlignment="1" applyProtection="1">
      <alignment vertical="center"/>
      <protection locked="0" hidden="1"/>
    </xf>
    <xf numFmtId="0" fontId="40" fillId="0" borderId="2" xfId="20" applyFont="1" applyBorder="1" applyAlignment="1" applyProtection="1">
      <alignment vertical="center"/>
      <protection locked="0" hidden="1"/>
    </xf>
    <xf numFmtId="0" fontId="40" fillId="0" borderId="24" xfId="20" applyFont="1" applyBorder="1" applyAlignment="1" applyProtection="1">
      <alignment vertical="center"/>
      <protection locked="0" hidden="1"/>
    </xf>
    <xf numFmtId="0" fontId="40" fillId="0" borderId="1" xfId="20" applyFont="1" applyBorder="1" applyAlignment="1" applyProtection="1">
      <alignment vertical="center"/>
      <protection locked="0" hidden="1"/>
    </xf>
    <xf numFmtId="9" fontId="40" fillId="0" borderId="0" xfId="20" applyNumberFormat="1" applyFont="1" applyAlignment="1" applyProtection="1">
      <alignment vertical="center"/>
      <protection locked="0" hidden="1"/>
    </xf>
    <xf numFmtId="0" fontId="40" fillId="0" borderId="15" xfId="20" applyFont="1" applyBorder="1" applyAlignment="1" applyProtection="1">
      <alignment vertical="center"/>
      <protection locked="0" hidden="1"/>
    </xf>
    <xf numFmtId="2" fontId="40" fillId="95" borderId="0" xfId="20" applyNumberFormat="1" applyFont="1" applyFill="1" applyAlignment="1" applyProtection="1">
      <alignment vertical="center"/>
      <protection locked="0" hidden="1"/>
    </xf>
    <xf numFmtId="2" fontId="40" fillId="0" borderId="15" xfId="20" applyNumberFormat="1" applyFont="1" applyBorder="1" applyAlignment="1" applyProtection="1">
      <alignment vertical="center"/>
      <protection locked="0" hidden="1"/>
    </xf>
    <xf numFmtId="301" fontId="40" fillId="0" borderId="0" xfId="20" applyNumberFormat="1" applyFont="1" applyAlignment="1" applyProtection="1">
      <alignment vertical="center"/>
      <protection locked="0" hidden="1"/>
    </xf>
    <xf numFmtId="301" fontId="40" fillId="0" borderId="15" xfId="20" applyNumberFormat="1" applyFont="1" applyBorder="1" applyAlignment="1" applyProtection="1">
      <alignment vertical="center"/>
      <protection locked="0" hidden="1"/>
    </xf>
    <xf numFmtId="0" fontId="40" fillId="0" borderId="37" xfId="20" applyFont="1" applyBorder="1" applyAlignment="1" applyProtection="1">
      <alignment vertical="center"/>
      <protection locked="0" hidden="1"/>
    </xf>
    <xf numFmtId="301" fontId="40" fillId="0" borderId="6" xfId="20" applyNumberFormat="1" applyFont="1" applyBorder="1" applyAlignment="1" applyProtection="1">
      <alignment vertical="center"/>
      <protection locked="0" hidden="1"/>
    </xf>
    <xf numFmtId="301" fontId="40" fillId="0" borderId="38" xfId="20" applyNumberFormat="1" applyFont="1" applyBorder="1" applyAlignment="1" applyProtection="1">
      <alignment vertical="center"/>
      <protection locked="0" hidden="1"/>
    </xf>
    <xf numFmtId="0" fontId="27" fillId="12" borderId="2" xfId="20" applyFont="1" applyFill="1" applyBorder="1" applyAlignment="1" applyProtection="1">
      <alignment vertical="center"/>
      <protection locked="0" hidden="1"/>
    </xf>
    <xf numFmtId="0" fontId="27" fillId="12" borderId="24" xfId="20" applyFont="1" applyFill="1" applyBorder="1" applyAlignment="1" applyProtection="1">
      <alignment vertical="center"/>
      <protection locked="0" hidden="1"/>
    </xf>
    <xf numFmtId="168" fontId="40" fillId="0" borderId="0" xfId="20" applyNumberFormat="1" applyFont="1" applyAlignment="1" applyProtection="1">
      <alignment vertical="center"/>
      <protection locked="0" hidden="1"/>
    </xf>
    <xf numFmtId="168" fontId="40" fillId="0" borderId="15" xfId="20" applyNumberFormat="1" applyFont="1" applyBorder="1" applyAlignment="1" applyProtection="1">
      <alignment vertical="center"/>
      <protection locked="0" hidden="1"/>
    </xf>
    <xf numFmtId="168" fontId="40" fillId="0" borderId="6" xfId="20" applyNumberFormat="1" applyFont="1" applyBorder="1" applyAlignment="1" applyProtection="1">
      <alignment vertical="center"/>
      <protection locked="0" hidden="1"/>
    </xf>
    <xf numFmtId="168" fontId="40" fillId="0" borderId="38" xfId="20" applyNumberFormat="1" applyFont="1" applyBorder="1" applyAlignment="1" applyProtection="1">
      <alignment vertical="center"/>
      <protection locked="0" hidden="1"/>
    </xf>
    <xf numFmtId="0" fontId="27" fillId="0" borderId="21" xfId="20" applyFont="1" applyBorder="1" applyAlignment="1" applyProtection="1">
      <alignment vertical="center"/>
      <protection locked="0" hidden="1"/>
    </xf>
    <xf numFmtId="168" fontId="215" fillId="4" borderId="14" xfId="20" applyNumberFormat="1" applyFont="1" applyFill="1" applyBorder="1" applyAlignment="1" applyProtection="1">
      <alignment vertical="center"/>
      <protection locked="0" hidden="1"/>
    </xf>
    <xf numFmtId="168" fontId="40" fillId="0" borderId="14" xfId="20" applyNumberFormat="1" applyFont="1" applyBorder="1" applyAlignment="1" applyProtection="1">
      <alignment vertical="center"/>
      <protection locked="0" hidden="1"/>
    </xf>
    <xf numFmtId="168" fontId="40" fillId="0" borderId="22" xfId="20" applyNumberFormat="1" applyFont="1" applyBorder="1" applyAlignment="1" applyProtection="1">
      <alignment vertical="center"/>
      <protection locked="0" hidden="1"/>
    </xf>
    <xf numFmtId="0" fontId="32" fillId="0" borderId="0" xfId="16" applyFont="1" applyAlignment="1" applyProtection="1">
      <alignment vertical="center"/>
      <protection locked="0" hidden="1"/>
    </xf>
    <xf numFmtId="0" fontId="17" fillId="9" borderId="23" xfId="16" applyFont="1" applyFill="1" applyBorder="1" applyAlignment="1" applyProtection="1">
      <alignment vertical="center"/>
      <protection locked="0" hidden="1"/>
    </xf>
    <xf numFmtId="0" fontId="17" fillId="0" borderId="0" xfId="16" applyFont="1" applyAlignment="1" applyProtection="1">
      <alignment vertical="center"/>
      <protection locked="0" hidden="1"/>
    </xf>
    <xf numFmtId="0" fontId="17" fillId="9" borderId="1" xfId="16" applyFont="1" applyFill="1" applyBorder="1" applyAlignment="1" applyProtection="1">
      <alignment vertical="center"/>
      <protection locked="0" hidden="1"/>
    </xf>
    <xf numFmtId="0" fontId="32" fillId="9" borderId="1" xfId="16" applyFont="1" applyFill="1" applyBorder="1" applyAlignment="1" applyProtection="1">
      <alignment vertical="center"/>
      <protection locked="0" hidden="1"/>
    </xf>
    <xf numFmtId="0" fontId="30" fillId="6" borderId="31" xfId="16" applyFont="1" applyFill="1" applyBorder="1" applyAlignment="1" applyProtection="1">
      <alignment horizontal="left" vertical="center"/>
      <protection locked="0" hidden="1"/>
    </xf>
    <xf numFmtId="168" fontId="31" fillId="15" borderId="28" xfId="16" applyNumberFormat="1" applyFont="1" applyFill="1" applyBorder="1" applyAlignment="1" applyProtection="1">
      <alignment vertical="center"/>
      <protection locked="0" hidden="1"/>
    </xf>
    <xf numFmtId="0" fontId="30" fillId="6" borderId="8" xfId="16" applyFont="1" applyFill="1" applyBorder="1" applyAlignment="1" applyProtection="1">
      <alignment horizontal="left" vertical="center"/>
      <protection locked="0" hidden="1"/>
    </xf>
    <xf numFmtId="168" fontId="31" fillId="15" borderId="10" xfId="16" applyNumberFormat="1" applyFont="1" applyFill="1" applyBorder="1" applyAlignment="1" applyProtection="1">
      <alignment vertical="center"/>
      <protection locked="0" hidden="1"/>
    </xf>
    <xf numFmtId="168" fontId="31" fillId="15" borderId="22" xfId="16" applyNumberFormat="1" applyFont="1" applyFill="1" applyBorder="1" applyAlignment="1" applyProtection="1">
      <alignment horizontal="center" vertical="center"/>
      <protection locked="0" hidden="1"/>
    </xf>
    <xf numFmtId="0" fontId="32" fillId="9" borderId="0" xfId="16" applyFont="1" applyFill="1" applyAlignment="1" applyProtection="1">
      <alignment vertical="center"/>
      <protection locked="0" hidden="1"/>
    </xf>
    <xf numFmtId="0" fontId="33" fillId="9" borderId="1" xfId="16" applyFont="1" applyFill="1" applyBorder="1" applyAlignment="1" applyProtection="1">
      <alignment vertical="center"/>
      <protection locked="0" hidden="1"/>
    </xf>
    <xf numFmtId="2" fontId="30" fillId="0" borderId="107" xfId="16" applyNumberFormat="1" applyFont="1" applyBorder="1" applyAlignment="1" applyProtection="1">
      <alignment horizontal="left" vertical="center"/>
      <protection locked="0" hidden="1"/>
    </xf>
    <xf numFmtId="168" fontId="30" fillId="11" borderId="109" xfId="16" applyNumberFormat="1" applyFont="1" applyFill="1" applyBorder="1" applyAlignment="1" applyProtection="1">
      <alignment vertical="center"/>
      <protection locked="0" hidden="1"/>
    </xf>
    <xf numFmtId="2" fontId="30" fillId="0" borderId="31" xfId="16" applyNumberFormat="1" applyFont="1" applyBorder="1" applyAlignment="1" applyProtection="1">
      <alignment horizontal="left" vertical="center"/>
      <protection locked="0" hidden="1"/>
    </xf>
    <xf numFmtId="168" fontId="30" fillId="11" borderId="28" xfId="16" applyNumberFormat="1" applyFont="1" applyFill="1" applyBorder="1" applyAlignment="1" applyProtection="1">
      <alignment vertical="center"/>
      <protection locked="0" hidden="1"/>
    </xf>
    <xf numFmtId="0" fontId="33" fillId="0" borderId="0" xfId="16" applyFont="1" applyAlignment="1" applyProtection="1">
      <alignment vertical="center"/>
      <protection locked="0" hidden="1"/>
    </xf>
    <xf numFmtId="172" fontId="22" fillId="10" borderId="107" xfId="16" applyNumberFormat="1" applyFont="1" applyFill="1" applyBorder="1" applyAlignment="1" applyProtection="1">
      <alignment horizontal="center" vertical="center"/>
      <protection locked="0" hidden="1"/>
    </xf>
    <xf numFmtId="4" fontId="31" fillId="10" borderId="109" xfId="16" applyNumberFormat="1" applyFont="1" applyFill="1" applyBorder="1" applyAlignment="1" applyProtection="1">
      <alignment horizontal="center" vertical="center"/>
      <protection locked="0" hidden="1"/>
    </xf>
    <xf numFmtId="172" fontId="22" fillId="10" borderId="111" xfId="16" applyNumberFormat="1" applyFont="1" applyFill="1" applyBorder="1" applyAlignment="1" applyProtection="1">
      <alignment horizontal="center" vertical="center"/>
      <protection locked="0" hidden="1"/>
    </xf>
    <xf numFmtId="174" fontId="17" fillId="0" borderId="107" xfId="16" applyNumberFormat="1" applyFont="1" applyBorder="1" applyAlignment="1" applyProtection="1">
      <alignment horizontal="right" vertical="center"/>
      <protection locked="0" hidden="1"/>
    </xf>
    <xf numFmtId="2" fontId="17" fillId="0" borderId="109" xfId="16" applyNumberFormat="1" applyFont="1" applyBorder="1" applyAlignment="1" applyProtection="1">
      <alignment horizontal="center" vertical="center"/>
      <protection locked="0" hidden="1"/>
    </xf>
    <xf numFmtId="174" fontId="17" fillId="0" borderId="31" xfId="16" applyNumberFormat="1" applyFont="1" applyBorder="1" applyAlignment="1" applyProtection="1">
      <alignment horizontal="right" vertical="center"/>
      <protection locked="0" hidden="1"/>
    </xf>
    <xf numFmtId="2" fontId="17" fillId="0" borderId="28" xfId="16" applyNumberFormat="1" applyFont="1" applyBorder="1" applyAlignment="1" applyProtection="1">
      <alignment horizontal="center" vertical="center"/>
      <protection locked="0" hidden="1"/>
    </xf>
    <xf numFmtId="2" fontId="17" fillId="0" borderId="0" xfId="16" applyNumberFormat="1" applyFont="1" applyAlignment="1" applyProtection="1">
      <alignment horizontal="center" vertical="center"/>
      <protection locked="0" hidden="1"/>
    </xf>
    <xf numFmtId="2" fontId="17" fillId="0" borderId="15" xfId="16" applyNumberFormat="1" applyFont="1" applyBorder="1" applyAlignment="1" applyProtection="1">
      <alignment horizontal="center" vertical="center"/>
      <protection locked="0" hidden="1"/>
    </xf>
    <xf numFmtId="0" fontId="18" fillId="9" borderId="1" xfId="16" applyFont="1" applyFill="1" applyBorder="1" applyAlignment="1" applyProtection="1">
      <alignment vertical="center"/>
      <protection locked="0" hidden="1"/>
    </xf>
    <xf numFmtId="168" fontId="18" fillId="6" borderId="107" xfId="16" applyNumberFormat="1" applyFont="1" applyFill="1" applyBorder="1" applyAlignment="1" applyProtection="1">
      <alignment vertical="center"/>
      <protection locked="0" hidden="1"/>
    </xf>
    <xf numFmtId="2" fontId="18" fillId="6" borderId="109" xfId="16" applyNumberFormat="1" applyFont="1" applyFill="1" applyBorder="1" applyAlignment="1" applyProtection="1">
      <alignment horizontal="center" vertical="center"/>
      <protection locked="0" hidden="1"/>
    </xf>
    <xf numFmtId="0" fontId="18" fillId="0" borderId="0" xfId="16" applyFont="1" applyAlignment="1" applyProtection="1">
      <alignment vertical="center"/>
      <protection locked="0" hidden="1"/>
    </xf>
    <xf numFmtId="168" fontId="17" fillId="0" borderId="107" xfId="16" applyNumberFormat="1" applyFont="1" applyBorder="1" applyAlignment="1" applyProtection="1">
      <alignment horizontal="right" vertical="center"/>
      <protection locked="0" hidden="1"/>
    </xf>
    <xf numFmtId="168" fontId="17" fillId="6" borderId="107" xfId="16" applyNumberFormat="1" applyFont="1" applyFill="1" applyBorder="1" applyAlignment="1" applyProtection="1">
      <alignment horizontal="right" vertical="center"/>
      <protection locked="0" hidden="1"/>
    </xf>
    <xf numFmtId="168" fontId="21" fillId="0" borderId="107" xfId="16" applyNumberFormat="1" applyFont="1" applyBorder="1" applyAlignment="1" applyProtection="1">
      <alignment horizontal="right" vertical="center"/>
      <protection locked="0" hidden="1"/>
    </xf>
    <xf numFmtId="168" fontId="17" fillId="9" borderId="107" xfId="16" applyNumberFormat="1" applyFont="1" applyFill="1" applyBorder="1" applyAlignment="1" applyProtection="1">
      <alignment horizontal="right" vertical="center"/>
      <protection locked="0" hidden="1"/>
    </xf>
    <xf numFmtId="2" fontId="17" fillId="9" borderId="109" xfId="16" applyNumberFormat="1" applyFont="1" applyFill="1" applyBorder="1" applyAlignment="1" applyProtection="1">
      <alignment horizontal="center" vertical="center"/>
      <protection locked="0" hidden="1"/>
    </xf>
    <xf numFmtId="170" fontId="17" fillId="0" borderId="107" xfId="16" applyNumberFormat="1" applyFont="1" applyBorder="1" applyAlignment="1" applyProtection="1">
      <alignment horizontal="right" vertical="center"/>
      <protection locked="0" hidden="1"/>
    </xf>
    <xf numFmtId="171" fontId="17" fillId="0" borderId="107" xfId="16" applyNumberFormat="1" applyFont="1" applyBorder="1" applyAlignment="1" applyProtection="1">
      <alignment horizontal="right" vertical="center"/>
      <protection locked="0" hidden="1"/>
    </xf>
    <xf numFmtId="2" fontId="21" fillId="0" borderId="109" xfId="16" applyNumberFormat="1" applyFont="1" applyBorder="1" applyAlignment="1" applyProtection="1">
      <alignment horizontal="center" vertical="center"/>
      <protection locked="0" hidden="1"/>
    </xf>
    <xf numFmtId="9" fontId="32" fillId="0" borderId="0" xfId="47" applyFont="1" applyFill="1" applyBorder="1" applyAlignment="1" applyProtection="1">
      <alignment horizontal="center" vertical="center"/>
      <protection locked="0" hidden="1"/>
    </xf>
    <xf numFmtId="2" fontId="32" fillId="0" borderId="1" xfId="16" applyNumberFormat="1" applyFont="1" applyBorder="1" applyAlignment="1" applyProtection="1">
      <alignment horizontal="right" vertical="center"/>
      <protection locked="0" hidden="1"/>
    </xf>
    <xf numFmtId="173" fontId="32" fillId="0" borderId="0" xfId="16" applyNumberFormat="1" applyFont="1" applyAlignment="1" applyProtection="1">
      <alignment horizontal="center" vertical="center"/>
      <protection locked="0" hidden="1"/>
    </xf>
    <xf numFmtId="2" fontId="32" fillId="0" borderId="0" xfId="16" applyNumberFormat="1" applyFont="1" applyAlignment="1" applyProtection="1">
      <alignment horizontal="right" vertical="center"/>
      <protection locked="0" hidden="1"/>
    </xf>
    <xf numFmtId="173" fontId="32" fillId="0" borderId="15" xfId="16" applyNumberFormat="1" applyFont="1" applyBorder="1" applyAlignment="1" applyProtection="1">
      <alignment horizontal="center" vertical="center"/>
      <protection locked="0" hidden="1"/>
    </xf>
    <xf numFmtId="0" fontId="18" fillId="9" borderId="37" xfId="16" applyFont="1" applyFill="1" applyBorder="1" applyAlignment="1" applyProtection="1">
      <alignment vertical="center"/>
      <protection locked="0" hidden="1"/>
    </xf>
    <xf numFmtId="170" fontId="18" fillId="6" borderId="111" xfId="16" applyNumberFormat="1" applyFont="1" applyFill="1" applyBorder="1" applyAlignment="1" applyProtection="1">
      <alignment vertical="center"/>
      <protection locked="0" hidden="1"/>
    </xf>
    <xf numFmtId="171" fontId="18" fillId="6" borderId="111" xfId="16" applyNumberFormat="1" applyFont="1" applyFill="1" applyBorder="1" applyAlignment="1" applyProtection="1">
      <alignment vertical="center"/>
      <protection locked="0" hidden="1"/>
    </xf>
    <xf numFmtId="172" fontId="32" fillId="0" borderId="0" xfId="16" applyNumberFormat="1" applyFont="1" applyAlignment="1" applyProtection="1">
      <alignment horizontal="center" vertical="center"/>
      <protection locked="0" hidden="1"/>
    </xf>
    <xf numFmtId="0" fontId="26" fillId="0" borderId="0" xfId="16" applyFont="1" applyAlignment="1" applyProtection="1">
      <alignment vertical="center"/>
      <protection locked="0" hidden="1"/>
    </xf>
    <xf numFmtId="0" fontId="26" fillId="0" borderId="1" xfId="16" applyFont="1" applyBorder="1" applyAlignment="1" applyProtection="1">
      <alignment vertical="center"/>
      <protection hidden="1"/>
    </xf>
    <xf numFmtId="0" fontId="26" fillId="0" borderId="0" xfId="16" applyFont="1" applyAlignment="1" applyProtection="1">
      <alignment vertical="center"/>
      <protection hidden="1"/>
    </xf>
    <xf numFmtId="0" fontId="18" fillId="16" borderId="23" xfId="16" applyFont="1" applyFill="1" applyBorder="1" applyAlignment="1" applyProtection="1">
      <alignment vertical="center"/>
      <protection hidden="1"/>
    </xf>
    <xf numFmtId="0" fontId="18" fillId="16" borderId="2" xfId="16" applyFont="1" applyFill="1" applyBorder="1" applyAlignment="1" applyProtection="1">
      <alignment horizontal="right" vertical="center"/>
      <protection hidden="1"/>
    </xf>
    <xf numFmtId="0" fontId="18" fillId="16" borderId="37" xfId="16" applyFont="1" applyFill="1" applyBorder="1" applyAlignment="1" applyProtection="1">
      <alignment vertical="center"/>
      <protection hidden="1"/>
    </xf>
    <xf numFmtId="0" fontId="18" fillId="16" borderId="6" xfId="16" applyFont="1" applyFill="1" applyBorder="1" applyAlignment="1" applyProtection="1">
      <alignment horizontal="right" vertical="center"/>
      <protection hidden="1"/>
    </xf>
    <xf numFmtId="0" fontId="18" fillId="0" borderId="18" xfId="16" applyFont="1" applyBorder="1" applyAlignment="1" applyProtection="1">
      <alignment horizontal="center" vertical="center"/>
      <protection hidden="1"/>
    </xf>
    <xf numFmtId="0" fontId="17" fillId="0" borderId="42" xfId="1034" applyFont="1" applyBorder="1" applyAlignment="1" applyProtection="1">
      <alignment vertical="center"/>
      <protection hidden="1"/>
    </xf>
    <xf numFmtId="0" fontId="18" fillId="6" borderId="107" xfId="16" applyFont="1" applyFill="1" applyBorder="1" applyAlignment="1" applyProtection="1">
      <alignment horizontal="center" vertical="center"/>
      <protection hidden="1"/>
    </xf>
    <xf numFmtId="0" fontId="18" fillId="6" borderId="110" xfId="16" applyFont="1" applyFill="1" applyBorder="1" applyAlignment="1" applyProtection="1">
      <alignment vertical="center"/>
      <protection hidden="1"/>
    </xf>
    <xf numFmtId="0" fontId="18" fillId="0" borderId="107" xfId="16" applyFont="1" applyBorder="1" applyAlignment="1" applyProtection="1">
      <alignment horizontal="center" vertical="center"/>
      <protection hidden="1"/>
    </xf>
    <xf numFmtId="0" fontId="17" fillId="0" borderId="110" xfId="16" applyFont="1" applyBorder="1" applyAlignment="1" applyProtection="1">
      <alignment vertical="center"/>
      <protection hidden="1"/>
    </xf>
    <xf numFmtId="0" fontId="28" fillId="0" borderId="107" xfId="16" applyFont="1" applyBorder="1" applyAlignment="1" applyProtection="1">
      <alignment horizontal="center" vertical="center"/>
      <protection hidden="1"/>
    </xf>
    <xf numFmtId="0" fontId="21" fillId="0" borderId="110" xfId="16" applyFont="1" applyBorder="1" applyAlignment="1" applyProtection="1">
      <alignment vertical="center"/>
      <protection hidden="1"/>
    </xf>
    <xf numFmtId="0" fontId="18" fillId="9" borderId="107" xfId="16" applyFont="1" applyFill="1" applyBorder="1" applyAlignment="1" applyProtection="1">
      <alignment horizontal="center" vertical="center"/>
      <protection hidden="1"/>
    </xf>
    <xf numFmtId="0" fontId="17" fillId="9" borderId="110" xfId="16" applyFont="1" applyFill="1" applyBorder="1" applyAlignment="1" applyProtection="1">
      <alignment vertical="center"/>
      <protection hidden="1"/>
    </xf>
    <xf numFmtId="0" fontId="17" fillId="0" borderId="110" xfId="1034" applyFont="1" applyBorder="1" applyAlignment="1" applyProtection="1">
      <alignment vertical="center"/>
      <protection hidden="1"/>
    </xf>
    <xf numFmtId="0" fontId="30" fillId="0" borderId="1" xfId="16" applyFont="1" applyBorder="1" applyAlignment="1" applyProtection="1">
      <alignment horizontal="center" vertical="center"/>
      <protection hidden="1"/>
    </xf>
    <xf numFmtId="0" fontId="32" fillId="0" borderId="0" xfId="16" applyFont="1" applyAlignment="1" applyProtection="1">
      <alignment vertical="center"/>
      <protection hidden="1"/>
    </xf>
    <xf numFmtId="0" fontId="18" fillId="6" borderId="111" xfId="16" applyFont="1" applyFill="1" applyBorder="1" applyAlignment="1" applyProtection="1">
      <alignment horizontal="center" vertical="center"/>
      <protection hidden="1"/>
    </xf>
    <xf numFmtId="0" fontId="18" fillId="6" borderId="112" xfId="16" applyFont="1" applyFill="1" applyBorder="1" applyAlignment="1" applyProtection="1">
      <alignment vertical="center"/>
      <protection hidden="1"/>
    </xf>
    <xf numFmtId="0" fontId="30" fillId="0" borderId="0" xfId="16" applyFont="1" applyAlignment="1" applyProtection="1">
      <alignment horizontal="center" vertical="center"/>
      <protection hidden="1"/>
    </xf>
    <xf numFmtId="0" fontId="17" fillId="9" borderId="1" xfId="16" applyFont="1" applyFill="1" applyBorder="1" applyAlignment="1" applyProtection="1">
      <alignment horizontal="center" vertical="center"/>
      <protection locked="0" hidden="1"/>
    </xf>
    <xf numFmtId="0" fontId="24" fillId="98" borderId="13" xfId="16" applyFont="1" applyFill="1" applyBorder="1" applyAlignment="1" applyProtection="1">
      <alignment horizontal="center" vertical="center" wrapText="1"/>
      <protection locked="0" hidden="1"/>
    </xf>
    <xf numFmtId="168" fontId="31" fillId="15" borderId="13" xfId="16" applyNumberFormat="1" applyFont="1" applyFill="1" applyBorder="1" applyAlignment="1" applyProtection="1">
      <alignment horizontal="center" vertical="center"/>
      <protection locked="0" hidden="1"/>
    </xf>
    <xf numFmtId="2" fontId="17" fillId="0" borderId="1" xfId="16" applyNumberFormat="1" applyFont="1" applyBorder="1" applyAlignment="1" applyProtection="1">
      <alignment horizontal="center" vertical="center"/>
      <protection locked="0" hidden="1"/>
    </xf>
    <xf numFmtId="2" fontId="18" fillId="6" borderId="131" xfId="16" applyNumberFormat="1" applyFont="1" applyFill="1" applyBorder="1" applyAlignment="1" applyProtection="1">
      <alignment horizontal="center" vertical="center"/>
      <protection locked="0" hidden="1"/>
    </xf>
    <xf numFmtId="2" fontId="17" fillId="9" borderId="131" xfId="16" applyNumberFormat="1" applyFont="1" applyFill="1" applyBorder="1" applyAlignment="1" applyProtection="1">
      <alignment horizontal="center" vertical="center"/>
      <protection locked="0" hidden="1"/>
    </xf>
    <xf numFmtId="2" fontId="17" fillId="0" borderId="131" xfId="16" applyNumberFormat="1" applyFont="1" applyBorder="1" applyAlignment="1" applyProtection="1">
      <alignment horizontal="center" vertical="center"/>
      <protection locked="0" hidden="1"/>
    </xf>
    <xf numFmtId="2" fontId="21" fillId="0" borderId="131" xfId="16" applyNumberFormat="1" applyFont="1" applyBorder="1" applyAlignment="1" applyProtection="1">
      <alignment horizontal="center" vertical="center"/>
      <protection locked="0" hidden="1"/>
    </xf>
    <xf numFmtId="173" fontId="32" fillId="0" borderId="1" xfId="16" applyNumberFormat="1" applyFont="1" applyBorder="1" applyAlignment="1" applyProtection="1">
      <alignment horizontal="center" vertical="center"/>
      <protection locked="0" hidden="1"/>
    </xf>
    <xf numFmtId="2" fontId="18" fillId="6" borderId="132" xfId="16" applyNumberFormat="1" applyFont="1" applyFill="1" applyBorder="1" applyAlignment="1" applyProtection="1">
      <alignment horizontal="center" vertical="center"/>
      <protection locked="0" hidden="1"/>
    </xf>
    <xf numFmtId="2" fontId="18" fillId="6" borderId="133" xfId="16" applyNumberFormat="1" applyFont="1" applyFill="1" applyBorder="1" applyAlignment="1" applyProtection="1">
      <alignment horizontal="center" vertical="center"/>
      <protection locked="0" hidden="1"/>
    </xf>
    <xf numFmtId="0" fontId="221" fillId="10" borderId="0" xfId="1354" applyFont="1" applyFill="1" applyAlignment="1" applyProtection="1">
      <alignment horizontal="left" vertical="center"/>
      <protection locked="0"/>
    </xf>
    <xf numFmtId="0" fontId="216" fillId="0" borderId="0" xfId="1354" applyAlignment="1" applyProtection="1"/>
    <xf numFmtId="170" fontId="18" fillId="0" borderId="0" xfId="1034" applyNumberFormat="1" applyFont="1" applyAlignment="1">
      <alignment vertical="center"/>
    </xf>
    <xf numFmtId="170" fontId="17" fillId="0" borderId="0" xfId="1034" applyNumberFormat="1" applyFont="1" applyAlignment="1">
      <alignment vertical="center"/>
    </xf>
    <xf numFmtId="171" fontId="16" fillId="0" borderId="0" xfId="4" applyNumberFormat="1" applyFont="1" applyAlignment="1">
      <alignment vertical="center"/>
    </xf>
    <xf numFmtId="171" fontId="25" fillId="12" borderId="0" xfId="14" applyNumberFormat="1" applyFont="1" applyFill="1" applyBorder="1" applyAlignment="1" applyProtection="1"/>
    <xf numFmtId="0" fontId="17" fillId="0" borderId="108" xfId="1034" applyFont="1" applyBorder="1" applyAlignment="1">
      <alignment horizontal="left" vertical="center"/>
    </xf>
    <xf numFmtId="0" fontId="17" fillId="0" borderId="108" xfId="1034" applyFont="1" applyBorder="1" applyAlignment="1">
      <alignment horizontal="center" vertical="center"/>
    </xf>
    <xf numFmtId="171" fontId="26" fillId="0" borderId="0" xfId="14" applyNumberFormat="1" applyFont="1" applyFill="1" applyBorder="1" applyAlignment="1" applyProtection="1">
      <alignment vertical="center"/>
      <protection locked="0" hidden="1"/>
    </xf>
    <xf numFmtId="170" fontId="21" fillId="0" borderId="107" xfId="16" applyNumberFormat="1" applyFont="1" applyBorder="1" applyAlignment="1" applyProtection="1">
      <alignment horizontal="right" vertical="center"/>
      <protection locked="0" hidden="1"/>
    </xf>
    <xf numFmtId="190" fontId="17" fillId="0" borderId="0" xfId="15" applyNumberFormat="1" applyFont="1" applyAlignment="1" applyProtection="1">
      <alignment vertical="center"/>
      <protection locked="0" hidden="1"/>
    </xf>
    <xf numFmtId="9" fontId="17" fillId="0" borderId="0" xfId="15" applyNumberFormat="1" applyFont="1" applyAlignment="1" applyProtection="1">
      <alignment vertical="center"/>
      <protection locked="0" hidden="1"/>
    </xf>
    <xf numFmtId="170" fontId="17" fillId="0" borderId="108" xfId="14" applyFont="1" applyFill="1" applyBorder="1" applyAlignment="1">
      <alignment horizontal="center" vertical="center" wrapText="1"/>
    </xf>
    <xf numFmtId="171" fontId="17" fillId="0" borderId="0" xfId="14" applyNumberFormat="1" applyFont="1" applyFill="1" applyAlignment="1">
      <alignment vertical="center"/>
    </xf>
    <xf numFmtId="0" fontId="0" fillId="0" borderId="108" xfId="0" applyBorder="1" applyAlignment="1">
      <alignment horizontal="center"/>
    </xf>
    <xf numFmtId="170" fontId="17" fillId="0" borderId="0" xfId="14" applyFont="1" applyFill="1" applyBorder="1" applyAlignment="1" applyProtection="1">
      <alignment vertical="center"/>
      <protection locked="0" hidden="1"/>
    </xf>
    <xf numFmtId="170" fontId="18" fillId="0" borderId="0" xfId="15" applyNumberFormat="1" applyFont="1" applyAlignment="1" applyProtection="1">
      <alignment vertical="center"/>
      <protection locked="0" hidden="1"/>
    </xf>
    <xf numFmtId="2" fontId="17" fillId="0" borderId="108" xfId="15" applyNumberFormat="1" applyFont="1" applyBorder="1" applyAlignment="1" applyProtection="1">
      <alignment horizontal="center" vertical="center"/>
      <protection locked="0" hidden="1"/>
    </xf>
    <xf numFmtId="168" fontId="17" fillId="0" borderId="107" xfId="16" applyNumberFormat="1" applyFont="1" applyBorder="1" applyAlignment="1" applyProtection="1">
      <alignment horizontal="right" vertical="center"/>
      <protection locked="0"/>
    </xf>
    <xf numFmtId="172" fontId="4" fillId="0" borderId="49" xfId="4" applyNumberFormat="1" applyFont="1" applyBorder="1" applyAlignment="1" applyProtection="1">
      <alignment horizontal="center" vertical="center"/>
      <protection locked="0"/>
    </xf>
    <xf numFmtId="172" fontId="14" fillId="0" borderId="49" xfId="4" applyNumberFormat="1" applyFont="1" applyBorder="1" applyAlignment="1" applyProtection="1">
      <alignment horizontal="center" vertical="center"/>
      <protection locked="0"/>
    </xf>
    <xf numFmtId="172" fontId="16" fillId="0" borderId="49" xfId="4" applyNumberFormat="1" applyFont="1" applyBorder="1" applyAlignment="1" applyProtection="1">
      <alignment horizontal="center" vertical="center"/>
      <protection locked="0"/>
    </xf>
    <xf numFmtId="2" fontId="4" fillId="0" borderId="49" xfId="4" applyNumberFormat="1" applyFont="1" applyBorder="1" applyAlignment="1" applyProtection="1">
      <alignment horizontal="center" vertical="center"/>
      <protection locked="0"/>
    </xf>
    <xf numFmtId="171" fontId="26" fillId="0" borderId="127" xfId="14" applyNumberFormat="1" applyFont="1" applyBorder="1" applyAlignment="1">
      <alignment horizontal="center"/>
    </xf>
    <xf numFmtId="0" fontId="32" fillId="0" borderId="108" xfId="1353" applyFont="1" applyBorder="1" applyAlignment="1">
      <alignment horizontal="left" vertical="center"/>
    </xf>
    <xf numFmtId="0" fontId="30" fillId="0" borderId="8" xfId="1353" applyFont="1" applyBorder="1" applyAlignment="1">
      <alignment horizontal="center" vertical="center"/>
    </xf>
    <xf numFmtId="0" fontId="30" fillId="0" borderId="9" xfId="1353" applyFont="1" applyBorder="1" applyAlignment="1">
      <alignment horizontal="center" vertical="center"/>
    </xf>
    <xf numFmtId="0" fontId="30" fillId="0" borderId="30" xfId="1353" applyFont="1" applyBorder="1" applyAlignment="1">
      <alignment horizontal="center" vertical="center"/>
    </xf>
    <xf numFmtId="0" fontId="30" fillId="8" borderId="108" xfId="1353" applyFont="1" applyFill="1" applyBorder="1" applyAlignment="1">
      <alignment horizontal="left" vertical="center"/>
    </xf>
    <xf numFmtId="0" fontId="30" fillId="8" borderId="114" xfId="1353" applyFont="1" applyFill="1" applyBorder="1" applyAlignment="1">
      <alignment horizontal="left" vertical="center"/>
    </xf>
    <xf numFmtId="0" fontId="17" fillId="0" borderId="134" xfId="1034" applyFont="1" applyBorder="1"/>
    <xf numFmtId="171" fontId="17" fillId="0" borderId="134" xfId="14" applyNumberFormat="1" applyFont="1" applyBorder="1"/>
    <xf numFmtId="0" fontId="26" fillId="0" borderId="1" xfId="1034" applyFont="1" applyBorder="1"/>
    <xf numFmtId="0" fontId="17" fillId="0" borderId="15" xfId="1034" applyFont="1" applyBorder="1"/>
    <xf numFmtId="0" fontId="25" fillId="0" borderId="1" xfId="1034" applyFont="1" applyBorder="1"/>
    <xf numFmtId="0" fontId="18" fillId="0" borderId="1" xfId="1034" applyFont="1" applyBorder="1"/>
    <xf numFmtId="0" fontId="17" fillId="0" borderId="1" xfId="1034" applyFont="1" applyBorder="1"/>
    <xf numFmtId="0" fontId="25" fillId="0" borderId="135" xfId="1034" applyFont="1" applyBorder="1"/>
    <xf numFmtId="0" fontId="26" fillId="0" borderId="135" xfId="1034" applyFont="1" applyBorder="1"/>
    <xf numFmtId="0" fontId="26" fillId="0" borderId="135" xfId="1034" applyFont="1" applyBorder="1" applyAlignment="1">
      <alignment horizontal="center"/>
    </xf>
    <xf numFmtId="0" fontId="25" fillId="0" borderId="135" xfId="1034" applyFont="1" applyBorder="1" applyAlignment="1">
      <alignment horizontal="center"/>
    </xf>
    <xf numFmtId="170" fontId="26" fillId="5" borderId="15" xfId="14" applyFont="1" applyFill="1" applyBorder="1" applyAlignment="1" applyProtection="1"/>
    <xf numFmtId="0" fontId="17" fillId="0" borderId="135" xfId="1034" applyFont="1" applyBorder="1"/>
    <xf numFmtId="0" fontId="17" fillId="5" borderId="136" xfId="1034" applyFont="1" applyFill="1" applyBorder="1"/>
    <xf numFmtId="0" fontId="26" fillId="5" borderId="137" xfId="1034" applyFont="1" applyFill="1" applyBorder="1"/>
    <xf numFmtId="171" fontId="26" fillId="5" borderId="137" xfId="14" applyNumberFormat="1" applyFont="1" applyFill="1" applyBorder="1" applyAlignment="1" applyProtection="1"/>
    <xf numFmtId="171" fontId="26" fillId="5" borderId="6" xfId="14" applyNumberFormat="1" applyFont="1" applyFill="1" applyBorder="1" applyAlignment="1" applyProtection="1"/>
    <xf numFmtId="0" fontId="17" fillId="0" borderId="38" xfId="1034" applyFont="1" applyBorder="1"/>
    <xf numFmtId="0" fontId="21" fillId="0" borderId="0" xfId="43" applyFont="1" applyAlignment="1">
      <alignment horizontal="center" vertical="center"/>
    </xf>
    <xf numFmtId="0" fontId="17" fillId="9" borderId="2" xfId="16" applyFont="1" applyFill="1" applyBorder="1" applyAlignment="1" applyProtection="1">
      <alignment vertical="center"/>
      <protection locked="0" hidden="1"/>
    </xf>
    <xf numFmtId="0" fontId="17" fillId="9" borderId="0" xfId="16" applyFont="1" applyFill="1" applyAlignment="1" applyProtection="1">
      <alignment vertical="center"/>
      <protection locked="0" hidden="1"/>
    </xf>
    <xf numFmtId="0" fontId="217" fillId="9" borderId="0" xfId="1354" applyFont="1" applyFill="1" applyBorder="1" applyAlignment="1" applyProtection="1">
      <alignment horizontal="center" vertical="center"/>
      <protection locked="0" hidden="1"/>
    </xf>
    <xf numFmtId="0" fontId="33" fillId="9" borderId="0" xfId="16" applyFont="1" applyFill="1" applyAlignment="1" applyProtection="1">
      <alignment vertical="center"/>
      <protection locked="0" hidden="1"/>
    </xf>
    <xf numFmtId="4" fontId="30" fillId="12" borderId="133" xfId="16" applyNumberFormat="1" applyFont="1" applyFill="1" applyBorder="1" applyAlignment="1" applyProtection="1">
      <alignment horizontal="center" vertical="center"/>
      <protection locked="0" hidden="1"/>
    </xf>
    <xf numFmtId="0" fontId="18" fillId="9" borderId="0" xfId="16" applyFont="1" applyFill="1" applyAlignment="1" applyProtection="1">
      <alignment vertical="center"/>
      <protection locked="0" hidden="1"/>
    </xf>
    <xf numFmtId="0" fontId="18" fillId="9" borderId="6" xfId="16" applyFont="1" applyFill="1" applyBorder="1" applyAlignment="1" applyProtection="1">
      <alignment vertical="center"/>
      <protection locked="0" hidden="1"/>
    </xf>
    <xf numFmtId="168" fontId="17" fillId="0" borderId="31" xfId="16" applyNumberFormat="1" applyFont="1" applyBorder="1" applyAlignment="1" applyProtection="1">
      <alignment horizontal="right" vertical="center"/>
      <protection locked="0" hidden="1"/>
    </xf>
    <xf numFmtId="168" fontId="18" fillId="6" borderId="111" xfId="16" applyNumberFormat="1" applyFont="1" applyFill="1" applyBorder="1" applyAlignment="1" applyProtection="1">
      <alignment vertical="center"/>
      <protection locked="0" hidden="1"/>
    </xf>
    <xf numFmtId="0" fontId="18" fillId="16" borderId="24" xfId="16" applyFont="1" applyFill="1" applyBorder="1" applyAlignment="1" applyProtection="1">
      <alignment horizontal="right" vertical="center"/>
      <protection hidden="1"/>
    </xf>
    <xf numFmtId="0" fontId="18" fillId="16" borderId="38" xfId="16" applyFont="1" applyFill="1" applyBorder="1" applyAlignment="1" applyProtection="1">
      <alignment horizontal="right" vertical="center"/>
      <protection hidden="1"/>
    </xf>
    <xf numFmtId="0" fontId="17" fillId="0" borderId="5" xfId="1034" applyFont="1" applyBorder="1" applyAlignment="1" applyProtection="1">
      <alignment vertical="center"/>
      <protection hidden="1"/>
    </xf>
    <xf numFmtId="0" fontId="18" fillId="6" borderId="109" xfId="16" applyFont="1" applyFill="1" applyBorder="1" applyAlignment="1" applyProtection="1">
      <alignment vertical="center"/>
      <protection hidden="1"/>
    </xf>
    <xf numFmtId="0" fontId="17" fillId="0" borderId="109" xfId="16" applyFont="1" applyBorder="1" applyAlignment="1" applyProtection="1">
      <alignment vertical="center"/>
      <protection hidden="1"/>
    </xf>
    <xf numFmtId="0" fontId="21" fillId="0" borderId="109" xfId="16" applyFont="1" applyBorder="1" applyAlignment="1" applyProtection="1">
      <alignment vertical="center"/>
      <protection hidden="1"/>
    </xf>
    <xf numFmtId="0" fontId="17" fillId="9" borderId="109" xfId="16" applyFont="1" applyFill="1" applyBorder="1" applyAlignment="1" applyProtection="1">
      <alignment vertical="center"/>
      <protection hidden="1"/>
    </xf>
    <xf numFmtId="0" fontId="17" fillId="0" borderId="109" xfId="1034" applyFont="1" applyBorder="1" applyAlignment="1" applyProtection="1">
      <alignment vertical="center"/>
      <protection hidden="1"/>
    </xf>
    <xf numFmtId="0" fontId="17" fillId="0" borderId="109" xfId="16" applyFont="1" applyBorder="1" applyAlignment="1" applyProtection="1">
      <alignment vertical="center" wrapText="1"/>
      <protection hidden="1"/>
    </xf>
    <xf numFmtId="0" fontId="32" fillId="0" borderId="15" xfId="16" applyFont="1" applyBorder="1" applyAlignment="1" applyProtection="1">
      <alignment vertical="center"/>
      <protection hidden="1"/>
    </xf>
    <xf numFmtId="0" fontId="18" fillId="6" borderId="133" xfId="16" applyFont="1" applyFill="1" applyBorder="1" applyAlignment="1" applyProtection="1">
      <alignment vertical="center"/>
      <protection hidden="1"/>
    </xf>
    <xf numFmtId="171" fontId="43" fillId="6" borderId="108" xfId="14" applyNumberFormat="1" applyFont="1" applyFill="1" applyBorder="1" applyAlignment="1">
      <alignment vertical="center"/>
    </xf>
    <xf numFmtId="0" fontId="14" fillId="6" borderId="108" xfId="1045" applyFont="1" applyFill="1" applyBorder="1" applyAlignment="1">
      <alignment horizontal="center" vertical="center"/>
    </xf>
    <xf numFmtId="0" fontId="14" fillId="0" borderId="108" xfId="1045" applyFont="1" applyBorder="1" applyAlignment="1">
      <alignment vertical="center"/>
    </xf>
    <xf numFmtId="170" fontId="43" fillId="0" borderId="108" xfId="385" applyFont="1" applyBorder="1" applyAlignment="1">
      <alignment vertical="center"/>
    </xf>
    <xf numFmtId="0" fontId="14" fillId="6" borderId="107" xfId="1045" applyFont="1" applyFill="1" applyBorder="1" applyAlignment="1">
      <alignment horizontal="center" vertical="center" wrapText="1"/>
    </xf>
    <xf numFmtId="171" fontId="0" fillId="6" borderId="109" xfId="385" applyNumberFormat="1" applyFont="1" applyFill="1" applyBorder="1" applyAlignment="1">
      <alignment vertical="center"/>
    </xf>
    <xf numFmtId="0" fontId="4" fillId="0" borderId="107" xfId="1045" applyBorder="1" applyAlignment="1">
      <alignment horizontal="center" vertical="center"/>
    </xf>
    <xf numFmtId="171" fontId="0" fillId="0" borderId="109" xfId="385" applyNumberFormat="1" applyFont="1" applyBorder="1" applyAlignment="1">
      <alignment vertical="center"/>
    </xf>
    <xf numFmtId="171" fontId="43" fillId="6" borderId="109" xfId="385" applyNumberFormat="1" applyFont="1" applyFill="1" applyBorder="1" applyAlignment="1">
      <alignment vertical="center"/>
    </xf>
    <xf numFmtId="171" fontId="43" fillId="6" borderId="109" xfId="14" applyNumberFormat="1" applyFont="1" applyFill="1" applyBorder="1" applyAlignment="1">
      <alignment vertical="center"/>
    </xf>
    <xf numFmtId="170" fontId="43" fillId="0" borderId="109" xfId="385" applyFont="1" applyBorder="1" applyAlignment="1">
      <alignment vertical="center"/>
    </xf>
    <xf numFmtId="0" fontId="4" fillId="0" borderId="1" xfId="1045" applyBorder="1" applyAlignment="1">
      <alignment horizontal="center" vertical="center"/>
    </xf>
    <xf numFmtId="171" fontId="0" fillId="0" borderId="0" xfId="385" applyNumberFormat="1" applyFont="1" applyBorder="1" applyAlignment="1">
      <alignment vertical="center"/>
    </xf>
    <xf numFmtId="171" fontId="0" fillId="0" borderId="15" xfId="385" applyNumberFormat="1" applyFont="1" applyBorder="1" applyAlignment="1">
      <alignment vertical="center"/>
    </xf>
    <xf numFmtId="0" fontId="14" fillId="12" borderId="1" xfId="1045" applyFont="1" applyFill="1" applyBorder="1" applyAlignment="1">
      <alignment horizontal="center" vertical="center"/>
    </xf>
    <xf numFmtId="0" fontId="4" fillId="12" borderId="0" xfId="1045" applyFill="1" applyAlignment="1">
      <alignment vertical="center"/>
    </xf>
    <xf numFmtId="171" fontId="0" fillId="12" borderId="0" xfId="385" applyNumberFormat="1" applyFont="1" applyFill="1" applyBorder="1" applyAlignment="1">
      <alignment vertical="center"/>
    </xf>
    <xf numFmtId="171" fontId="0" fillId="12" borderId="15" xfId="385" applyNumberFormat="1" applyFont="1" applyFill="1" applyBorder="1" applyAlignment="1">
      <alignment vertical="center"/>
    </xf>
    <xf numFmtId="171" fontId="0" fillId="0" borderId="140" xfId="385" applyNumberFormat="1" applyFont="1" applyFill="1" applyBorder="1" applyAlignment="1">
      <alignment vertical="center"/>
    </xf>
    <xf numFmtId="0" fontId="14" fillId="6" borderId="0" xfId="1045" applyFont="1" applyFill="1" applyAlignment="1">
      <alignment vertical="center"/>
    </xf>
    <xf numFmtId="171" fontId="43" fillId="6" borderId="0" xfId="385" applyNumberFormat="1" applyFont="1" applyFill="1" applyBorder="1" applyAlignment="1">
      <alignment vertical="center"/>
    </xf>
    <xf numFmtId="171" fontId="43" fillId="6" borderId="15" xfId="385" applyNumberFormat="1" applyFont="1" applyFill="1" applyBorder="1" applyAlignment="1">
      <alignment vertical="center"/>
    </xf>
    <xf numFmtId="0" fontId="4" fillId="0" borderId="15" xfId="1045" applyBorder="1" applyAlignment="1">
      <alignment vertical="center"/>
    </xf>
    <xf numFmtId="0" fontId="4" fillId="0" borderId="37" xfId="1045" applyBorder="1" applyAlignment="1">
      <alignment horizontal="center" vertical="center"/>
    </xf>
    <xf numFmtId="0" fontId="14" fillId="6" borderId="6" xfId="1045" applyFont="1" applyFill="1" applyBorder="1" applyAlignment="1">
      <alignment vertical="center"/>
    </xf>
    <xf numFmtId="0" fontId="14" fillId="6" borderId="114" xfId="1045" applyFont="1" applyFill="1" applyBorder="1" applyAlignment="1">
      <alignment vertical="center"/>
    </xf>
    <xf numFmtId="171" fontId="43" fillId="6" borderId="6" xfId="385" applyNumberFormat="1" applyFont="1" applyFill="1" applyBorder="1" applyAlignment="1">
      <alignment vertical="center"/>
    </xf>
    <xf numFmtId="171" fontId="43" fillId="6" borderId="38" xfId="385" applyNumberFormat="1" applyFont="1" applyFill="1" applyBorder="1" applyAlignment="1">
      <alignment vertical="center"/>
    </xf>
    <xf numFmtId="0" fontId="18" fillId="97" borderId="0" xfId="1034" applyFont="1" applyFill="1" applyAlignment="1">
      <alignment vertical="center"/>
    </xf>
    <xf numFmtId="0" fontId="17" fillId="0" borderId="119" xfId="1034" applyFont="1" applyBorder="1" applyAlignment="1">
      <alignment vertical="center"/>
    </xf>
    <xf numFmtId="0" fontId="17" fillId="0" borderId="25" xfId="1034" applyFont="1" applyBorder="1" applyAlignment="1">
      <alignment vertical="center"/>
    </xf>
    <xf numFmtId="0" fontId="17" fillId="0" borderId="26" xfId="1034" applyFont="1" applyBorder="1" applyAlignment="1">
      <alignment vertical="center"/>
    </xf>
    <xf numFmtId="0" fontId="17" fillId="0" borderId="119" xfId="0" applyFont="1" applyBorder="1"/>
    <xf numFmtId="0" fontId="17" fillId="0" borderId="26" xfId="0" applyFont="1" applyBorder="1"/>
    <xf numFmtId="0" fontId="18" fillId="97" borderId="29" xfId="1034" applyFont="1" applyFill="1" applyBorder="1" applyAlignment="1">
      <alignment vertical="center"/>
    </xf>
    <xf numFmtId="0" fontId="18" fillId="97" borderId="32" xfId="1034" applyFont="1" applyFill="1" applyBorder="1" applyAlignment="1">
      <alignment vertical="center"/>
    </xf>
    <xf numFmtId="195" fontId="24" fillId="101" borderId="116" xfId="14" applyNumberFormat="1" applyFont="1" applyFill="1" applyBorder="1" applyAlignment="1">
      <alignment horizontal="center" vertical="center" wrapText="1"/>
    </xf>
    <xf numFmtId="0" fontId="24" fillId="4" borderId="16" xfId="1034" applyFont="1" applyFill="1" applyBorder="1" applyAlignment="1">
      <alignment vertical="center"/>
    </xf>
    <xf numFmtId="0" fontId="24" fillId="4" borderId="3" xfId="1034" applyFont="1" applyFill="1" applyBorder="1" applyAlignment="1">
      <alignment vertical="center"/>
    </xf>
    <xf numFmtId="0" fontId="24" fillId="4" borderId="39" xfId="1034" applyFont="1" applyFill="1" applyBorder="1" applyAlignment="1">
      <alignment vertical="center"/>
    </xf>
    <xf numFmtId="0" fontId="24" fillId="101" borderId="107" xfId="1034" applyFont="1" applyFill="1" applyBorder="1" applyAlignment="1">
      <alignment horizontal="center" vertical="center"/>
    </xf>
    <xf numFmtId="195" fontId="24" fillId="101" borderId="109" xfId="14" applyNumberFormat="1" applyFont="1" applyFill="1" applyBorder="1" applyAlignment="1">
      <alignment horizontal="center" vertical="center" wrapText="1"/>
    </xf>
    <xf numFmtId="0" fontId="17" fillId="0" borderId="107" xfId="1034" applyFont="1" applyBorder="1" applyAlignment="1">
      <alignment horizontal="center" vertical="center"/>
    </xf>
    <xf numFmtId="195" fontId="17" fillId="0" borderId="109" xfId="14" applyNumberFormat="1" applyFont="1" applyBorder="1" applyAlignment="1">
      <alignment vertical="center" wrapText="1"/>
    </xf>
    <xf numFmtId="0" fontId="18" fillId="97" borderId="1" xfId="1034" applyFont="1" applyFill="1" applyBorder="1" applyAlignment="1">
      <alignment vertical="center"/>
    </xf>
    <xf numFmtId="0" fontId="18" fillId="97" borderId="15" xfId="1034" applyFont="1" applyFill="1" applyBorder="1" applyAlignment="1">
      <alignment vertical="center"/>
    </xf>
    <xf numFmtId="0" fontId="18" fillId="6" borderId="107" xfId="1034" applyFont="1" applyFill="1" applyBorder="1" applyAlignment="1">
      <alignment vertical="center"/>
    </xf>
    <xf numFmtId="170" fontId="18" fillId="6" borderId="109" xfId="14" applyFont="1" applyFill="1" applyBorder="1" applyAlignment="1">
      <alignment horizontal="center" vertical="center" wrapText="1"/>
    </xf>
    <xf numFmtId="195" fontId="17" fillId="0" borderId="109" xfId="14" applyNumberFormat="1" applyFont="1" applyFill="1" applyBorder="1" applyAlignment="1">
      <alignment vertical="center" wrapText="1"/>
    </xf>
    <xf numFmtId="0" fontId="17" fillId="0" borderId="105" xfId="1034" applyFont="1" applyBorder="1" applyAlignment="1">
      <alignment vertical="center"/>
    </xf>
    <xf numFmtId="0" fontId="17" fillId="0" borderId="36" xfId="1034" applyFont="1" applyBorder="1" applyAlignment="1">
      <alignment vertical="center"/>
    </xf>
    <xf numFmtId="0" fontId="17" fillId="0" borderId="31" xfId="1034" applyFont="1" applyBorder="1" applyAlignment="1">
      <alignment vertical="center"/>
    </xf>
    <xf numFmtId="0" fontId="24" fillId="10" borderId="107" xfId="1034" applyFont="1" applyFill="1" applyBorder="1" applyAlignment="1">
      <alignment horizontal="left" vertical="center"/>
    </xf>
    <xf numFmtId="195" fontId="23" fillId="10" borderId="109" xfId="14" applyNumberFormat="1" applyFont="1" applyFill="1" applyBorder="1" applyAlignment="1">
      <alignment vertical="center" wrapText="1"/>
    </xf>
    <xf numFmtId="0" fontId="17" fillId="0" borderId="107" xfId="1034" applyFont="1" applyBorder="1" applyAlignment="1">
      <alignment vertical="center"/>
    </xf>
    <xf numFmtId="0" fontId="17" fillId="0" borderId="1" xfId="1034" applyFont="1" applyBorder="1" applyAlignment="1">
      <alignment horizontal="center" vertical="center"/>
    </xf>
    <xf numFmtId="195" fontId="17" fillId="0" borderId="15" xfId="14" applyNumberFormat="1" applyFont="1" applyBorder="1" applyAlignment="1">
      <alignment vertical="center" wrapText="1"/>
    </xf>
    <xf numFmtId="0" fontId="18" fillId="97" borderId="46" xfId="1034" applyFont="1" applyFill="1" applyBorder="1" applyAlignment="1">
      <alignment vertical="center"/>
    </xf>
    <xf numFmtId="0" fontId="18" fillId="97" borderId="141" xfId="1034" applyFont="1" applyFill="1" applyBorder="1" applyAlignment="1">
      <alignment vertical="center"/>
    </xf>
    <xf numFmtId="0" fontId="18" fillId="0" borderId="107" xfId="1034" applyFont="1" applyBorder="1" applyAlignment="1">
      <alignment horizontal="center" vertical="center"/>
    </xf>
    <xf numFmtId="171" fontId="17" fillId="0" borderId="109" xfId="14" applyNumberFormat="1" applyFont="1" applyBorder="1" applyAlignment="1">
      <alignment vertical="center"/>
    </xf>
    <xf numFmtId="0" fontId="18" fillId="0" borderId="0" xfId="1034" applyFont="1" applyAlignment="1">
      <alignment horizontal="center" vertical="center"/>
    </xf>
    <xf numFmtId="0" fontId="18" fillId="0" borderId="0" xfId="1034" applyFont="1" applyAlignment="1">
      <alignment horizontal="left" vertical="center"/>
    </xf>
    <xf numFmtId="171" fontId="18" fillId="0" borderId="15" xfId="1034" applyNumberFormat="1" applyFont="1" applyBorder="1" applyAlignment="1">
      <alignment vertical="center"/>
    </xf>
    <xf numFmtId="170" fontId="18" fillId="0" borderId="15" xfId="14" applyFont="1" applyBorder="1" applyAlignment="1">
      <alignment vertical="center"/>
    </xf>
    <xf numFmtId="0" fontId="17" fillId="0" borderId="37" xfId="1034" applyFont="1" applyBorder="1" applyAlignment="1">
      <alignment horizontal="center" vertical="center"/>
    </xf>
    <xf numFmtId="0" fontId="17" fillId="0" borderId="6" xfId="1034" applyFont="1" applyBorder="1" applyAlignment="1">
      <alignment horizontal="left" vertical="center"/>
    </xf>
    <xf numFmtId="0" fontId="17" fillId="0" borderId="6" xfId="1034" applyFont="1" applyBorder="1" applyAlignment="1">
      <alignment vertical="center"/>
    </xf>
    <xf numFmtId="0" fontId="17" fillId="0" borderId="6" xfId="1034" applyFont="1" applyBorder="1" applyAlignment="1">
      <alignment horizontal="center" vertical="center"/>
    </xf>
    <xf numFmtId="0" fontId="18" fillId="12" borderId="6" xfId="1034" applyFont="1" applyFill="1" applyBorder="1" applyAlignment="1">
      <alignment horizontal="left" vertical="center"/>
    </xf>
    <xf numFmtId="0" fontId="18" fillId="12" borderId="6" xfId="1034" applyFont="1" applyFill="1" applyBorder="1" applyAlignment="1">
      <alignment horizontal="center" vertical="center"/>
    </xf>
    <xf numFmtId="0" fontId="18" fillId="12" borderId="6" xfId="1034" applyFont="1" applyFill="1" applyBorder="1" applyAlignment="1">
      <alignment vertical="center"/>
    </xf>
    <xf numFmtId="171" fontId="18" fillId="12" borderId="38" xfId="14" applyNumberFormat="1" applyFont="1" applyFill="1" applyBorder="1" applyAlignment="1">
      <alignment vertical="center"/>
    </xf>
    <xf numFmtId="171" fontId="17" fillId="0" borderId="15" xfId="14" applyNumberFormat="1" applyFont="1" applyBorder="1" applyAlignment="1" applyProtection="1">
      <alignment vertical="center"/>
      <protection locked="0" hidden="1"/>
    </xf>
    <xf numFmtId="0" fontId="17" fillId="0" borderId="37" xfId="15" applyFont="1" applyBorder="1" applyAlignment="1" applyProtection="1">
      <alignment vertical="center"/>
      <protection locked="0" hidden="1"/>
    </xf>
    <xf numFmtId="0" fontId="17" fillId="0" borderId="6" xfId="15" applyFont="1" applyBorder="1" applyAlignment="1" applyProtection="1">
      <alignment vertical="center"/>
      <protection locked="0" hidden="1"/>
    </xf>
    <xf numFmtId="171" fontId="19" fillId="12" borderId="38" xfId="15" applyNumberFormat="1" applyFont="1" applyFill="1" applyBorder="1" applyAlignment="1" applyProtection="1">
      <alignment vertical="center"/>
      <protection locked="0" hidden="1"/>
    </xf>
    <xf numFmtId="0" fontId="224" fillId="0" borderId="0" xfId="1354" applyFont="1" applyFill="1" applyAlignment="1" applyProtection="1">
      <alignment horizontal="center" vertical="center"/>
    </xf>
    <xf numFmtId="170" fontId="24" fillId="101" borderId="107" xfId="14" applyFont="1" applyFill="1" applyBorder="1" applyAlignment="1">
      <alignment horizontal="center" vertical="center" wrapText="1"/>
    </xf>
    <xf numFmtId="0" fontId="21" fillId="0" borderId="1" xfId="43" applyFont="1" applyBorder="1" applyAlignment="1">
      <alignment vertical="center"/>
    </xf>
    <xf numFmtId="171" fontId="21" fillId="0" borderId="15" xfId="14" applyNumberFormat="1" applyFont="1" applyBorder="1" applyAlignment="1">
      <alignment vertical="center"/>
    </xf>
    <xf numFmtId="170" fontId="21" fillId="0" borderId="15" xfId="14" applyFont="1" applyBorder="1" applyAlignment="1">
      <alignment vertical="center"/>
    </xf>
    <xf numFmtId="0" fontId="21" fillId="0" borderId="37" xfId="43" applyFont="1" applyBorder="1" applyAlignment="1">
      <alignment vertical="center"/>
    </xf>
    <xf numFmtId="0" fontId="21" fillId="0" borderId="6" xfId="43" applyFont="1" applyBorder="1" applyAlignment="1">
      <alignment vertical="center"/>
    </xf>
    <xf numFmtId="170" fontId="24" fillId="101" borderId="108" xfId="14" applyFont="1" applyFill="1" applyBorder="1" applyAlignment="1">
      <alignment horizontal="left" vertical="center" wrapText="1"/>
    </xf>
    <xf numFmtId="4" fontId="30" fillId="0" borderId="133" xfId="1353" applyNumberFormat="1" applyFont="1" applyBorder="1" applyAlignment="1">
      <alignment horizontal="right" vertical="center"/>
    </xf>
    <xf numFmtId="9" fontId="30" fillId="8" borderId="133" xfId="1353" applyNumberFormat="1" applyFont="1" applyFill="1" applyBorder="1" applyAlignment="1">
      <alignment horizontal="center" vertical="center"/>
    </xf>
    <xf numFmtId="168" fontId="31" fillId="4" borderId="133" xfId="1353" applyNumberFormat="1" applyFont="1" applyFill="1" applyBorder="1" applyAlignment="1">
      <alignment horizontal="right" vertical="center"/>
    </xf>
    <xf numFmtId="0" fontId="21" fillId="45" borderId="107" xfId="15" applyFont="1" applyFill="1" applyBorder="1" applyAlignment="1">
      <alignment horizontal="center" vertical="center"/>
    </xf>
    <xf numFmtId="0" fontId="21" fillId="45" borderId="109" xfId="15" applyFont="1" applyFill="1" applyBorder="1" applyAlignment="1">
      <alignment horizontal="center" vertical="center"/>
    </xf>
    <xf numFmtId="0" fontId="17" fillId="0" borderId="107" xfId="15" applyFont="1" applyBorder="1" applyAlignment="1">
      <alignment horizontal="center" vertical="center"/>
    </xf>
    <xf numFmtId="0" fontId="21" fillId="0" borderId="107" xfId="15" applyFont="1" applyBorder="1" applyAlignment="1">
      <alignment horizontal="center" vertical="center"/>
    </xf>
    <xf numFmtId="0" fontId="209" fillId="5" borderId="107" xfId="15" applyFont="1" applyFill="1" applyBorder="1" applyAlignment="1">
      <alignment vertical="center"/>
    </xf>
    <xf numFmtId="171" fontId="18" fillId="5" borderId="109" xfId="15" applyNumberFormat="1" applyFont="1" applyFill="1" applyBorder="1" applyAlignment="1">
      <alignment vertical="center"/>
    </xf>
    <xf numFmtId="171" fontId="24" fillId="4" borderId="133" xfId="15" applyNumberFormat="1" applyFont="1" applyFill="1" applyBorder="1" applyAlignment="1">
      <alignment vertical="center"/>
    </xf>
    <xf numFmtId="0" fontId="17" fillId="0" borderId="1" xfId="15" applyFont="1" applyBorder="1" applyAlignment="1">
      <alignment vertical="center"/>
    </xf>
    <xf numFmtId="0" fontId="17" fillId="0" borderId="15" xfId="15" applyFont="1" applyBorder="1" applyAlignment="1">
      <alignment vertical="center"/>
    </xf>
    <xf numFmtId="0" fontId="211" fillId="2" borderId="141" xfId="15" applyFont="1" applyFill="1" applyBorder="1" applyAlignment="1">
      <alignment vertical="center"/>
    </xf>
    <xf numFmtId="0" fontId="21" fillId="11" borderId="107" xfId="15" applyFont="1" applyFill="1" applyBorder="1" applyAlignment="1">
      <alignment horizontal="center" vertical="center"/>
    </xf>
    <xf numFmtId="0" fontId="21" fillId="11" borderId="109" xfId="15" applyFont="1" applyFill="1" applyBorder="1" applyAlignment="1">
      <alignment horizontal="center" vertical="center"/>
    </xf>
    <xf numFmtId="171" fontId="17" fillId="0" borderId="106" xfId="15" applyNumberFormat="1" applyFont="1" applyBorder="1" applyAlignment="1">
      <alignment vertical="center"/>
    </xf>
    <xf numFmtId="0" fontId="211" fillId="4" borderId="111" xfId="15" applyFont="1" applyFill="1" applyBorder="1" applyAlignment="1">
      <alignment horizontal="center" vertical="center"/>
    </xf>
    <xf numFmtId="0" fontId="211" fillId="4" borderId="114" xfId="15" applyFont="1" applyFill="1" applyBorder="1" applyAlignment="1">
      <alignment horizontal="left" vertical="center"/>
    </xf>
    <xf numFmtId="0" fontId="17" fillId="4" borderId="114" xfId="15" applyFont="1" applyFill="1" applyBorder="1" applyAlignment="1">
      <alignment vertical="center"/>
    </xf>
    <xf numFmtId="0" fontId="211" fillId="4" borderId="114" xfId="15" applyFont="1" applyFill="1" applyBorder="1" applyAlignment="1">
      <alignment horizontal="center" vertical="center"/>
    </xf>
    <xf numFmtId="171" fontId="211" fillId="4" borderId="114" xfId="385" applyNumberFormat="1" applyFont="1" applyFill="1" applyBorder="1" applyAlignment="1">
      <alignment horizontal="center" vertical="center"/>
    </xf>
    <xf numFmtId="171" fontId="211" fillId="4" borderId="112" xfId="385" applyNumberFormat="1" applyFont="1" applyFill="1" applyBorder="1" applyAlignment="1">
      <alignment horizontal="center" vertical="center"/>
    </xf>
    <xf numFmtId="1" fontId="16" fillId="12" borderId="26" xfId="4" applyNumberFormat="1" applyFont="1" applyFill="1" applyBorder="1" applyAlignment="1" applyProtection="1">
      <alignment horizontal="center" vertical="center"/>
      <protection locked="0"/>
    </xf>
    <xf numFmtId="1" fontId="16" fillId="12" borderId="49" xfId="4" applyNumberFormat="1" applyFont="1" applyFill="1" applyBorder="1" applyAlignment="1" applyProtection="1">
      <alignment horizontal="center" vertical="center"/>
      <protection locked="0"/>
    </xf>
    <xf numFmtId="170" fontId="0" fillId="0" borderId="108" xfId="385" applyFont="1" applyBorder="1" applyAlignment="1">
      <alignment vertical="center"/>
    </xf>
    <xf numFmtId="169" fontId="3" fillId="97" borderId="19" xfId="11" applyNumberFormat="1" applyFont="1" applyFill="1" applyBorder="1" applyAlignment="1">
      <alignment vertical="center"/>
    </xf>
    <xf numFmtId="169" fontId="3" fillId="0" borderId="19" xfId="11" applyNumberFormat="1" applyFont="1" applyBorder="1" applyAlignment="1">
      <alignment vertical="center"/>
    </xf>
    <xf numFmtId="170" fontId="17" fillId="0" borderId="0" xfId="1034" applyNumberFormat="1" applyFont="1"/>
    <xf numFmtId="0" fontId="24" fillId="98" borderId="22" xfId="16" applyFont="1" applyFill="1" applyBorder="1" applyAlignment="1" applyProtection="1">
      <alignment horizontal="center" vertical="center" wrapText="1"/>
      <protection locked="0" hidden="1"/>
    </xf>
    <xf numFmtId="4" fontId="28" fillId="12" borderId="35" xfId="16" applyNumberFormat="1" applyFont="1" applyFill="1" applyBorder="1" applyAlignment="1" applyProtection="1">
      <alignment horizontal="center" vertical="center"/>
      <protection locked="0" hidden="1"/>
    </xf>
    <xf numFmtId="4" fontId="24" fillId="101" borderId="35" xfId="16" applyNumberFormat="1" applyFont="1" applyFill="1" applyBorder="1" applyAlignment="1" applyProtection="1">
      <alignment horizontal="center" vertical="center"/>
      <protection locked="0" hidden="1"/>
    </xf>
    <xf numFmtId="0" fontId="1" fillId="0" borderId="0" xfId="1358" applyFont="1" applyAlignment="1">
      <alignment vertical="center"/>
    </xf>
    <xf numFmtId="0" fontId="16" fillId="0" borderId="0" xfId="1359" applyFont="1" applyAlignment="1">
      <alignment vertical="center"/>
    </xf>
    <xf numFmtId="9" fontId="19" fillId="0" borderId="4" xfId="1359" applyNumberFormat="1" applyFont="1" applyBorder="1" applyAlignment="1">
      <alignment vertical="center"/>
    </xf>
    <xf numFmtId="0" fontId="16" fillId="0" borderId="0" xfId="1359" applyFont="1" applyAlignment="1">
      <alignment horizontal="center" vertical="center"/>
    </xf>
    <xf numFmtId="302" fontId="16" fillId="0" borderId="0" xfId="1359" applyNumberFormat="1" applyFont="1" applyAlignment="1">
      <alignment vertical="center"/>
    </xf>
    <xf numFmtId="0" fontId="19" fillId="0" borderId="119" xfId="1359" applyFont="1" applyBorder="1" applyAlignment="1">
      <alignment horizontal="center" vertical="center"/>
    </xf>
    <xf numFmtId="9" fontId="16" fillId="0" borderId="119" xfId="1359" applyNumberFormat="1" applyFont="1" applyBorder="1" applyAlignment="1">
      <alignment horizontal="center" vertical="center"/>
    </xf>
    <xf numFmtId="0" fontId="19" fillId="0" borderId="106" xfId="1359" applyFont="1" applyBorder="1" applyAlignment="1">
      <alignment horizontal="center" vertical="center"/>
    </xf>
    <xf numFmtId="0" fontId="16" fillId="0" borderId="0" xfId="1359" applyFont="1" applyAlignment="1">
      <alignment horizontal="center" vertical="center" wrapText="1"/>
    </xf>
    <xf numFmtId="0" fontId="16" fillId="0" borderId="107" xfId="1359" applyFont="1" applyBorder="1" applyAlignment="1">
      <alignment horizontal="center" vertical="center"/>
    </xf>
    <xf numFmtId="0" fontId="16" fillId="0" borderId="108" xfId="1359" applyFont="1" applyBorder="1" applyAlignment="1">
      <alignment vertical="center"/>
    </xf>
    <xf numFmtId="195" fontId="16" fillId="0" borderId="108" xfId="14" applyNumberFormat="1" applyFont="1" applyFill="1" applyBorder="1" applyAlignment="1" applyProtection="1">
      <alignment vertical="center"/>
    </xf>
    <xf numFmtId="195" fontId="16" fillId="0" borderId="108" xfId="14" applyNumberFormat="1" applyFont="1" applyFill="1" applyBorder="1" applyAlignment="1">
      <alignment vertical="center"/>
    </xf>
    <xf numFmtId="195" fontId="16" fillId="0" borderId="108" xfId="14" applyNumberFormat="1" applyFont="1" applyFill="1" applyBorder="1" applyAlignment="1" applyProtection="1">
      <alignment horizontal="center" vertical="center"/>
    </xf>
    <xf numFmtId="195" fontId="16" fillId="0" borderId="109" xfId="14" applyNumberFormat="1" applyFont="1" applyFill="1" applyBorder="1" applyAlignment="1" applyProtection="1">
      <alignment horizontal="center" vertical="center"/>
    </xf>
    <xf numFmtId="9" fontId="16" fillId="0" borderId="0" xfId="47" applyFont="1" applyAlignment="1">
      <alignment horizontal="center" vertical="center"/>
    </xf>
    <xf numFmtId="2" fontId="16" fillId="0" borderId="0" xfId="1359" applyNumberFormat="1" applyFont="1" applyAlignment="1">
      <alignment vertical="center"/>
    </xf>
    <xf numFmtId="0" fontId="16" fillId="0" borderId="111" xfId="1359" applyFont="1" applyBorder="1" applyAlignment="1">
      <alignment horizontal="center" vertical="center"/>
    </xf>
    <xf numFmtId="0" fontId="19" fillId="0" borderId="114" xfId="1359" applyFont="1" applyBorder="1" applyAlignment="1">
      <alignment vertical="center"/>
    </xf>
    <xf numFmtId="195" fontId="19" fillId="0" borderId="114" xfId="14" applyNumberFormat="1" applyFont="1" applyFill="1" applyBorder="1" applyAlignment="1" applyProtection="1">
      <alignment vertical="center"/>
    </xf>
    <xf numFmtId="195" fontId="19" fillId="0" borderId="114" xfId="14" applyNumberFormat="1" applyFont="1" applyFill="1" applyBorder="1" applyAlignment="1">
      <alignment vertical="center"/>
    </xf>
    <xf numFmtId="195" fontId="19" fillId="0" borderId="114" xfId="14" applyNumberFormat="1" applyFont="1" applyFill="1" applyBorder="1" applyAlignment="1" applyProtection="1">
      <alignment horizontal="center" vertical="center"/>
    </xf>
    <xf numFmtId="195" fontId="19" fillId="0" borderId="133" xfId="14" applyNumberFormat="1" applyFont="1" applyFill="1" applyBorder="1" applyAlignment="1" applyProtection="1">
      <alignment horizontal="center" vertical="center"/>
    </xf>
    <xf numFmtId="0" fontId="16" fillId="0" borderId="25" xfId="1359" applyFont="1" applyBorder="1" applyAlignment="1">
      <alignment vertical="center"/>
    </xf>
    <xf numFmtId="195" fontId="16" fillId="0" borderId="25" xfId="14" applyNumberFormat="1" applyFont="1" applyFill="1" applyBorder="1" applyAlignment="1" applyProtection="1">
      <alignment vertical="center"/>
    </xf>
    <xf numFmtId="195" fontId="16" fillId="0" borderId="25" xfId="14" applyNumberFormat="1" applyFont="1" applyFill="1" applyBorder="1" applyAlignment="1">
      <alignment vertical="center"/>
    </xf>
    <xf numFmtId="195" fontId="16" fillId="0" borderId="25" xfId="14" applyNumberFormat="1" applyFont="1" applyFill="1" applyBorder="1" applyAlignment="1" applyProtection="1">
      <alignment horizontal="center" vertical="center"/>
    </xf>
    <xf numFmtId="195" fontId="1" fillId="0" borderId="0" xfId="14" applyNumberFormat="1" applyFont="1" applyAlignment="1">
      <alignment vertical="center"/>
    </xf>
    <xf numFmtId="170" fontId="1" fillId="0" borderId="0" xfId="1358" applyNumberFormat="1" applyFont="1" applyAlignment="1">
      <alignment vertical="center"/>
    </xf>
    <xf numFmtId="0" fontId="16" fillId="6" borderId="18" xfId="1359" applyFont="1" applyFill="1" applyBorder="1" applyAlignment="1">
      <alignment vertical="center"/>
    </xf>
    <xf numFmtId="0" fontId="19" fillId="6" borderId="4" xfId="1359" applyFont="1" applyFill="1" applyBorder="1" applyAlignment="1">
      <alignment vertical="center"/>
    </xf>
    <xf numFmtId="195" fontId="16" fillId="6" borderId="4" xfId="14" applyNumberFormat="1" applyFont="1" applyFill="1" applyBorder="1" applyAlignment="1">
      <alignment vertical="center"/>
    </xf>
    <xf numFmtId="195" fontId="16" fillId="6" borderId="4" xfId="14" applyNumberFormat="1" applyFont="1" applyFill="1" applyBorder="1" applyAlignment="1" applyProtection="1">
      <alignment vertical="center"/>
    </xf>
    <xf numFmtId="195" fontId="16" fillId="6" borderId="4" xfId="14" applyNumberFormat="1" applyFont="1" applyFill="1" applyBorder="1" applyAlignment="1" applyProtection="1">
      <alignment horizontal="center" vertical="center"/>
    </xf>
    <xf numFmtId="195" fontId="16" fillId="6" borderId="5" xfId="14" applyNumberFormat="1" applyFont="1" applyFill="1" applyBorder="1" applyAlignment="1">
      <alignment horizontal="center" vertical="center"/>
    </xf>
    <xf numFmtId="0" fontId="16" fillId="0" borderId="36" xfId="1359" applyFont="1" applyBorder="1" applyAlignment="1">
      <alignment horizontal="center" vertical="center"/>
    </xf>
    <xf numFmtId="195" fontId="16" fillId="0" borderId="140" xfId="14" applyNumberFormat="1" applyFont="1" applyFill="1" applyBorder="1" applyAlignment="1" applyProtection="1">
      <alignment horizontal="center" vertical="center"/>
    </xf>
    <xf numFmtId="0" fontId="16" fillId="0" borderId="114" xfId="1359" applyFont="1" applyBorder="1" applyAlignment="1">
      <alignment vertical="center"/>
    </xf>
    <xf numFmtId="195" fontId="16" fillId="0" borderId="114" xfId="14" applyNumberFormat="1" applyFont="1" applyFill="1" applyBorder="1" applyAlignment="1" applyProtection="1">
      <alignment vertical="center"/>
    </xf>
    <xf numFmtId="195" fontId="16" fillId="0" borderId="114" xfId="14" applyNumberFormat="1" applyFont="1" applyFill="1" applyBorder="1" applyAlignment="1">
      <alignment vertical="center"/>
    </xf>
    <xf numFmtId="0" fontId="1" fillId="0" borderId="0" xfId="1358" applyFont="1"/>
    <xf numFmtId="0" fontId="16" fillId="0" borderId="25" xfId="1359" applyFont="1" applyBorder="1"/>
    <xf numFmtId="170" fontId="16" fillId="0" borderId="25" xfId="24" applyFont="1" applyFill="1" applyBorder="1" applyAlignment="1" applyProtection="1"/>
    <xf numFmtId="302" fontId="16" fillId="0" borderId="25" xfId="24" applyNumberFormat="1" applyFont="1" applyFill="1" applyBorder="1" applyAlignment="1" applyProtection="1"/>
    <xf numFmtId="0" fontId="16" fillId="0" borderId="0" xfId="1359" applyFont="1"/>
    <xf numFmtId="302" fontId="16" fillId="0" borderId="0" xfId="1359" applyNumberFormat="1" applyFont="1"/>
    <xf numFmtId="0" fontId="16" fillId="0" borderId="108" xfId="1359" applyFont="1" applyBorder="1"/>
    <xf numFmtId="0" fontId="19" fillId="0" borderId="114" xfId="1359" applyFont="1" applyBorder="1" applyAlignment="1">
      <alignment horizontal="center"/>
    </xf>
    <xf numFmtId="9" fontId="16" fillId="0" borderId="114" xfId="1359" applyNumberFormat="1" applyFont="1" applyBorder="1" applyAlignment="1">
      <alignment horizontal="center"/>
    </xf>
    <xf numFmtId="0" fontId="19" fillId="0" borderId="114" xfId="1359" applyFont="1" applyBorder="1" applyAlignment="1">
      <alignment horizontal="center" vertical="center"/>
    </xf>
    <xf numFmtId="0" fontId="19" fillId="0" borderId="133" xfId="1359" applyFont="1" applyBorder="1" applyAlignment="1">
      <alignment horizontal="center" vertical="center"/>
    </xf>
    <xf numFmtId="0" fontId="16" fillId="0" borderId="107" xfId="1359" applyFont="1" applyBorder="1" applyAlignment="1">
      <alignment horizontal="center"/>
    </xf>
    <xf numFmtId="170" fontId="16" fillId="0" borderId="108" xfId="24" applyFont="1" applyFill="1" applyBorder="1" applyAlignment="1" applyProtection="1"/>
    <xf numFmtId="302" fontId="16" fillId="0" borderId="108" xfId="24" applyNumberFormat="1" applyFont="1" applyFill="1" applyBorder="1" applyAlignment="1" applyProtection="1"/>
    <xf numFmtId="170" fontId="16" fillId="0" borderId="109" xfId="24" applyFont="1" applyFill="1" applyBorder="1" applyAlignment="1" applyProtection="1"/>
    <xf numFmtId="9" fontId="16" fillId="0" borderId="0" xfId="47" applyFont="1"/>
    <xf numFmtId="2" fontId="16" fillId="0" borderId="0" xfId="1359" applyNumberFormat="1" applyFont="1"/>
    <xf numFmtId="0" fontId="19" fillId="0" borderId="111" xfId="1359" applyFont="1" applyBorder="1" applyAlignment="1">
      <alignment horizontal="center"/>
    </xf>
    <xf numFmtId="0" fontId="19" fillId="0" borderId="114" xfId="1359" applyFont="1" applyBorder="1"/>
    <xf numFmtId="170" fontId="19" fillId="0" borderId="114" xfId="24" applyFont="1" applyFill="1" applyBorder="1" applyAlignment="1" applyProtection="1"/>
    <xf numFmtId="302" fontId="19" fillId="0" borderId="114" xfId="24" applyNumberFormat="1" applyFont="1" applyFill="1" applyBorder="1" applyAlignment="1" applyProtection="1"/>
    <xf numFmtId="170" fontId="19" fillId="0" borderId="133" xfId="24" applyFont="1" applyFill="1" applyBorder="1" applyAlignment="1" applyProtection="1"/>
    <xf numFmtId="0" fontId="16" fillId="0" borderId="111" xfId="1359" applyFont="1" applyBorder="1" applyAlignment="1">
      <alignment horizontal="center"/>
    </xf>
    <xf numFmtId="9" fontId="16" fillId="0" borderId="0" xfId="1359" applyNumberFormat="1" applyFont="1"/>
    <xf numFmtId="0" fontId="15" fillId="0" borderId="0" xfId="1359" applyFont="1"/>
    <xf numFmtId="170" fontId="15" fillId="0" borderId="0" xfId="24" applyFont="1" applyFill="1"/>
    <xf numFmtId="0" fontId="16" fillId="6" borderId="18" xfId="1359" applyFont="1" applyFill="1" applyBorder="1"/>
    <xf numFmtId="0" fontId="19" fillId="6" borderId="4" xfId="1359" applyFont="1" applyFill="1" applyBorder="1"/>
    <xf numFmtId="0" fontId="16" fillId="6" borderId="4" xfId="1359" applyFont="1" applyFill="1" applyBorder="1"/>
    <xf numFmtId="0" fontId="16" fillId="6" borderId="5" xfId="1359" applyFont="1" applyFill="1" applyBorder="1"/>
    <xf numFmtId="0" fontId="16" fillId="0" borderId="36" xfId="1359" applyFont="1" applyBorder="1" applyAlignment="1">
      <alignment horizontal="center"/>
    </xf>
    <xf numFmtId="170" fontId="16" fillId="0" borderId="140" xfId="24" applyFont="1" applyFill="1" applyBorder="1" applyAlignment="1" applyProtection="1"/>
    <xf numFmtId="0" fontId="16" fillId="0" borderId="34" xfId="1359" applyFont="1" applyBorder="1"/>
    <xf numFmtId="0" fontId="19" fillId="0" borderId="12" xfId="1359" applyFont="1" applyBorder="1" applyAlignment="1">
      <alignment horizontal="center"/>
    </xf>
    <xf numFmtId="302" fontId="19" fillId="0" borderId="12" xfId="1359" applyNumberFormat="1" applyFont="1" applyBorder="1"/>
    <xf numFmtId="170" fontId="19" fillId="0" borderId="12" xfId="24" applyFont="1" applyFill="1" applyBorder="1" applyAlignment="1" applyProtection="1"/>
    <xf numFmtId="302" fontId="19" fillId="0" borderId="12" xfId="24" applyNumberFormat="1" applyFont="1" applyFill="1" applyBorder="1" applyAlignment="1" applyProtection="1"/>
    <xf numFmtId="170" fontId="19" fillId="0" borderId="143" xfId="24" applyFont="1" applyFill="1" applyBorder="1" applyAlignment="1" applyProtection="1"/>
    <xf numFmtId="9" fontId="19" fillId="0" borderId="4" xfId="1359" applyNumberFormat="1" applyFont="1" applyBorder="1" applyAlignment="1">
      <alignment horizontal="center"/>
    </xf>
    <xf numFmtId="9" fontId="16" fillId="6" borderId="4" xfId="1359" applyNumberFormat="1" applyFont="1" applyFill="1" applyBorder="1" applyAlignment="1">
      <alignment horizontal="center"/>
    </xf>
    <xf numFmtId="9" fontId="16" fillId="0" borderId="108" xfId="1359" applyNumberFormat="1" applyFont="1" applyBorder="1" applyAlignment="1">
      <alignment horizontal="center"/>
    </xf>
    <xf numFmtId="9" fontId="19" fillId="0" borderId="114" xfId="1359" applyNumberFormat="1" applyFont="1" applyBorder="1" applyAlignment="1">
      <alignment horizontal="center"/>
    </xf>
    <xf numFmtId="9" fontId="16" fillId="0" borderId="25" xfId="1359" applyNumberFormat="1" applyFont="1" applyBorder="1" applyAlignment="1">
      <alignment horizontal="center"/>
    </xf>
    <xf numFmtId="9" fontId="19" fillId="0" borderId="12" xfId="1359" applyNumberFormat="1" applyFont="1" applyBorder="1" applyAlignment="1">
      <alignment horizontal="center"/>
    </xf>
    <xf numFmtId="0" fontId="1" fillId="0" borderId="0" xfId="1358" applyFont="1" applyAlignment="1">
      <alignment horizontal="center"/>
    </xf>
    <xf numFmtId="0" fontId="15" fillId="0" borderId="0" xfId="1359" applyFont="1" applyAlignment="1">
      <alignment horizontal="center"/>
    </xf>
    <xf numFmtId="170" fontId="19" fillId="12" borderId="38" xfId="15" applyNumberFormat="1" applyFont="1" applyFill="1" applyBorder="1" applyAlignment="1" applyProtection="1">
      <alignment vertical="center"/>
      <protection locked="0" hidden="1"/>
    </xf>
    <xf numFmtId="3" fontId="25" fillId="0" borderId="108" xfId="6" applyNumberFormat="1" applyFont="1" applyBorder="1" applyAlignment="1" applyProtection="1">
      <alignment horizontal="right" vertical="center"/>
      <protection locked="0"/>
    </xf>
    <xf numFmtId="3" fontId="25" fillId="0" borderId="109" xfId="6" applyNumberFormat="1" applyFont="1" applyBorder="1" applyAlignment="1" applyProtection="1">
      <alignment horizontal="right" vertical="center"/>
      <protection locked="0"/>
    </xf>
    <xf numFmtId="3" fontId="25" fillId="0" borderId="114" xfId="6" applyNumberFormat="1" applyFont="1" applyBorder="1" applyAlignment="1" applyProtection="1">
      <alignment horizontal="right" vertical="center"/>
      <protection locked="0"/>
    </xf>
    <xf numFmtId="3" fontId="25" fillId="0" borderId="113" xfId="6" applyNumberFormat="1" applyFont="1" applyBorder="1" applyAlignment="1" applyProtection="1">
      <alignment horizontal="right" vertical="center"/>
      <protection locked="0"/>
    </xf>
    <xf numFmtId="0" fontId="25" fillId="0" borderId="0" xfId="6" applyFont="1" applyAlignment="1">
      <alignment horizontal="center" vertical="center"/>
    </xf>
    <xf numFmtId="3" fontId="25" fillId="0" borderId="28" xfId="6" applyNumberFormat="1" applyFont="1" applyBorder="1" applyAlignment="1" applyProtection="1">
      <alignment horizontal="right" vertical="center"/>
      <protection locked="0"/>
    </xf>
    <xf numFmtId="0" fontId="27" fillId="5" borderId="13" xfId="4" applyFont="1" applyFill="1" applyBorder="1" applyAlignment="1" applyProtection="1">
      <alignment horizontal="center" vertical="center"/>
      <protection locked="0"/>
    </xf>
    <xf numFmtId="3" fontId="25" fillId="0" borderId="26" xfId="6" applyNumberFormat="1" applyFont="1" applyBorder="1" applyAlignment="1" applyProtection="1">
      <alignment horizontal="right" vertical="center"/>
      <protection locked="0"/>
    </xf>
    <xf numFmtId="0" fontId="222" fillId="12" borderId="23" xfId="1034" applyFont="1" applyFill="1" applyBorder="1" applyAlignment="1">
      <alignment horizontal="center" vertical="center"/>
    </xf>
    <xf numFmtId="0" fontId="222" fillId="12" borderId="2" xfId="1034" applyFont="1" applyFill="1" applyBorder="1" applyAlignment="1">
      <alignment horizontal="center" vertical="center"/>
    </xf>
    <xf numFmtId="0" fontId="222" fillId="12" borderId="24" xfId="1034" applyFont="1" applyFill="1" applyBorder="1" applyAlignment="1">
      <alignment horizontal="center" vertical="center"/>
    </xf>
    <xf numFmtId="0" fontId="13" fillId="4" borderId="21" xfId="1358" applyFont="1" applyFill="1" applyBorder="1" applyAlignment="1">
      <alignment horizontal="center" vertical="center"/>
    </xf>
    <xf numFmtId="0" fontId="13" fillId="4" borderId="14" xfId="1358" applyFont="1" applyFill="1" applyBorder="1" applyAlignment="1">
      <alignment horizontal="center" vertical="center"/>
    </xf>
    <xf numFmtId="0" fontId="13" fillId="4" borderId="22" xfId="1358" applyFont="1" applyFill="1" applyBorder="1" applyAlignment="1">
      <alignment horizontal="center" vertical="center"/>
    </xf>
    <xf numFmtId="0" fontId="19" fillId="0" borderId="33" xfId="1359" applyFont="1" applyBorder="1" applyAlignment="1">
      <alignment horizontal="center" vertical="center"/>
    </xf>
    <xf numFmtId="0" fontId="19" fillId="0" borderId="34" xfId="1359" applyFont="1" applyBorder="1" applyAlignment="1">
      <alignment horizontal="center" vertical="center"/>
    </xf>
    <xf numFmtId="0" fontId="19" fillId="0" borderId="41" xfId="1359" applyFont="1" applyBorder="1" applyAlignment="1">
      <alignment horizontal="center" vertical="center"/>
    </xf>
    <xf numFmtId="0" fontId="19" fillId="0" borderId="12" xfId="1359" applyFont="1" applyBorder="1" applyAlignment="1">
      <alignment horizontal="center" vertical="center"/>
    </xf>
    <xf numFmtId="0" fontId="19" fillId="0" borderId="4" xfId="1359" applyFont="1" applyBorder="1" applyAlignment="1">
      <alignment horizontal="center" vertical="center"/>
    </xf>
    <xf numFmtId="0" fontId="19" fillId="0" borderId="61" xfId="1359" applyFont="1" applyBorder="1" applyAlignment="1">
      <alignment horizontal="center" vertical="center"/>
    </xf>
    <xf numFmtId="0" fontId="19" fillId="0" borderId="24" xfId="1359" applyFont="1" applyBorder="1" applyAlignment="1">
      <alignment horizontal="center" vertical="center"/>
    </xf>
    <xf numFmtId="0" fontId="16" fillId="0" borderId="0" xfId="1359" applyFont="1" applyAlignment="1">
      <alignment horizontal="center" wrapText="1"/>
    </xf>
    <xf numFmtId="0" fontId="19" fillId="0" borderId="4" xfId="1359" applyFont="1" applyBorder="1" applyAlignment="1">
      <alignment horizontal="center"/>
    </xf>
    <xf numFmtId="0" fontId="23" fillId="96" borderId="119" xfId="43" applyFont="1" applyFill="1" applyBorder="1" applyAlignment="1">
      <alignment horizontal="left" vertical="center" wrapText="1"/>
    </xf>
    <xf numFmtId="0" fontId="23" fillId="96" borderId="26" xfId="43" applyFont="1" applyFill="1" applyBorder="1" applyAlignment="1">
      <alignment horizontal="left" vertical="center" wrapText="1"/>
    </xf>
    <xf numFmtId="0" fontId="223" fillId="12" borderId="32" xfId="43" applyFont="1" applyFill="1" applyBorder="1" applyAlignment="1">
      <alignment horizontal="center" vertical="center"/>
    </xf>
    <xf numFmtId="0" fontId="25" fillId="0" borderId="105" xfId="16" applyFont="1" applyBorder="1" applyAlignment="1">
      <alignment horizontal="center" vertical="center"/>
    </xf>
    <xf numFmtId="0" fontId="25" fillId="0" borderId="36" xfId="16" applyFont="1" applyBorder="1" applyAlignment="1">
      <alignment horizontal="center" vertical="center"/>
    </xf>
    <xf numFmtId="0" fontId="25" fillId="0" borderId="31" xfId="16" applyFont="1" applyBorder="1" applyAlignment="1">
      <alignment horizontal="center" vertical="center"/>
    </xf>
    <xf numFmtId="0" fontId="40" fillId="0" borderId="119" xfId="16" applyFont="1" applyBorder="1" applyAlignment="1">
      <alignment horizontal="left" vertical="center" wrapText="1"/>
    </xf>
    <xf numFmtId="0" fontId="40" fillId="0" borderId="25" xfId="16" applyFont="1" applyBorder="1" applyAlignment="1">
      <alignment horizontal="left" vertical="center" wrapText="1"/>
    </xf>
    <xf numFmtId="0" fontId="40" fillId="0" borderId="26" xfId="16" applyFont="1" applyBorder="1" applyAlignment="1">
      <alignment horizontal="left" vertical="center" wrapText="1"/>
    </xf>
    <xf numFmtId="0" fontId="25" fillId="0" borderId="34" xfId="16" applyFont="1" applyBorder="1" applyAlignment="1">
      <alignment horizontal="center" vertical="center"/>
    </xf>
    <xf numFmtId="0" fontId="25" fillId="0" borderId="119" xfId="16" applyFont="1" applyBorder="1" applyAlignment="1">
      <alignment horizontal="left" vertical="center" wrapText="1"/>
    </xf>
    <xf numFmtId="0" fontId="25" fillId="0" borderId="25" xfId="16" applyFont="1" applyBorder="1" applyAlignment="1">
      <alignment horizontal="left" vertical="center" wrapText="1"/>
    </xf>
    <xf numFmtId="0" fontId="25" fillId="0" borderId="12" xfId="16" applyFont="1" applyBorder="1" applyAlignment="1">
      <alignment horizontal="left" vertical="center" wrapText="1"/>
    </xf>
    <xf numFmtId="0" fontId="25" fillId="0" borderId="105" xfId="16" applyFont="1" applyBorder="1" applyAlignment="1">
      <alignment horizontal="center" vertical="center" wrapText="1"/>
    </xf>
    <xf numFmtId="0" fontId="25" fillId="0" borderId="36" xfId="16" applyFont="1" applyBorder="1" applyAlignment="1">
      <alignment horizontal="center" vertical="center" wrapText="1"/>
    </xf>
    <xf numFmtId="0" fontId="25" fillId="0" borderId="31" xfId="16" applyFont="1" applyBorder="1" applyAlignment="1">
      <alignment horizontal="center" vertical="center" wrapText="1"/>
    </xf>
    <xf numFmtId="0" fontId="25" fillId="0" borderId="26" xfId="16" applyFont="1" applyBorder="1" applyAlignment="1">
      <alignment horizontal="left" vertical="center" wrapText="1"/>
    </xf>
    <xf numFmtId="0" fontId="40" fillId="0" borderId="105" xfId="16" applyFont="1" applyBorder="1" applyAlignment="1">
      <alignment horizontal="center" vertical="center"/>
    </xf>
    <xf numFmtId="0" fontId="40" fillId="0" borderId="36" xfId="16" applyFont="1" applyBorder="1" applyAlignment="1">
      <alignment horizontal="center" vertical="center"/>
    </xf>
    <xf numFmtId="0" fontId="40" fillId="0" borderId="31" xfId="16" applyFont="1" applyBorder="1" applyAlignment="1">
      <alignment horizontal="center" vertical="center"/>
    </xf>
    <xf numFmtId="0" fontId="41" fillId="0" borderId="25" xfId="15" applyFont="1" applyBorder="1" applyAlignment="1">
      <alignment vertical="center" wrapText="1"/>
    </xf>
    <xf numFmtId="0" fontId="41" fillId="0" borderId="26" xfId="15" applyFont="1" applyBorder="1" applyAlignment="1">
      <alignment vertical="center" wrapText="1"/>
    </xf>
    <xf numFmtId="0" fontId="29" fillId="4" borderId="16" xfId="16" applyFont="1" applyFill="1" applyBorder="1" applyAlignment="1">
      <alignment horizontal="center" vertical="center"/>
    </xf>
    <xf numFmtId="0" fontId="29" fillId="4" borderId="3" xfId="16" applyFont="1" applyFill="1" applyBorder="1" applyAlignment="1">
      <alignment horizontal="center" vertical="center"/>
    </xf>
    <xf numFmtId="0" fontId="29" fillId="4" borderId="39" xfId="16" applyFont="1" applyFill="1" applyBorder="1" applyAlignment="1">
      <alignment horizontal="center" vertical="center"/>
    </xf>
    <xf numFmtId="0" fontId="26" fillId="6" borderId="23" xfId="4" applyFont="1" applyFill="1" applyBorder="1" applyAlignment="1" applyProtection="1">
      <alignment horizontal="center" vertical="center"/>
      <protection locked="0"/>
    </xf>
    <xf numFmtId="0" fontId="26" fillId="6" borderId="24" xfId="4" applyFont="1" applyFill="1" applyBorder="1" applyAlignment="1" applyProtection="1">
      <alignment horizontal="center" vertical="center"/>
      <protection locked="0"/>
    </xf>
    <xf numFmtId="0" fontId="27" fillId="5" borderId="37" xfId="4" applyFont="1" applyFill="1" applyBorder="1" applyAlignment="1" applyProtection="1">
      <alignment horizontal="left" vertical="center"/>
      <protection locked="0"/>
    </xf>
    <xf numFmtId="0" fontId="27" fillId="5" borderId="6" xfId="4" applyFont="1" applyFill="1" applyBorder="1" applyAlignment="1" applyProtection="1">
      <alignment horizontal="left" vertical="center"/>
      <protection locked="0"/>
    </xf>
    <xf numFmtId="0" fontId="27" fillId="5" borderId="38" xfId="4" applyFont="1" applyFill="1" applyBorder="1" applyAlignment="1" applyProtection="1">
      <alignment horizontal="left" vertical="center"/>
      <protection locked="0"/>
    </xf>
    <xf numFmtId="0" fontId="42" fillId="4" borderId="23" xfId="4" applyFont="1" applyFill="1" applyBorder="1" applyAlignment="1">
      <alignment horizontal="center" vertical="center"/>
    </xf>
    <xf numFmtId="0" fontId="42" fillId="4" borderId="2" xfId="4" applyFont="1" applyFill="1" applyBorder="1" applyAlignment="1">
      <alignment horizontal="center" vertical="center"/>
    </xf>
    <xf numFmtId="0" fontId="42" fillId="4" borderId="24" xfId="4" applyFont="1" applyFill="1" applyBorder="1" applyAlignment="1">
      <alignment horizontal="center" vertical="center"/>
    </xf>
    <xf numFmtId="0" fontId="27" fillId="5" borderId="40" xfId="4" applyFont="1" applyFill="1" applyBorder="1" applyAlignment="1">
      <alignment horizontal="left" vertical="center"/>
    </xf>
    <xf numFmtId="0" fontId="27" fillId="5" borderId="35" xfId="4" applyFont="1" applyFill="1" applyBorder="1" applyAlignment="1">
      <alignment horizontal="left" vertical="center"/>
    </xf>
    <xf numFmtId="0" fontId="27" fillId="5" borderId="11" xfId="4" applyFont="1" applyFill="1" applyBorder="1" applyAlignment="1">
      <alignment horizontal="left" vertical="center"/>
    </xf>
    <xf numFmtId="0" fontId="0" fillId="0" borderId="2" xfId="0" applyBorder="1" applyProtection="1">
      <protection locked="0"/>
    </xf>
    <xf numFmtId="0" fontId="27" fillId="5" borderId="21" xfId="4" applyFont="1" applyFill="1" applyBorder="1" applyAlignment="1" applyProtection="1">
      <alignment horizontal="left" vertical="center"/>
      <protection locked="0"/>
    </xf>
    <xf numFmtId="0" fontId="27" fillId="5" borderId="14" xfId="4" applyFont="1" applyFill="1" applyBorder="1" applyAlignment="1" applyProtection="1">
      <alignment horizontal="left" vertical="center"/>
      <protection locked="0"/>
    </xf>
    <xf numFmtId="0" fontId="27" fillId="5" borderId="22" xfId="4" applyFont="1" applyFill="1" applyBorder="1" applyAlignment="1" applyProtection="1">
      <alignment horizontal="left" vertical="center"/>
      <protection locked="0"/>
    </xf>
    <xf numFmtId="0" fontId="27" fillId="5" borderId="40" xfId="4" applyFont="1" applyFill="1" applyBorder="1" applyAlignment="1">
      <alignment horizontal="center" vertical="center"/>
    </xf>
    <xf numFmtId="0" fontId="27" fillId="5" borderId="11" xfId="4" applyFont="1" applyFill="1" applyBorder="1" applyAlignment="1">
      <alignment horizontal="center" vertical="center"/>
    </xf>
    <xf numFmtId="0" fontId="24" fillId="101" borderId="14" xfId="16" applyFont="1" applyFill="1" applyBorder="1" applyAlignment="1" applyProtection="1">
      <alignment horizontal="center" vertical="center" wrapText="1"/>
      <protection locked="0" hidden="1"/>
    </xf>
    <xf numFmtId="0" fontId="24" fillId="101" borderId="22" xfId="16" applyFont="1" applyFill="1" applyBorder="1" applyAlignment="1" applyProtection="1">
      <alignment horizontal="center" vertical="center" wrapText="1"/>
      <protection locked="0" hidden="1"/>
    </xf>
    <xf numFmtId="0" fontId="24" fillId="10" borderId="14" xfId="16" applyFont="1" applyFill="1" applyBorder="1" applyAlignment="1" applyProtection="1">
      <alignment horizontal="center" vertical="center" wrapText="1"/>
      <protection locked="0" hidden="1"/>
    </xf>
    <xf numFmtId="0" fontId="24" fillId="10" borderId="22" xfId="16" applyFont="1" applyFill="1" applyBorder="1" applyAlignment="1" applyProtection="1">
      <alignment horizontal="center" vertical="center" wrapText="1"/>
      <protection locked="0" hidden="1"/>
    </xf>
    <xf numFmtId="0" fontId="29" fillId="4" borderId="23" xfId="16" applyFont="1" applyFill="1" applyBorder="1" applyAlignment="1" applyProtection="1">
      <alignment horizontal="left" vertical="center" wrapText="1"/>
      <protection hidden="1"/>
    </xf>
    <xf numFmtId="0" fontId="29" fillId="4" borderId="24" xfId="16" applyFont="1" applyFill="1" applyBorder="1" applyAlignment="1" applyProtection="1">
      <alignment horizontal="left" vertical="center" wrapText="1"/>
      <protection hidden="1"/>
    </xf>
    <xf numFmtId="0" fontId="29" fillId="4" borderId="37" xfId="16" applyFont="1" applyFill="1" applyBorder="1" applyAlignment="1" applyProtection="1">
      <alignment horizontal="left" vertical="center" wrapText="1"/>
      <protection hidden="1"/>
    </xf>
    <xf numFmtId="0" fontId="29" fillId="4" borderId="38" xfId="16" applyFont="1" applyFill="1" applyBorder="1" applyAlignment="1" applyProtection="1">
      <alignment horizontal="left" vertical="center" wrapText="1"/>
      <protection hidden="1"/>
    </xf>
    <xf numFmtId="0" fontId="28" fillId="12" borderId="21" xfId="16" applyFont="1" applyFill="1" applyBorder="1" applyAlignment="1" applyProtection="1">
      <alignment horizontal="center" vertical="center" wrapText="1"/>
      <protection locked="0" hidden="1"/>
    </xf>
    <xf numFmtId="0" fontId="28" fillId="12" borderId="14" xfId="16" applyFont="1" applyFill="1" applyBorder="1" applyAlignment="1" applyProtection="1">
      <alignment horizontal="center" vertical="center" wrapText="1"/>
      <protection locked="0" hidden="1"/>
    </xf>
    <xf numFmtId="0" fontId="28" fillId="12" borderId="22" xfId="16" applyFont="1" applyFill="1" applyBorder="1" applyAlignment="1" applyProtection="1">
      <alignment horizontal="center" vertical="center" wrapText="1"/>
      <protection locked="0" hidden="1"/>
    </xf>
    <xf numFmtId="0" fontId="24" fillId="98" borderId="21" xfId="16" applyFont="1" applyFill="1" applyBorder="1" applyAlignment="1" applyProtection="1">
      <alignment horizontal="center" vertical="center" wrapText="1"/>
      <protection locked="0" hidden="1"/>
    </xf>
    <xf numFmtId="0" fontId="24" fillId="98" borderId="14" xfId="16" applyFont="1" applyFill="1" applyBorder="1" applyAlignment="1" applyProtection="1">
      <alignment horizontal="center" vertical="center" wrapText="1"/>
      <protection locked="0" hidden="1"/>
    </xf>
    <xf numFmtId="0" fontId="24" fillId="98" borderId="22" xfId="16" applyFont="1" applyFill="1" applyBorder="1" applyAlignment="1" applyProtection="1">
      <alignment horizontal="center" vertical="center" wrapText="1"/>
      <protection locked="0" hidden="1"/>
    </xf>
    <xf numFmtId="0" fontId="31" fillId="13" borderId="23" xfId="16" applyFont="1" applyFill="1" applyBorder="1" applyAlignment="1" applyProtection="1">
      <alignment horizontal="right" vertical="center"/>
      <protection hidden="1"/>
    </xf>
    <xf numFmtId="0" fontId="31" fillId="13" borderId="24" xfId="16" applyFont="1" applyFill="1" applyBorder="1" applyAlignment="1" applyProtection="1">
      <alignment horizontal="right" vertical="center"/>
      <protection hidden="1"/>
    </xf>
    <xf numFmtId="0" fontId="24" fillId="102" borderId="21" xfId="16" applyFont="1" applyFill="1" applyBorder="1" applyAlignment="1" applyProtection="1">
      <alignment horizontal="center" vertical="center" wrapText="1"/>
      <protection locked="0" hidden="1"/>
    </xf>
    <xf numFmtId="0" fontId="24" fillId="102" borderId="22" xfId="16" applyFont="1" applyFill="1" applyBorder="1" applyAlignment="1" applyProtection="1">
      <alignment horizontal="center" vertical="center" wrapText="1"/>
      <protection locked="0" hidden="1"/>
    </xf>
    <xf numFmtId="0" fontId="24" fillId="4" borderId="23" xfId="16" applyFont="1" applyFill="1" applyBorder="1" applyAlignment="1" applyProtection="1">
      <alignment horizontal="center" vertical="center" wrapText="1"/>
      <protection hidden="1"/>
    </xf>
    <xf numFmtId="0" fontId="24" fillId="4" borderId="24" xfId="16" applyFont="1" applyFill="1" applyBorder="1" applyAlignment="1" applyProtection="1">
      <alignment horizontal="center" vertical="center" wrapText="1"/>
      <protection hidden="1"/>
    </xf>
    <xf numFmtId="0" fontId="24" fillId="4" borderId="37" xfId="16" applyFont="1" applyFill="1" applyBorder="1" applyAlignment="1" applyProtection="1">
      <alignment horizontal="center" vertical="center" wrapText="1"/>
      <protection hidden="1"/>
    </xf>
    <xf numFmtId="0" fontId="24" fillId="4" borderId="38" xfId="16" applyFont="1" applyFill="1" applyBorder="1" applyAlignment="1" applyProtection="1">
      <alignment horizontal="center" vertical="center" wrapText="1"/>
      <protection hidden="1"/>
    </xf>
    <xf numFmtId="4" fontId="28" fillId="12" borderId="35" xfId="16" applyNumberFormat="1" applyFont="1" applyFill="1" applyBorder="1" applyAlignment="1" applyProtection="1">
      <alignment horizontal="center" vertical="center"/>
      <protection locked="0" hidden="1"/>
    </xf>
    <xf numFmtId="4" fontId="28" fillId="12" borderId="11" xfId="16" applyNumberFormat="1" applyFont="1" applyFill="1" applyBorder="1" applyAlignment="1" applyProtection="1">
      <alignment horizontal="center" vertical="center"/>
      <protection locked="0" hidden="1"/>
    </xf>
    <xf numFmtId="4" fontId="24" fillId="101" borderId="35" xfId="16" applyNumberFormat="1" applyFont="1" applyFill="1" applyBorder="1" applyAlignment="1" applyProtection="1">
      <alignment horizontal="center" vertical="center"/>
      <protection locked="0" hidden="1"/>
    </xf>
    <xf numFmtId="4" fontId="24" fillId="101" borderId="11" xfId="16" applyNumberFormat="1" applyFont="1" applyFill="1" applyBorder="1" applyAlignment="1" applyProtection="1">
      <alignment horizontal="center" vertical="center"/>
      <protection locked="0" hidden="1"/>
    </xf>
    <xf numFmtId="0" fontId="24" fillId="102" borderId="14" xfId="16" applyFont="1" applyFill="1" applyBorder="1" applyAlignment="1" applyProtection="1">
      <alignment horizontal="center" vertical="center" wrapText="1"/>
      <protection locked="0" hidden="1"/>
    </xf>
    <xf numFmtId="0" fontId="24" fillId="100" borderId="21" xfId="16" applyFont="1" applyFill="1" applyBorder="1" applyAlignment="1" applyProtection="1">
      <alignment horizontal="center" vertical="center" wrapText="1"/>
      <protection locked="0" hidden="1"/>
    </xf>
    <xf numFmtId="0" fontId="24" fillId="100" borderId="22" xfId="16" applyFont="1" applyFill="1" applyBorder="1" applyAlignment="1" applyProtection="1">
      <alignment horizontal="center" vertical="center" wrapText="1"/>
      <protection locked="0" hidden="1"/>
    </xf>
    <xf numFmtId="0" fontId="24" fillId="96" borderId="21" xfId="16" applyFont="1" applyFill="1" applyBorder="1" applyAlignment="1" applyProtection="1">
      <alignment horizontal="center" vertical="center" wrapText="1"/>
      <protection locked="0" hidden="1"/>
    </xf>
    <xf numFmtId="0" fontId="24" fillId="96" borderId="14" xfId="16" applyFont="1" applyFill="1" applyBorder="1" applyAlignment="1" applyProtection="1">
      <alignment horizontal="center" vertical="center" wrapText="1"/>
      <protection locked="0" hidden="1"/>
    </xf>
    <xf numFmtId="0" fontId="24" fillId="96" borderId="22" xfId="16" applyFont="1" applyFill="1" applyBorder="1" applyAlignment="1" applyProtection="1">
      <alignment horizontal="center" vertical="center" wrapText="1"/>
      <protection locked="0" hidden="1"/>
    </xf>
    <xf numFmtId="0" fontId="14" fillId="6" borderId="139" xfId="1045" applyFont="1" applyFill="1" applyBorder="1" applyAlignment="1">
      <alignment horizontal="left" vertical="center"/>
    </xf>
    <xf numFmtId="0" fontId="14" fillId="6" borderId="122" xfId="1045" applyFont="1" applyFill="1" applyBorder="1" applyAlignment="1">
      <alignment horizontal="left" vertical="center"/>
    </xf>
    <xf numFmtId="0" fontId="14" fillId="6" borderId="1" xfId="1045" applyFont="1" applyFill="1" applyBorder="1" applyAlignment="1">
      <alignment horizontal="left" vertical="center"/>
    </xf>
    <xf numFmtId="0" fontId="14" fillId="6" borderId="128" xfId="1045" applyFont="1" applyFill="1" applyBorder="1" applyAlignment="1">
      <alignment horizontal="left" vertical="center"/>
    </xf>
    <xf numFmtId="0" fontId="14" fillId="6" borderId="46" xfId="1045" applyFont="1" applyFill="1" applyBorder="1" applyAlignment="1">
      <alignment horizontal="left" vertical="center"/>
    </xf>
    <xf numFmtId="0" fontId="14" fillId="6" borderId="138" xfId="1045" applyFont="1" applyFill="1" applyBorder="1" applyAlignment="1">
      <alignment horizontal="left" vertical="center"/>
    </xf>
    <xf numFmtId="0" fontId="4" fillId="0" borderId="107" xfId="1045" applyBorder="1" applyAlignment="1">
      <alignment horizontal="center" vertical="center"/>
    </xf>
    <xf numFmtId="0" fontId="4" fillId="0" borderId="108" xfId="1045" applyBorder="1" applyAlignment="1">
      <alignment horizontal="center" vertical="center"/>
    </xf>
    <xf numFmtId="0" fontId="223" fillId="12" borderId="16" xfId="1045" applyFont="1" applyFill="1" applyBorder="1" applyAlignment="1">
      <alignment horizontal="center" vertical="center" wrapText="1"/>
    </xf>
    <xf numFmtId="0" fontId="223" fillId="12" borderId="3" xfId="1045" applyFont="1" applyFill="1" applyBorder="1" applyAlignment="1">
      <alignment horizontal="center" vertical="center" wrapText="1"/>
    </xf>
    <xf numFmtId="0" fontId="223" fillId="12" borderId="39" xfId="1045" applyFont="1" applyFill="1" applyBorder="1" applyAlignment="1">
      <alignment horizontal="center" vertical="center" wrapText="1"/>
    </xf>
    <xf numFmtId="0" fontId="9" fillId="11" borderId="21" xfId="4" applyFont="1" applyFill="1" applyBorder="1" applyAlignment="1">
      <alignment horizontal="left" vertical="center"/>
    </xf>
    <xf numFmtId="0" fontId="9" fillId="11" borderId="22" xfId="4" applyFont="1" applyFill="1" applyBorder="1" applyAlignment="1">
      <alignment horizontal="left" vertical="center"/>
    </xf>
    <xf numFmtId="0" fontId="9" fillId="21" borderId="21" xfId="4" applyFont="1" applyFill="1" applyBorder="1" applyAlignment="1">
      <alignment horizontal="left" vertical="center"/>
    </xf>
    <xf numFmtId="0" fontId="9" fillId="21" borderId="14" xfId="4" applyFont="1" applyFill="1" applyBorder="1" applyAlignment="1">
      <alignment horizontal="left" vertical="center"/>
    </xf>
    <xf numFmtId="0" fontId="212" fillId="10" borderId="21" xfId="4" applyFont="1" applyFill="1" applyBorder="1" applyAlignment="1">
      <alignment horizontal="left" vertical="center" wrapText="1"/>
    </xf>
    <xf numFmtId="0" fontId="212" fillId="10" borderId="14" xfId="4" applyFont="1" applyFill="1" applyBorder="1" applyAlignment="1">
      <alignment horizontal="left" vertical="center" wrapText="1"/>
    </xf>
    <xf numFmtId="0" fontId="212" fillId="10" borderId="22" xfId="4" applyFont="1" applyFill="1" applyBorder="1" applyAlignment="1">
      <alignment horizontal="left" vertical="center" wrapText="1"/>
    </xf>
    <xf numFmtId="0" fontId="212" fillId="102" borderId="21" xfId="4" applyFont="1" applyFill="1" applyBorder="1" applyAlignment="1">
      <alignment horizontal="left" vertical="center" wrapText="1"/>
    </xf>
    <xf numFmtId="0" fontId="212" fillId="102" borderId="14" xfId="4" applyFont="1" applyFill="1" applyBorder="1" applyAlignment="1">
      <alignment horizontal="left" vertical="center" wrapText="1"/>
    </xf>
    <xf numFmtId="0" fontId="212" fillId="102" borderId="22" xfId="4" applyFont="1" applyFill="1" applyBorder="1" applyAlignment="1">
      <alignment horizontal="left" vertical="center" wrapText="1"/>
    </xf>
    <xf numFmtId="0" fontId="212" fillId="99" borderId="21" xfId="4" applyFont="1" applyFill="1" applyBorder="1" applyAlignment="1">
      <alignment horizontal="left" vertical="center" wrapText="1"/>
    </xf>
    <xf numFmtId="0" fontId="212" fillId="99" borderId="14" xfId="4" applyFont="1" applyFill="1" applyBorder="1" applyAlignment="1">
      <alignment horizontal="left" vertical="center" wrapText="1"/>
    </xf>
    <xf numFmtId="0" fontId="212" fillId="99" borderId="22" xfId="4" applyFont="1" applyFill="1" applyBorder="1" applyAlignment="1">
      <alignment horizontal="left" vertical="center" wrapText="1"/>
    </xf>
    <xf numFmtId="0" fontId="18" fillId="5" borderId="37" xfId="15" applyFont="1" applyFill="1" applyBorder="1" applyAlignment="1" applyProtection="1">
      <alignment horizontal="left" vertical="center"/>
      <protection locked="0" hidden="1"/>
    </xf>
    <xf numFmtId="0" fontId="18" fillId="5" borderId="38" xfId="15" applyFont="1" applyFill="1" applyBorder="1" applyAlignment="1" applyProtection="1">
      <alignment horizontal="left" vertical="center"/>
      <protection locked="0" hidden="1"/>
    </xf>
    <xf numFmtId="0" fontId="13" fillId="4" borderId="21" xfId="15" applyFont="1" applyFill="1" applyBorder="1" applyAlignment="1" applyProtection="1">
      <alignment horizontal="center" vertical="center"/>
      <protection locked="0" hidden="1"/>
    </xf>
    <xf numFmtId="0" fontId="13" fillId="4" borderId="14" xfId="15" applyFont="1" applyFill="1" applyBorder="1" applyAlignment="1" applyProtection="1">
      <alignment horizontal="center" vertical="center"/>
      <protection locked="0" hidden="1"/>
    </xf>
    <xf numFmtId="0" fontId="13" fillId="4" borderId="22" xfId="15" applyFont="1" applyFill="1" applyBorder="1" applyAlignment="1" applyProtection="1">
      <alignment horizontal="center" vertical="center"/>
      <protection locked="0" hidden="1"/>
    </xf>
    <xf numFmtId="0" fontId="18" fillId="5" borderId="110" xfId="16" applyFont="1" applyFill="1" applyBorder="1" applyAlignment="1" applyProtection="1">
      <alignment horizontal="center" vertical="center" wrapText="1"/>
      <protection locked="0" hidden="1"/>
    </xf>
    <xf numFmtId="0" fontId="18" fillId="5" borderId="116" xfId="16" applyFont="1" applyFill="1" applyBorder="1" applyAlignment="1" applyProtection="1">
      <alignment horizontal="center" vertical="center" wrapText="1"/>
      <protection locked="0" hidden="1"/>
    </xf>
    <xf numFmtId="0" fontId="13" fillId="4" borderId="16" xfId="43" applyFont="1" applyFill="1" applyBorder="1" applyAlignment="1">
      <alignment horizontal="center" vertical="center"/>
    </xf>
    <xf numFmtId="0" fontId="13" fillId="4" borderId="3" xfId="43" applyFont="1" applyFill="1" applyBorder="1" applyAlignment="1">
      <alignment horizontal="center" vertical="center"/>
    </xf>
    <xf numFmtId="0" fontId="13" fillId="4" borderId="39" xfId="43" applyFont="1" applyFill="1" applyBorder="1" applyAlignment="1">
      <alignment horizontal="center" vertical="center"/>
    </xf>
    <xf numFmtId="0" fontId="28" fillId="0" borderId="6" xfId="43" applyFont="1" applyBorder="1" applyAlignment="1">
      <alignment horizontal="left" vertical="center"/>
    </xf>
    <xf numFmtId="0" fontId="28" fillId="0" borderId="0" xfId="43" applyFont="1" applyAlignment="1">
      <alignment horizontal="left" vertical="center"/>
    </xf>
    <xf numFmtId="0" fontId="28" fillId="0" borderId="142" xfId="43" applyFont="1" applyBorder="1" applyAlignment="1">
      <alignment horizontal="left" vertical="center"/>
    </xf>
    <xf numFmtId="0" fontId="29" fillId="4" borderId="14" xfId="4" applyFont="1" applyFill="1" applyBorder="1" applyAlignment="1">
      <alignment horizontal="center" vertical="center"/>
    </xf>
    <xf numFmtId="0" fontId="29" fillId="4" borderId="22" xfId="4" applyFont="1" applyFill="1" applyBorder="1" applyAlignment="1">
      <alignment horizontal="center" vertical="center"/>
    </xf>
    <xf numFmtId="0" fontId="14" fillId="11" borderId="33" xfId="4" applyFont="1" applyFill="1" applyBorder="1" applyAlignment="1" applyProtection="1">
      <alignment horizontal="left" vertical="center"/>
      <protection locked="0"/>
    </xf>
    <xf numFmtId="0" fontId="14" fillId="11" borderId="34" xfId="4" applyFont="1" applyFill="1" applyBorder="1" applyAlignment="1" applyProtection="1">
      <alignment horizontal="left" vertical="center"/>
      <protection locked="0"/>
    </xf>
    <xf numFmtId="0" fontId="14" fillId="11" borderId="42" xfId="4" applyFont="1" applyFill="1" applyBorder="1" applyAlignment="1" applyProtection="1">
      <alignment horizontal="center" vertical="center"/>
      <protection locked="0"/>
    </xf>
    <xf numFmtId="0" fontId="14" fillId="11" borderId="53" xfId="4" applyFont="1" applyFill="1" applyBorder="1" applyAlignment="1" applyProtection="1">
      <alignment horizontal="center" vertical="center"/>
      <protection locked="0"/>
    </xf>
    <xf numFmtId="0" fontId="14" fillId="11" borderId="36" xfId="4" applyFont="1" applyFill="1" applyBorder="1" applyAlignment="1" applyProtection="1">
      <alignment horizontal="left" vertical="center"/>
      <protection locked="0"/>
    </xf>
    <xf numFmtId="0" fontId="14" fillId="11" borderId="41" xfId="4" applyFont="1" applyFill="1" applyBorder="1" applyAlignment="1" applyProtection="1">
      <alignment horizontal="center" vertical="center" wrapText="1"/>
      <protection locked="0"/>
    </xf>
    <xf numFmtId="0" fontId="14" fillId="11" borderId="25" xfId="4" applyFont="1" applyFill="1" applyBorder="1" applyAlignment="1" applyProtection="1">
      <alignment horizontal="center" vertical="center" wrapText="1"/>
      <protection locked="0"/>
    </xf>
    <xf numFmtId="0" fontId="14" fillId="11" borderId="4" xfId="4" applyFont="1" applyFill="1" applyBorder="1" applyAlignment="1" applyProtection="1">
      <alignment horizontal="center" vertical="center"/>
      <protection locked="0"/>
    </xf>
    <xf numFmtId="0" fontId="14" fillId="11" borderId="119" xfId="4" applyFont="1" applyFill="1" applyBorder="1" applyAlignment="1" applyProtection="1">
      <alignment horizontal="center" vertical="center"/>
      <protection locked="0"/>
    </xf>
    <xf numFmtId="171" fontId="14" fillId="11" borderId="5" xfId="14" applyNumberFormat="1" applyFont="1" applyFill="1" applyBorder="1" applyAlignment="1" applyProtection="1">
      <alignment horizontal="center" vertical="center" wrapText="1"/>
      <protection locked="0"/>
    </xf>
    <xf numFmtId="171" fontId="14" fillId="11" borderId="106" xfId="14" applyNumberFormat="1" applyFont="1" applyFill="1" applyBorder="1" applyAlignment="1" applyProtection="1">
      <alignment horizontal="center" vertical="center" wrapText="1"/>
      <protection locked="0"/>
    </xf>
    <xf numFmtId="169" fontId="19" fillId="95" borderId="117" xfId="4" applyNumberFormat="1" applyFont="1" applyFill="1" applyBorder="1" applyAlignment="1">
      <alignment horizontal="left" vertical="center"/>
    </xf>
    <xf numFmtId="169" fontId="19" fillId="95" borderId="118" xfId="4" applyNumberFormat="1" applyFont="1" applyFill="1" applyBorder="1" applyAlignment="1">
      <alignment horizontal="left" vertical="center"/>
    </xf>
    <xf numFmtId="169" fontId="19" fillId="95" borderId="120" xfId="4" applyNumberFormat="1" applyFont="1" applyFill="1" applyBorder="1" applyAlignment="1">
      <alignment horizontal="left" vertical="center"/>
    </xf>
    <xf numFmtId="1" fontId="16" fillId="0" borderId="25" xfId="4" applyNumberFormat="1" applyFont="1" applyBorder="1" applyAlignment="1" applyProtection="1">
      <alignment horizontal="center" vertical="center"/>
      <protection locked="0"/>
    </xf>
    <xf numFmtId="1" fontId="16" fillId="0" borderId="119" xfId="4" applyNumberFormat="1" applyFont="1" applyBorder="1" applyAlignment="1" applyProtection="1">
      <alignment horizontal="center" vertical="center"/>
      <protection locked="0"/>
    </xf>
    <xf numFmtId="0" fontId="32" fillId="0" borderId="107" xfId="1353" applyFont="1" applyBorder="1" applyAlignment="1">
      <alignment horizontal="left" vertical="center"/>
    </xf>
    <xf numFmtId="0" fontId="32" fillId="0" borderId="108" xfId="1353" applyFont="1" applyBorder="1" applyAlignment="1">
      <alignment horizontal="left" vertical="center"/>
    </xf>
    <xf numFmtId="0" fontId="31" fillId="4" borderId="111" xfId="1353" applyFont="1" applyFill="1" applyBorder="1" applyAlignment="1">
      <alignment horizontal="left" vertical="center"/>
    </xf>
    <xf numFmtId="0" fontId="31" fillId="4" borderId="114" xfId="1353" applyFont="1" applyFill="1" applyBorder="1" applyAlignment="1">
      <alignment horizontal="left" vertical="center"/>
    </xf>
    <xf numFmtId="0" fontId="31" fillId="4" borderId="133" xfId="1353" applyFont="1" applyFill="1" applyBorder="1" applyAlignment="1">
      <alignment horizontal="left" vertical="center"/>
    </xf>
    <xf numFmtId="0" fontId="32" fillId="0" borderId="105" xfId="1353" applyFont="1" applyBorder="1" applyAlignment="1">
      <alignment horizontal="left" vertical="center"/>
    </xf>
    <xf numFmtId="0" fontId="32" fillId="0" borderId="119" xfId="1353" applyFont="1" applyBorder="1" applyAlignment="1">
      <alignment horizontal="left" vertical="center"/>
    </xf>
    <xf numFmtId="0" fontId="32" fillId="0" borderId="117" xfId="1353" applyFont="1" applyBorder="1" applyAlignment="1">
      <alignment horizontal="left" vertical="center"/>
    </xf>
    <xf numFmtId="0" fontId="32" fillId="0" borderId="118" xfId="1353" applyFont="1" applyBorder="1" applyAlignment="1">
      <alignment horizontal="left" vertical="center"/>
    </xf>
    <xf numFmtId="0" fontId="32" fillId="0" borderId="120" xfId="1353" applyFont="1" applyBorder="1" applyAlignment="1">
      <alignment horizontal="left" vertical="center"/>
    </xf>
    <xf numFmtId="0" fontId="30" fillId="0" borderId="107" xfId="1353" applyFont="1" applyBorder="1" applyAlignment="1">
      <alignment horizontal="left" vertical="center"/>
    </xf>
    <xf numFmtId="0" fontId="30" fillId="0" borderId="108" xfId="1353" applyFont="1" applyBorder="1" applyAlignment="1">
      <alignment horizontal="left" vertical="center"/>
    </xf>
    <xf numFmtId="0" fontId="30" fillId="0" borderId="109" xfId="1353" applyFont="1" applyBorder="1" applyAlignment="1">
      <alignment horizontal="left" vertical="center"/>
    </xf>
    <xf numFmtId="0" fontId="32" fillId="0" borderId="107" xfId="1353" applyFont="1" applyBorder="1" applyAlignment="1">
      <alignment horizontal="center" vertical="center"/>
    </xf>
    <xf numFmtId="0" fontId="30" fillId="0" borderId="8" xfId="1353" applyFont="1" applyBorder="1" applyAlignment="1">
      <alignment horizontal="center" vertical="center"/>
    </xf>
    <xf numFmtId="0" fontId="30" fillId="0" borderId="9" xfId="1353" applyFont="1" applyBorder="1" applyAlignment="1">
      <alignment horizontal="center" vertical="center"/>
    </xf>
    <xf numFmtId="0" fontId="30" fillId="0" borderId="30" xfId="1353" applyFont="1" applyBorder="1" applyAlignment="1">
      <alignment horizontal="center" vertical="center"/>
    </xf>
    <xf numFmtId="0" fontId="30" fillId="0" borderId="8" xfId="1353" applyFont="1" applyBorder="1" applyAlignment="1">
      <alignment horizontal="left" vertical="center"/>
    </xf>
    <xf numFmtId="0" fontId="30" fillId="0" borderId="9" xfId="1353" applyFont="1" applyBorder="1" applyAlignment="1">
      <alignment horizontal="left" vertical="center"/>
    </xf>
    <xf numFmtId="0" fontId="30" fillId="0" borderId="10" xfId="1353" applyFont="1" applyBorder="1" applyAlignment="1">
      <alignment horizontal="left" vertical="center"/>
    </xf>
    <xf numFmtId="0" fontId="30" fillId="5" borderId="21" xfId="1353" applyFont="1" applyFill="1" applyBorder="1" applyAlignment="1">
      <alignment horizontal="left" vertical="center"/>
    </xf>
    <xf numFmtId="0" fontId="30" fillId="5" borderId="14" xfId="1353" applyFont="1" applyFill="1" applyBorder="1" applyAlignment="1">
      <alignment horizontal="left" vertical="center"/>
    </xf>
    <xf numFmtId="0" fontId="30" fillId="5" borderId="27" xfId="1353" applyFont="1" applyFill="1" applyBorder="1" applyAlignment="1">
      <alignment horizontal="left" vertical="center"/>
    </xf>
    <xf numFmtId="0" fontId="32" fillId="0" borderId="18" xfId="1353" applyFont="1" applyBorder="1" applyAlignment="1">
      <alignment horizontal="left" vertical="center"/>
    </xf>
    <xf numFmtId="0" fontId="32" fillId="0" borderId="4" xfId="1353" applyFont="1" applyBorder="1" applyAlignment="1">
      <alignment horizontal="left" vertical="center"/>
    </xf>
    <xf numFmtId="0" fontId="32" fillId="0" borderId="42" xfId="1353" applyFont="1" applyBorder="1" applyAlignment="1">
      <alignment horizontal="left" vertical="center"/>
    </xf>
    <xf numFmtId="0" fontId="32" fillId="0" borderId="117" xfId="1353" applyFont="1" applyBorder="1" applyAlignment="1" applyProtection="1">
      <alignment horizontal="left" vertical="center"/>
      <protection locked="0"/>
    </xf>
    <xf numFmtId="0" fontId="32" fillId="0" borderId="118" xfId="1353" applyFont="1" applyBorder="1" applyAlignment="1" applyProtection="1">
      <alignment horizontal="left" vertical="center"/>
      <protection locked="0"/>
    </xf>
    <xf numFmtId="0" fontId="32" fillId="0" borderId="116" xfId="1353" applyFont="1" applyBorder="1" applyAlignment="1" applyProtection="1">
      <alignment horizontal="left" vertical="center"/>
      <protection locked="0"/>
    </xf>
    <xf numFmtId="0" fontId="30" fillId="8" borderId="107" xfId="1353" applyFont="1" applyFill="1" applyBorder="1" applyAlignment="1">
      <alignment horizontal="left" vertical="center"/>
    </xf>
    <xf numFmtId="0" fontId="30" fillId="8" borderId="108" xfId="1353" applyFont="1" applyFill="1" applyBorder="1" applyAlignment="1">
      <alignment horizontal="left" vertical="center"/>
    </xf>
    <xf numFmtId="0" fontId="30" fillId="8" borderId="110" xfId="1353" applyFont="1" applyFill="1" applyBorder="1" applyAlignment="1">
      <alignment horizontal="left" vertical="center"/>
    </xf>
    <xf numFmtId="0" fontId="32" fillId="0" borderId="107" xfId="1353" applyFont="1" applyBorder="1" applyAlignment="1" applyProtection="1">
      <alignment horizontal="left" vertical="center"/>
      <protection locked="0"/>
    </xf>
    <xf numFmtId="0" fontId="32" fillId="0" borderId="108" xfId="1353" applyFont="1" applyBorder="1" applyAlignment="1" applyProtection="1">
      <alignment horizontal="left" vertical="center"/>
      <protection locked="0"/>
    </xf>
    <xf numFmtId="0" fontId="32" fillId="0" borderId="110" xfId="1353" applyFont="1" applyBorder="1" applyAlignment="1" applyProtection="1">
      <alignment horizontal="left" vertical="center"/>
      <protection locked="0"/>
    </xf>
    <xf numFmtId="0" fontId="30" fillId="8" borderId="111" xfId="1353" applyFont="1" applyFill="1" applyBorder="1" applyAlignment="1">
      <alignment horizontal="left" vertical="center"/>
    </xf>
    <xf numFmtId="0" fontId="30" fillId="8" borderId="114" xfId="1353" applyFont="1" applyFill="1" applyBorder="1" applyAlignment="1">
      <alignment horizontal="left" vertical="center"/>
    </xf>
    <xf numFmtId="0" fontId="30" fillId="8" borderId="112" xfId="1353" applyFont="1" applyFill="1" applyBorder="1" applyAlignment="1">
      <alignment horizontal="left" vertical="center"/>
    </xf>
    <xf numFmtId="0" fontId="30" fillId="38" borderId="21" xfId="1353" applyFont="1" applyFill="1" applyBorder="1" applyAlignment="1">
      <alignment horizontal="center" vertical="center" wrapText="1"/>
    </xf>
    <xf numFmtId="0" fontId="30" fillId="38" borderId="14" xfId="1353" applyFont="1" applyFill="1" applyBorder="1" applyAlignment="1">
      <alignment horizontal="center" vertical="center" wrapText="1"/>
    </xf>
    <xf numFmtId="0" fontId="30" fillId="38" borderId="22" xfId="1353" applyFont="1" applyFill="1" applyBorder="1" applyAlignment="1">
      <alignment horizontal="center" vertical="center" wrapText="1"/>
    </xf>
    <xf numFmtId="0" fontId="30" fillId="20" borderId="21" xfId="1353" applyFont="1" applyFill="1" applyBorder="1" applyAlignment="1">
      <alignment horizontal="center" vertical="center"/>
    </xf>
    <xf numFmtId="0" fontId="30" fillId="20" borderId="14" xfId="1353" applyFont="1" applyFill="1" applyBorder="1" applyAlignment="1">
      <alignment horizontal="center" vertical="center"/>
    </xf>
    <xf numFmtId="0" fontId="30" fillId="20" borderId="22" xfId="1353" applyFont="1" applyFill="1" applyBorder="1" applyAlignment="1">
      <alignment horizontal="center" vertical="center"/>
    </xf>
    <xf numFmtId="0" fontId="30" fillId="35" borderId="23" xfId="1353" applyFont="1" applyFill="1" applyBorder="1" applyAlignment="1">
      <alignment horizontal="center" vertical="center" wrapText="1"/>
    </xf>
    <xf numFmtId="0" fontId="30" fillId="35" borderId="2" xfId="1353" applyFont="1" applyFill="1" applyBorder="1" applyAlignment="1">
      <alignment horizontal="center" vertical="center" wrapText="1"/>
    </xf>
    <xf numFmtId="0" fontId="30" fillId="35" borderId="24" xfId="1353" applyFont="1" applyFill="1" applyBorder="1" applyAlignment="1">
      <alignment horizontal="center" vertical="center" wrapText="1"/>
    </xf>
    <xf numFmtId="0" fontId="30" fillId="38" borderId="33" xfId="1353" applyFont="1" applyFill="1" applyBorder="1" applyAlignment="1">
      <alignment horizontal="center" vertical="center" wrapText="1"/>
    </xf>
    <xf numFmtId="0" fontId="30" fillId="38" borderId="41" xfId="1353" applyFont="1" applyFill="1" applyBorder="1" applyAlignment="1">
      <alignment horizontal="center" vertical="center" wrapText="1"/>
    </xf>
    <xf numFmtId="0" fontId="30" fillId="38" borderId="61" xfId="1353" applyFont="1" applyFill="1" applyBorder="1" applyAlignment="1">
      <alignment horizontal="center" vertical="center" wrapText="1"/>
    </xf>
    <xf numFmtId="0" fontId="30" fillId="14" borderId="33" xfId="1353" applyFont="1" applyFill="1" applyBorder="1" applyAlignment="1">
      <alignment horizontal="center" vertical="center" wrapText="1"/>
    </xf>
    <xf numFmtId="0" fontId="30" fillId="14" borderId="60" xfId="1353" applyFont="1" applyFill="1" applyBorder="1" applyAlignment="1">
      <alignment horizontal="center" vertical="center" wrapText="1"/>
    </xf>
    <xf numFmtId="0" fontId="29" fillId="4" borderId="23" xfId="20" applyFont="1" applyFill="1" applyBorder="1" applyAlignment="1" applyProtection="1">
      <alignment horizontal="center" vertical="center"/>
      <protection locked="0" hidden="1"/>
    </xf>
    <xf numFmtId="0" fontId="29" fillId="4" borderId="2" xfId="20" applyFont="1" applyFill="1" applyBorder="1" applyAlignment="1" applyProtection="1">
      <alignment horizontal="center" vertical="center"/>
      <protection locked="0" hidden="1"/>
    </xf>
    <xf numFmtId="0" fontId="29" fillId="4" borderId="24" xfId="20" applyFont="1" applyFill="1" applyBorder="1" applyAlignment="1" applyProtection="1">
      <alignment horizontal="center" vertical="center"/>
      <protection locked="0" hidden="1"/>
    </xf>
    <xf numFmtId="0" fontId="213" fillId="94" borderId="30" xfId="20" applyFont="1" applyFill="1" applyBorder="1" applyAlignment="1" applyProtection="1">
      <alignment horizontal="center" vertical="center" wrapText="1"/>
      <protection locked="0" hidden="1"/>
    </xf>
    <xf numFmtId="0" fontId="213" fillId="94" borderId="14" xfId="20" applyFont="1" applyFill="1" applyBorder="1" applyAlignment="1" applyProtection="1">
      <alignment horizontal="center" vertical="center" wrapText="1"/>
      <protection locked="0" hidden="1"/>
    </xf>
    <xf numFmtId="0" fontId="213" fillId="94" borderId="27" xfId="20" applyFont="1" applyFill="1" applyBorder="1" applyAlignment="1" applyProtection="1">
      <alignment horizontal="center" vertical="center" wrapText="1"/>
      <protection locked="0" hidden="1"/>
    </xf>
    <xf numFmtId="0" fontId="213" fillId="94" borderId="22" xfId="20" applyFont="1" applyFill="1" applyBorder="1" applyAlignment="1" applyProtection="1">
      <alignment horizontal="center" vertical="center" wrapText="1"/>
      <protection locked="0" hidden="1"/>
    </xf>
    <xf numFmtId="0" fontId="213" fillId="94" borderId="21" xfId="20" applyFont="1" applyFill="1" applyBorder="1" applyAlignment="1" applyProtection="1">
      <alignment horizontal="center" vertical="center" wrapText="1"/>
      <protection locked="0" hidden="1"/>
    </xf>
    <xf numFmtId="177" fontId="213" fillId="94" borderId="30" xfId="20" applyNumberFormat="1" applyFont="1" applyFill="1" applyBorder="1" applyAlignment="1" applyProtection="1">
      <alignment horizontal="center" vertical="center" wrapText="1"/>
      <protection locked="0" hidden="1"/>
    </xf>
    <xf numFmtId="177" fontId="213" fillId="94" borderId="14" xfId="20" applyNumberFormat="1" applyFont="1" applyFill="1" applyBorder="1" applyAlignment="1" applyProtection="1">
      <alignment horizontal="center" vertical="center" wrapText="1"/>
      <protection locked="0" hidden="1"/>
    </xf>
    <xf numFmtId="177" fontId="213" fillId="94" borderId="27" xfId="20" applyNumberFormat="1" applyFont="1" applyFill="1" applyBorder="1" applyAlignment="1" applyProtection="1">
      <alignment horizontal="center" vertical="center" wrapText="1"/>
      <protection locked="0" hidden="1"/>
    </xf>
    <xf numFmtId="177" fontId="213" fillId="94" borderId="22" xfId="20" applyNumberFormat="1" applyFont="1" applyFill="1" applyBorder="1" applyAlignment="1" applyProtection="1">
      <alignment horizontal="center" vertical="center" wrapText="1"/>
      <protection locked="0" hidden="1"/>
    </xf>
    <xf numFmtId="1" fontId="27" fillId="9" borderId="0" xfId="20" applyNumberFormat="1" applyFont="1" applyFill="1" applyAlignment="1" applyProtection="1">
      <alignment horizontal="left" vertical="center"/>
      <protection locked="0" hidden="1"/>
    </xf>
    <xf numFmtId="0" fontId="27" fillId="9" borderId="0" xfId="20" applyFont="1" applyFill="1" applyAlignment="1" applyProtection="1">
      <alignment horizontal="left" vertical="center"/>
      <protection locked="0" hidden="1"/>
    </xf>
    <xf numFmtId="2" fontId="214" fillId="6" borderId="9" xfId="20" applyNumberFormat="1" applyFont="1" applyFill="1" applyBorder="1" applyAlignment="1" applyProtection="1">
      <alignment horizontal="center" vertical="center"/>
      <protection locked="0" hidden="1"/>
    </xf>
    <xf numFmtId="1" fontId="214" fillId="6" borderId="9" xfId="20" applyNumberFormat="1" applyFont="1" applyFill="1" applyBorder="1" applyAlignment="1" applyProtection="1">
      <alignment horizontal="center" vertical="center"/>
      <protection locked="0" hidden="1"/>
    </xf>
    <xf numFmtId="0" fontId="214" fillId="6" borderId="9" xfId="20" applyFont="1" applyFill="1" applyBorder="1" applyAlignment="1" applyProtection="1">
      <alignment horizontal="center" vertical="center"/>
      <protection locked="0" hidden="1"/>
    </xf>
    <xf numFmtId="9" fontId="214" fillId="6" borderId="9" xfId="20" applyNumberFormat="1" applyFont="1" applyFill="1" applyBorder="1" applyAlignment="1" applyProtection="1">
      <alignment horizontal="center" vertical="center"/>
      <protection locked="0" hidden="1"/>
    </xf>
    <xf numFmtId="9" fontId="214" fillId="6" borderId="10" xfId="20" applyNumberFormat="1" applyFont="1" applyFill="1" applyBorder="1" applyAlignment="1" applyProtection="1">
      <alignment horizontal="center" vertical="center"/>
      <protection locked="0" hidden="1"/>
    </xf>
    <xf numFmtId="172" fontId="40" fillId="0" borderId="108" xfId="20" applyNumberFormat="1" applyFont="1" applyBorder="1" applyAlignment="1" applyProtection="1">
      <alignment horizontal="center" vertical="center"/>
      <protection locked="0" hidden="1"/>
    </xf>
    <xf numFmtId="10" fontId="40" fillId="0" borderId="108" xfId="20" applyNumberFormat="1" applyFont="1" applyBorder="1" applyAlignment="1" applyProtection="1">
      <alignment horizontal="center" vertical="center"/>
      <protection locked="0" hidden="1"/>
    </xf>
    <xf numFmtId="2" fontId="40" fillId="0" borderId="108" xfId="20" applyNumberFormat="1" applyFont="1" applyBorder="1" applyAlignment="1" applyProtection="1">
      <alignment horizontal="center" vertical="center"/>
      <protection locked="0" hidden="1"/>
    </xf>
    <xf numFmtId="0" fontId="40" fillId="0" borderId="108" xfId="20" applyFont="1" applyBorder="1" applyAlignment="1" applyProtection="1">
      <alignment horizontal="center" vertical="center"/>
      <protection locked="0" hidden="1"/>
    </xf>
    <xf numFmtId="9" fontId="40" fillId="0" borderId="108" xfId="20" applyNumberFormat="1" applyFont="1" applyBorder="1" applyAlignment="1" applyProtection="1">
      <alignment horizontal="center" vertical="center"/>
      <protection locked="0" hidden="1"/>
    </xf>
    <xf numFmtId="9" fontId="40" fillId="0" borderId="109" xfId="20" applyNumberFormat="1" applyFont="1" applyBorder="1" applyAlignment="1" applyProtection="1">
      <alignment horizontal="center" vertical="center"/>
      <protection locked="0" hidden="1"/>
    </xf>
  </cellXfs>
  <cellStyles count="1360">
    <cellStyle name="_x000a_386grabber=M" xfId="88" xr:uid="{00000000-0005-0000-0000-000000000000}"/>
    <cellStyle name="#" xfId="89" xr:uid="{00000000-0005-0000-0000-000001000000}"/>
    <cellStyle name="#-" xfId="90" xr:uid="{00000000-0005-0000-0000-000002000000}"/>
    <cellStyle name="$" xfId="91" xr:uid="{00000000-0005-0000-0000-000003000000}"/>
    <cellStyle name="$-" xfId="92" xr:uid="{00000000-0005-0000-0000-000004000000}"/>
    <cellStyle name="$0.00" xfId="93" xr:uid="{00000000-0005-0000-0000-000005000000}"/>
    <cellStyle name="%" xfId="1" xr:uid="{00000000-0005-0000-0000-000006000000}"/>
    <cellStyle name="%-" xfId="94" xr:uid="{00000000-0005-0000-0000-000007000000}"/>
    <cellStyle name="% 2" xfId="16" xr:uid="{00000000-0005-0000-0000-000008000000}"/>
    <cellStyle name="% 3" xfId="95" xr:uid="{00000000-0005-0000-0000-000009000000}"/>
    <cellStyle name="%_BS06-07 KPMG Final 28.09.07 shishirjain_Cash flow" xfId="96" xr:uid="{00000000-0005-0000-0000-00000A000000}"/>
    <cellStyle name="%_BS06-07 KPMG Final 28.09.07 shishirjain_Cash flow 2" xfId="97" xr:uid="{00000000-0005-0000-0000-00000B000000}"/>
    <cellStyle name="%_BS06-07 KPMG Final 28.09.07 shishirjain_Cash flow_Part IV" xfId="98" xr:uid="{00000000-0005-0000-0000-00000C000000}"/>
    <cellStyle name="%_BS06-07 KPMG Final 28.09.07 shishirjain_Cash flow_Unitech Realty Balance Sheet300610" xfId="99" xr:uid="{00000000-0005-0000-0000-00000D000000}"/>
    <cellStyle name="%_BS06-07 KPMG Final_5 Oct 07_dk" xfId="100" xr:uid="{00000000-0005-0000-0000-00000E000000}"/>
    <cellStyle name="%_BS06-07 KPMG Final_5 Oct 07_dk 2" xfId="101" xr:uid="{00000000-0005-0000-0000-00000F000000}"/>
    <cellStyle name="%_BS06-07 KPMG Final_5 Oct 07_dk_Part IV" xfId="102" xr:uid="{00000000-0005-0000-0000-000010000000}"/>
    <cellStyle name="%_BS06-07 KPMG Final_5 Oct 07_dk_Unitech Realty Balance Sheet300610" xfId="103" xr:uid="{00000000-0005-0000-0000-000011000000}"/>
    <cellStyle name="%_Part IV" xfId="104" xr:uid="{00000000-0005-0000-0000-000012000000}"/>
    <cellStyle name="%_Unitech Realty Balance Sheet300610" xfId="105" xr:uid="{00000000-0005-0000-0000-000013000000}"/>
    <cellStyle name="," xfId="106" xr:uid="{00000000-0005-0000-0000-000014000000}"/>
    <cellStyle name="[ercemt" xfId="107" xr:uid="{00000000-0005-0000-0000-000015000000}"/>
    <cellStyle name="]" xfId="63" xr:uid="{00000000-0005-0000-0000-000016000000}"/>
    <cellStyle name="_%(SignOnly)" xfId="108" xr:uid="{00000000-0005-0000-0000-000017000000}"/>
    <cellStyle name="_%(SignSpaceOnly)" xfId="109" xr:uid="{00000000-0005-0000-0000-000018000000}"/>
    <cellStyle name="_5jny0144" xfId="110" xr:uid="{00000000-0005-0000-0000-000019000000}"/>
    <cellStyle name="_5jny1296" xfId="111" xr:uid="{00000000-0005-0000-0000-00001A000000}"/>
    <cellStyle name="_6bny1016" xfId="112" xr:uid="{00000000-0005-0000-0000-00001B000000}"/>
    <cellStyle name="_Adam_Comps" xfId="113" xr:uid="{00000000-0005-0000-0000-00001C000000}"/>
    <cellStyle name="_Asia Retail FB Trading Comps (Output &amp; Consoli. List)" xfId="114" xr:uid="{00000000-0005-0000-0000-00001D000000}"/>
    <cellStyle name="_Chattem Mgmt Case v8" xfId="115" xr:uid="{00000000-0005-0000-0000-00001E000000}"/>
    <cellStyle name="_Comma" xfId="116" xr:uid="{00000000-0005-0000-0000-00001F000000}"/>
    <cellStyle name="_Computation" xfId="117" xr:uid="{00000000-0005-0000-0000-000020000000}"/>
    <cellStyle name="_Computation 31 03 07-Final-IHG IT" xfId="118" xr:uid="{00000000-0005-0000-0000-000021000000}"/>
    <cellStyle name="_Currency" xfId="119" xr:uid="{00000000-0005-0000-0000-000022000000}"/>
    <cellStyle name="_CurrencySpace" xfId="120" xr:uid="{00000000-0005-0000-0000-000023000000}"/>
    <cellStyle name="_Dep I Tax_31.03.06" xfId="121" xr:uid="{00000000-0005-0000-0000-000024000000}"/>
    <cellStyle name="_Dep.schedule" xfId="122" xr:uid="{00000000-0005-0000-0000-000025000000}"/>
    <cellStyle name="_Euro" xfId="123" xr:uid="{00000000-0005-0000-0000-000026000000}"/>
    <cellStyle name="_Flyer_DCF_Model_Draft_v58_150507_HG_030807" xfId="124" xr:uid="{00000000-0005-0000-0000-000027000000}"/>
    <cellStyle name="_Heading" xfId="125" xr:uid="{00000000-0005-0000-0000-000028000000}"/>
    <cellStyle name="_Highlight" xfId="126" xr:uid="{00000000-0005-0000-0000-000029000000}"/>
    <cellStyle name="_IRPPL_Final_20-10-07" xfId="127" xr:uid="{00000000-0005-0000-0000-00002A000000}"/>
    <cellStyle name="_IRPPL_Final_20-10-07 2" xfId="128" xr:uid="{00000000-0005-0000-0000-00002B000000}"/>
    <cellStyle name="_IRPPL_Final_20-10-07_Part IV" xfId="129" xr:uid="{00000000-0005-0000-0000-00002C000000}"/>
    <cellStyle name="_IRPPL_Final_20-10-07_Unitech Realty Balance Sheet300610" xfId="130" xr:uid="{00000000-0005-0000-0000-00002D000000}"/>
    <cellStyle name="_Luxury Goods Comps latest" xfId="131" xr:uid="{00000000-0005-0000-0000-00002E000000}"/>
    <cellStyle name="_Multiple" xfId="132" xr:uid="{00000000-0005-0000-0000-00002F000000}"/>
    <cellStyle name="_MultipleSpace" xfId="133" xr:uid="{00000000-0005-0000-0000-000030000000}"/>
    <cellStyle name="_Pocharam onlyv8" xfId="134" xr:uid="{00000000-0005-0000-0000-000031000000}"/>
    <cellStyle name="_Project Cup model 6-21-04" xfId="135" xr:uid="{00000000-0005-0000-0000-000032000000}"/>
    <cellStyle name="_SubHeading" xfId="136" xr:uid="{00000000-0005-0000-0000-000033000000}"/>
    <cellStyle name="_Table" xfId="137" xr:uid="{00000000-0005-0000-0000-000034000000}"/>
    <cellStyle name="_TableHead" xfId="138" xr:uid="{00000000-0005-0000-0000-000035000000}"/>
    <cellStyle name="_TableRowHead" xfId="139" xr:uid="{00000000-0005-0000-0000-000036000000}"/>
    <cellStyle name="_TableSuperHead" xfId="140" xr:uid="{00000000-0005-0000-0000-000037000000}"/>
    <cellStyle name="_TDH001 Consumer comps 070130" xfId="141" xr:uid="{00000000-0005-0000-0000-000038000000}"/>
    <cellStyle name="_TDH004 Footwear Retailers Comp 070207" xfId="142" xr:uid="{00000000-0005-0000-0000-000039000000}"/>
    <cellStyle name="_TDI1602 Non-Food Retail Historic Transactions 060428" xfId="143" xr:uid="{00000000-0005-0000-0000-00003A000000}"/>
    <cellStyle name="_TDN517 Aluminium Comps Database 060610" xfId="144" xr:uid="{00000000-0005-0000-0000-00003B000000}"/>
    <cellStyle name="_TDN883 Trading comps 061101" xfId="145" xr:uid="{00000000-0005-0000-0000-00003C000000}"/>
    <cellStyle name="_Vikash Asia Retail FB Trading Comps-Output-Vikash Verma" xfId="146" xr:uid="{00000000-0005-0000-0000-00003D000000}"/>
    <cellStyle name="£ BP" xfId="147" xr:uid="{00000000-0005-0000-0000-00003E000000}"/>
    <cellStyle name="¥ JY" xfId="148" xr:uid="{00000000-0005-0000-0000-00003F000000}"/>
    <cellStyle name="+/-" xfId="149" xr:uid="{00000000-0005-0000-0000-000040000000}"/>
    <cellStyle name="=C:\WINNT\SYSTEM32\COMMAND.COM" xfId="150" xr:uid="{00000000-0005-0000-0000-000041000000}"/>
    <cellStyle name="=C:\WINNT35\SYSTEM32\COMMAND.COM" xfId="64" xr:uid="{00000000-0005-0000-0000-000042000000}"/>
    <cellStyle name="0,0" xfId="151" xr:uid="{00000000-0005-0000-0000-000043000000}"/>
    <cellStyle name="0,0 F" xfId="152" xr:uid="{00000000-0005-0000-0000-000044000000}"/>
    <cellStyle name="0,0%" xfId="153" xr:uid="{00000000-0005-0000-0000-000045000000}"/>
    <cellStyle name="0,0_Co&amp;Lo180800" xfId="154" xr:uid="{00000000-0005-0000-0000-000046000000}"/>
    <cellStyle name="0,00x" xfId="155" xr:uid="{00000000-0005-0000-0000-000047000000}"/>
    <cellStyle name="0,0x" xfId="156" xr:uid="{00000000-0005-0000-0000-000048000000}"/>
    <cellStyle name="0.0 aligned" xfId="157" xr:uid="{00000000-0005-0000-0000-000049000000}"/>
    <cellStyle name="0.00 aligned" xfId="158" xr:uid="{00000000-0005-0000-0000-00004A000000}"/>
    <cellStyle name="000" xfId="159" xr:uid="{00000000-0005-0000-0000-00004B000000}"/>
    <cellStyle name="000 MF" xfId="160" xr:uid="{00000000-0005-0000-0000-00004C000000}"/>
    <cellStyle name="000,0" xfId="161" xr:uid="{00000000-0005-0000-0000-00004D000000}"/>
    <cellStyle name="000_Halloween version SPV" xfId="162" xr:uid="{00000000-0005-0000-0000-00004E000000}"/>
    <cellStyle name="1,comma" xfId="163" xr:uid="{00000000-0005-0000-0000-00004F000000}"/>
    <cellStyle name="20% - Accent1 2" xfId="164" xr:uid="{00000000-0005-0000-0000-000050000000}"/>
    <cellStyle name="20% - Accent1 3" xfId="165" xr:uid="{00000000-0005-0000-0000-000051000000}"/>
    <cellStyle name="20% - Accent1 4" xfId="166" xr:uid="{00000000-0005-0000-0000-000052000000}"/>
    <cellStyle name="20% - Accent2 2" xfId="167" xr:uid="{00000000-0005-0000-0000-000053000000}"/>
    <cellStyle name="20% - Accent2 3" xfId="168" xr:uid="{00000000-0005-0000-0000-000054000000}"/>
    <cellStyle name="20% - Accent2 4" xfId="169" xr:uid="{00000000-0005-0000-0000-000055000000}"/>
    <cellStyle name="20% - Accent3 2" xfId="170" xr:uid="{00000000-0005-0000-0000-000056000000}"/>
    <cellStyle name="20% - Accent3 3" xfId="171" xr:uid="{00000000-0005-0000-0000-000057000000}"/>
    <cellStyle name="20% - Accent3 4" xfId="172" xr:uid="{00000000-0005-0000-0000-000058000000}"/>
    <cellStyle name="20% - Accent4 2" xfId="173" xr:uid="{00000000-0005-0000-0000-000059000000}"/>
    <cellStyle name="20% - Accent4 3" xfId="174" xr:uid="{00000000-0005-0000-0000-00005A000000}"/>
    <cellStyle name="20% - Accent4 4" xfId="175" xr:uid="{00000000-0005-0000-0000-00005B000000}"/>
    <cellStyle name="20% - Accent5 2" xfId="176" xr:uid="{00000000-0005-0000-0000-00005C000000}"/>
    <cellStyle name="20% - Accent5 3" xfId="177" xr:uid="{00000000-0005-0000-0000-00005D000000}"/>
    <cellStyle name="20% - Accent5 4" xfId="178" xr:uid="{00000000-0005-0000-0000-00005E000000}"/>
    <cellStyle name="20% - Accent6 2" xfId="179" xr:uid="{00000000-0005-0000-0000-00005F000000}"/>
    <cellStyle name="20% - Accent6 3" xfId="180" xr:uid="{00000000-0005-0000-0000-000060000000}"/>
    <cellStyle name="20% - Accent6 4" xfId="181" xr:uid="{00000000-0005-0000-0000-000061000000}"/>
    <cellStyle name="2-units" xfId="182" xr:uid="{00000000-0005-0000-0000-000062000000}"/>
    <cellStyle name="40% - Accent1 2" xfId="183" xr:uid="{00000000-0005-0000-0000-000063000000}"/>
    <cellStyle name="40% - Accent1 3" xfId="184" xr:uid="{00000000-0005-0000-0000-000064000000}"/>
    <cellStyle name="40% - Accent1 4" xfId="185" xr:uid="{00000000-0005-0000-0000-000065000000}"/>
    <cellStyle name="40% - Accent2 2" xfId="186" xr:uid="{00000000-0005-0000-0000-000066000000}"/>
    <cellStyle name="40% - Accent2 3" xfId="187" xr:uid="{00000000-0005-0000-0000-000067000000}"/>
    <cellStyle name="40% - Accent2 4" xfId="188" xr:uid="{00000000-0005-0000-0000-000068000000}"/>
    <cellStyle name="40% - Accent3 2" xfId="189" xr:uid="{00000000-0005-0000-0000-000069000000}"/>
    <cellStyle name="40% - Accent3 3" xfId="190" xr:uid="{00000000-0005-0000-0000-00006A000000}"/>
    <cellStyle name="40% - Accent3 4" xfId="191" xr:uid="{00000000-0005-0000-0000-00006B000000}"/>
    <cellStyle name="40% - Accent4 2" xfId="192" xr:uid="{00000000-0005-0000-0000-00006C000000}"/>
    <cellStyle name="40% - Accent4 3" xfId="193" xr:uid="{00000000-0005-0000-0000-00006D000000}"/>
    <cellStyle name="40% - Accent4 4" xfId="194" xr:uid="{00000000-0005-0000-0000-00006E000000}"/>
    <cellStyle name="40% - Accent5 2" xfId="195" xr:uid="{00000000-0005-0000-0000-00006F000000}"/>
    <cellStyle name="40% - Accent5 3" xfId="196" xr:uid="{00000000-0005-0000-0000-000070000000}"/>
    <cellStyle name="40% - Accent5 4" xfId="197" xr:uid="{00000000-0005-0000-0000-000071000000}"/>
    <cellStyle name="40% - Accent6 2" xfId="198" xr:uid="{00000000-0005-0000-0000-000072000000}"/>
    <cellStyle name="40% - Accent6 3" xfId="199" xr:uid="{00000000-0005-0000-0000-000073000000}"/>
    <cellStyle name="40% - Accent6 4" xfId="200" xr:uid="{00000000-0005-0000-0000-000074000000}"/>
    <cellStyle name="60% - Accent1 2" xfId="201" xr:uid="{00000000-0005-0000-0000-000075000000}"/>
    <cellStyle name="60% - Accent1 3" xfId="202" xr:uid="{00000000-0005-0000-0000-000076000000}"/>
    <cellStyle name="60% - Accent2 2" xfId="203" xr:uid="{00000000-0005-0000-0000-000077000000}"/>
    <cellStyle name="60% - Accent2 3" xfId="204" xr:uid="{00000000-0005-0000-0000-000078000000}"/>
    <cellStyle name="60% - Accent3 2" xfId="205" xr:uid="{00000000-0005-0000-0000-000079000000}"/>
    <cellStyle name="60% - Accent3 3" xfId="206" xr:uid="{00000000-0005-0000-0000-00007A000000}"/>
    <cellStyle name="60% - Accent4 2" xfId="207" xr:uid="{00000000-0005-0000-0000-00007B000000}"/>
    <cellStyle name="60% - Accent4 3" xfId="208" xr:uid="{00000000-0005-0000-0000-00007C000000}"/>
    <cellStyle name="60% - Accent5 2" xfId="209" xr:uid="{00000000-0005-0000-0000-00007D000000}"/>
    <cellStyle name="60% - Accent5 3" xfId="210" xr:uid="{00000000-0005-0000-0000-00007E000000}"/>
    <cellStyle name="60% - Accent6 2" xfId="211" xr:uid="{00000000-0005-0000-0000-00007F000000}"/>
    <cellStyle name="60% - Accent6 3" xfId="212" xr:uid="{00000000-0005-0000-0000-000080000000}"/>
    <cellStyle name="A" xfId="213" xr:uid="{00000000-0005-0000-0000-000081000000}"/>
    <cellStyle name="A_Block Space" xfId="214" xr:uid="{00000000-0005-0000-0000-000082000000}"/>
    <cellStyle name="A_Do not Change" xfId="215" xr:uid="{00000000-0005-0000-0000-000083000000}"/>
    <cellStyle name="A_Estimate" xfId="216" xr:uid="{00000000-0005-0000-0000-000084000000}"/>
    <cellStyle name="A_Memo" xfId="217" xr:uid="{00000000-0005-0000-0000-000085000000}"/>
    <cellStyle name="A_Normal" xfId="218" xr:uid="{00000000-0005-0000-0000-000086000000}"/>
    <cellStyle name="A_Normal Forecast" xfId="219" xr:uid="{00000000-0005-0000-0000-000087000000}"/>
    <cellStyle name="A_Normal Forecast_EVEBITDA" xfId="220" xr:uid="{00000000-0005-0000-0000-000088000000}"/>
    <cellStyle name="A_Normal Forecast_Indgen-specialty5" xfId="221" xr:uid="{00000000-0005-0000-0000-000089000000}"/>
    <cellStyle name="A_Normal Forecast_Indgen-specialty5.xls Chart 1" xfId="222" xr:uid="{00000000-0005-0000-0000-00008A000000}"/>
    <cellStyle name="A_Normal Forecast_Indgen-specialty5.xls Chart 3" xfId="223" xr:uid="{00000000-0005-0000-0000-00008B000000}"/>
    <cellStyle name="A_Normal Forecast_Specialty.xls Chart 1" xfId="224" xr:uid="{00000000-0005-0000-0000-00008C000000}"/>
    <cellStyle name="A_Normal Forecast_Specialty.xls Chart 1-1" xfId="225" xr:uid="{00000000-0005-0000-0000-00008D000000}"/>
    <cellStyle name="A_Normal Forecast_Specialty.xls Chart 1-2" xfId="226" xr:uid="{00000000-0005-0000-0000-00008E000000}"/>
    <cellStyle name="A_Normal Forecast_Specialty.xls Chart 1-3" xfId="227" xr:uid="{00000000-0005-0000-0000-00008F000000}"/>
    <cellStyle name="A_Normal Forecast_Specialty.xls Chart 1-4" xfId="228" xr:uid="{00000000-0005-0000-0000-000090000000}"/>
    <cellStyle name="A_Normal Forecast_Specialty.xls Chart 1-5" xfId="229" xr:uid="{00000000-0005-0000-0000-000091000000}"/>
    <cellStyle name="A_Normal Historical" xfId="230" xr:uid="{00000000-0005-0000-0000-000092000000}"/>
    <cellStyle name="A_Normal Historical_EVEBITDA" xfId="231" xr:uid="{00000000-0005-0000-0000-000093000000}"/>
    <cellStyle name="A_Normal Historical_Indgen-specialty5" xfId="232" xr:uid="{00000000-0005-0000-0000-000094000000}"/>
    <cellStyle name="A_Normal Historical_Indgen-specialty5.xls Chart 1" xfId="233" xr:uid="{00000000-0005-0000-0000-000095000000}"/>
    <cellStyle name="A_Normal Historical_Indgen-specialty5.xls Chart 3" xfId="234" xr:uid="{00000000-0005-0000-0000-000096000000}"/>
    <cellStyle name="A_Normal Historical_Specialty.xls Chart 1" xfId="235" xr:uid="{00000000-0005-0000-0000-000097000000}"/>
    <cellStyle name="A_Normal Historical_Specialty.xls Chart 1-1" xfId="236" xr:uid="{00000000-0005-0000-0000-000098000000}"/>
    <cellStyle name="A_Normal Historical_Specialty.xls Chart 1-2" xfId="237" xr:uid="{00000000-0005-0000-0000-000099000000}"/>
    <cellStyle name="A_Normal Historical_Specialty.xls Chart 1-3" xfId="238" xr:uid="{00000000-0005-0000-0000-00009A000000}"/>
    <cellStyle name="A_Normal Historical_Specialty.xls Chart 1-4" xfId="239" xr:uid="{00000000-0005-0000-0000-00009B000000}"/>
    <cellStyle name="A_Normal Historical_Specialty.xls Chart 1-5" xfId="240" xr:uid="{00000000-0005-0000-0000-00009C000000}"/>
    <cellStyle name="A_Rate_Data" xfId="241" xr:uid="{00000000-0005-0000-0000-00009D000000}"/>
    <cellStyle name="A_Rate_Data Historical" xfId="242" xr:uid="{00000000-0005-0000-0000-00009E000000}"/>
    <cellStyle name="A_Rate_Data Historical_2aCH0068_2" xfId="243" xr:uid="{00000000-0005-0000-0000-00009F000000}"/>
    <cellStyle name="A_Rate_Data Historical_2cCH0074.xls Chart 1" xfId="244" xr:uid="{00000000-0005-0000-0000-0000A0000000}"/>
    <cellStyle name="A_Rate_Data Historical_2cCH0074.xls Chart 1-1" xfId="245" xr:uid="{00000000-0005-0000-0000-0000A1000000}"/>
    <cellStyle name="A_Rate_Data_2aCH0068_2" xfId="246" xr:uid="{00000000-0005-0000-0000-0000A2000000}"/>
    <cellStyle name="A_Rate_Data_2cCH0074.xls Chart 1" xfId="247" xr:uid="{00000000-0005-0000-0000-0000A3000000}"/>
    <cellStyle name="A_Rate_Data_2cCH0074.xls Chart 1-1" xfId="248" xr:uid="{00000000-0005-0000-0000-0000A4000000}"/>
    <cellStyle name="A_Rate_Title" xfId="249" xr:uid="{00000000-0005-0000-0000-0000A5000000}"/>
    <cellStyle name="A_Sum" xfId="250" xr:uid="{00000000-0005-0000-0000-0000A6000000}"/>
    <cellStyle name="A_SUM_Row Major" xfId="251" xr:uid="{00000000-0005-0000-0000-0000A7000000}"/>
    <cellStyle name="A_SUM_Row Major_EVEBITDA" xfId="252" xr:uid="{00000000-0005-0000-0000-0000A8000000}"/>
    <cellStyle name="A_SUM_Row Major_Indgen-specialty5" xfId="253" xr:uid="{00000000-0005-0000-0000-0000A9000000}"/>
    <cellStyle name="A_SUM_Row Major_Indgen-specialty5.xls Chart 1" xfId="254" xr:uid="{00000000-0005-0000-0000-0000AA000000}"/>
    <cellStyle name="A_SUM_Row Major_Indgen-specialty5.xls Chart 3" xfId="255" xr:uid="{00000000-0005-0000-0000-0000AB000000}"/>
    <cellStyle name="A_SUM_Row Major_Specialty.xls Chart 1" xfId="256" xr:uid="{00000000-0005-0000-0000-0000AC000000}"/>
    <cellStyle name="A_SUM_Row Major_Specialty.xls Chart 1-1" xfId="257" xr:uid="{00000000-0005-0000-0000-0000AD000000}"/>
    <cellStyle name="A_SUM_Row Major_Specialty.xls Chart 1-2" xfId="258" xr:uid="{00000000-0005-0000-0000-0000AE000000}"/>
    <cellStyle name="A_SUM_Row Major_Specialty.xls Chart 1-3" xfId="259" xr:uid="{00000000-0005-0000-0000-0000AF000000}"/>
    <cellStyle name="A_SUM_Row Major_Specialty.xls Chart 1-4" xfId="260" xr:uid="{00000000-0005-0000-0000-0000B0000000}"/>
    <cellStyle name="A_SUM_Row Major_Specialty.xls Chart 1-5" xfId="261" xr:uid="{00000000-0005-0000-0000-0000B1000000}"/>
    <cellStyle name="A_SUM_Row Minor" xfId="262" xr:uid="{00000000-0005-0000-0000-0000B2000000}"/>
    <cellStyle name="A_SUM_Row Minor_EVEBITDA" xfId="263" xr:uid="{00000000-0005-0000-0000-0000B3000000}"/>
    <cellStyle name="A_SUM_Row Minor_Indgen-specialty5" xfId="264" xr:uid="{00000000-0005-0000-0000-0000B4000000}"/>
    <cellStyle name="A_SUM_Row Minor_Indgen-specialty5.xls Chart 1" xfId="265" xr:uid="{00000000-0005-0000-0000-0000B5000000}"/>
    <cellStyle name="A_SUM_Row Minor_Indgen-specialty5.xls Chart 3" xfId="266" xr:uid="{00000000-0005-0000-0000-0000B6000000}"/>
    <cellStyle name="A_SUM_Row Minor_Specialty.xls Chart 1" xfId="267" xr:uid="{00000000-0005-0000-0000-0000B7000000}"/>
    <cellStyle name="A_SUM_Row Minor_Specialty.xls Chart 1-1" xfId="268" xr:uid="{00000000-0005-0000-0000-0000B8000000}"/>
    <cellStyle name="A_SUM_Row Minor_Specialty.xls Chart 1-2" xfId="269" xr:uid="{00000000-0005-0000-0000-0000B9000000}"/>
    <cellStyle name="A_SUM_Row Minor_Specialty.xls Chart 1-3" xfId="270" xr:uid="{00000000-0005-0000-0000-0000BA000000}"/>
    <cellStyle name="A_SUM_Row Minor_Specialty.xls Chart 1-4" xfId="271" xr:uid="{00000000-0005-0000-0000-0000BB000000}"/>
    <cellStyle name="A_SUM_Row Minor_Specialty.xls Chart 1-5" xfId="272" xr:uid="{00000000-0005-0000-0000-0000BC000000}"/>
    <cellStyle name="A_Title" xfId="273" xr:uid="{00000000-0005-0000-0000-0000BD000000}"/>
    <cellStyle name="A_YearHeadings" xfId="274" xr:uid="{00000000-0005-0000-0000-0000BE000000}"/>
    <cellStyle name="Accent1 2" xfId="275" xr:uid="{00000000-0005-0000-0000-0000BF000000}"/>
    <cellStyle name="Accent1 3" xfId="276" xr:uid="{00000000-0005-0000-0000-0000C0000000}"/>
    <cellStyle name="Accent2 2" xfId="277" xr:uid="{00000000-0005-0000-0000-0000C1000000}"/>
    <cellStyle name="Accent2 3" xfId="278" xr:uid="{00000000-0005-0000-0000-0000C2000000}"/>
    <cellStyle name="Accent3 2" xfId="279" xr:uid="{00000000-0005-0000-0000-0000C3000000}"/>
    <cellStyle name="Accent3 3" xfId="280" xr:uid="{00000000-0005-0000-0000-0000C4000000}"/>
    <cellStyle name="Accent4 2" xfId="281" xr:uid="{00000000-0005-0000-0000-0000C5000000}"/>
    <cellStyle name="Accent4 3" xfId="282" xr:uid="{00000000-0005-0000-0000-0000C6000000}"/>
    <cellStyle name="Accent5 2" xfId="283" xr:uid="{00000000-0005-0000-0000-0000C7000000}"/>
    <cellStyle name="Accent5 3" xfId="284" xr:uid="{00000000-0005-0000-0000-0000C8000000}"/>
    <cellStyle name="Accent6 2" xfId="285" xr:uid="{00000000-0005-0000-0000-0000C9000000}"/>
    <cellStyle name="Accent6 3" xfId="286" xr:uid="{00000000-0005-0000-0000-0000CA000000}"/>
    <cellStyle name="Accounting" xfId="287" xr:uid="{00000000-0005-0000-0000-0000CB000000}"/>
    <cellStyle name="Accounting [0]" xfId="288" xr:uid="{00000000-0005-0000-0000-0000CC000000}"/>
    <cellStyle name="Accounting [1]" xfId="289" xr:uid="{00000000-0005-0000-0000-0000CD000000}"/>
    <cellStyle name="Accounting[0]" xfId="290" xr:uid="{00000000-0005-0000-0000-0000CE000000}"/>
    <cellStyle name="Actual" xfId="291" xr:uid="{00000000-0005-0000-0000-0000CF000000}"/>
    <cellStyle name="AFE" xfId="292" xr:uid="{00000000-0005-0000-0000-0000D0000000}"/>
    <cellStyle name="Agara" xfId="293" xr:uid="{00000000-0005-0000-0000-0000D1000000}"/>
    <cellStyle name="Alert" xfId="294" xr:uid="{00000000-0005-0000-0000-0000D2000000}"/>
    <cellStyle name="ar" xfId="295" xr:uid="{00000000-0005-0000-0000-0000D3000000}"/>
    <cellStyle name="args.style" xfId="296" xr:uid="{00000000-0005-0000-0000-0000D4000000}"/>
    <cellStyle name="Arial 10" xfId="297" xr:uid="{00000000-0005-0000-0000-0000D5000000}"/>
    <cellStyle name="Arial 12" xfId="298" xr:uid="{00000000-0005-0000-0000-0000D6000000}"/>
    <cellStyle name="Array" xfId="299" xr:uid="{00000000-0005-0000-0000-0000D7000000}"/>
    <cellStyle name="Array Enter" xfId="300" xr:uid="{00000000-0005-0000-0000-0000D8000000}"/>
    <cellStyle name="Assumption" xfId="65" xr:uid="{00000000-0005-0000-0000-0000D9000000}"/>
    <cellStyle name="A-Título" xfId="301" xr:uid="{00000000-0005-0000-0000-0000DA000000}"/>
    <cellStyle name="b" xfId="302" xr:uid="{00000000-0005-0000-0000-0000DB000000}"/>
    <cellStyle name="b." xfId="303" xr:uid="{00000000-0005-0000-0000-0000DC000000}"/>
    <cellStyle name="b_6bny1016" xfId="304" xr:uid="{00000000-0005-0000-0000-0000DD000000}"/>
    <cellStyle name="b_Adam_Comps" xfId="305" xr:uid="{00000000-0005-0000-0000-0000DE000000}"/>
    <cellStyle name="b_BSY_Emory_PGTV comps 02_18_03" xfId="306" xr:uid="{00000000-0005-0000-0000-0000DF000000}"/>
    <cellStyle name="b_CoreCableSatellite_comps_Media v.2" xfId="307" xr:uid="{00000000-0005-0000-0000-0000E0000000}"/>
    <cellStyle name="b_JNY model 6-6-2006" xfId="308" xr:uid="{00000000-0005-0000-0000-0000E1000000}"/>
    <cellStyle name="b_Master Utilities Comps 060210 with IBES links" xfId="309" xr:uid="{00000000-0005-0000-0000-0000E2000000}"/>
    <cellStyle name="b_MMC trading comp" xfId="310" xr:uid="{00000000-0005-0000-0000-0000E3000000}"/>
    <cellStyle name="b_Project World Series Financials" xfId="311" xr:uid="{00000000-0005-0000-0000-0000E4000000}"/>
    <cellStyle name="b_TDH001 Consumer comps 070130" xfId="312" xr:uid="{00000000-0005-0000-0000-0000E5000000}"/>
    <cellStyle name="b_TDH004 Footwear Retailers Comp 070207" xfId="313" xr:uid="{00000000-0005-0000-0000-0000E6000000}"/>
    <cellStyle name="b_WACC" xfId="314" xr:uid="{00000000-0005-0000-0000-0000E7000000}"/>
    <cellStyle name="Bad 2" xfId="315" xr:uid="{00000000-0005-0000-0000-0000E8000000}"/>
    <cellStyle name="Bad 3" xfId="316" xr:uid="{00000000-0005-0000-0000-0000E9000000}"/>
    <cellStyle name="-Bas de tableau" xfId="317" xr:uid="{00000000-0005-0000-0000-0000EA000000}"/>
    <cellStyle name="base1" xfId="318" xr:uid="{00000000-0005-0000-0000-0000EB000000}"/>
    <cellStyle name="Beschreibung" xfId="319" xr:uid="{00000000-0005-0000-0000-0000EC000000}"/>
    <cellStyle name="Blank" xfId="23" xr:uid="{00000000-0005-0000-0000-0000ED000000}"/>
    <cellStyle name="Blue" xfId="320" xr:uid="{00000000-0005-0000-0000-0000EE000000}"/>
    <cellStyle name="blue$00" xfId="321" xr:uid="{00000000-0005-0000-0000-0000EF000000}"/>
    <cellStyle name="Body" xfId="322" xr:uid="{00000000-0005-0000-0000-0000F0000000}"/>
    <cellStyle name="Bold/Border" xfId="323" xr:uid="{00000000-0005-0000-0000-0000F1000000}"/>
    <cellStyle name="Boolean" xfId="324" xr:uid="{00000000-0005-0000-0000-0000F2000000}"/>
    <cellStyle name="Border Heavy" xfId="325" xr:uid="{00000000-0005-0000-0000-0000F3000000}"/>
    <cellStyle name="Border Thin" xfId="326" xr:uid="{00000000-0005-0000-0000-0000F4000000}"/>
    <cellStyle name="British Pound" xfId="327" xr:uid="{00000000-0005-0000-0000-0000F5000000}"/>
    <cellStyle name="B-Título" xfId="328" xr:uid="{00000000-0005-0000-0000-0000F6000000}"/>
    <cellStyle name="Bullet" xfId="329" xr:uid="{00000000-0005-0000-0000-0000F7000000}"/>
    <cellStyle name="c" xfId="330" xr:uid="{00000000-0005-0000-0000-0000F8000000}"/>
    <cellStyle name="Calc Currency (0)" xfId="331" xr:uid="{00000000-0005-0000-0000-0000F9000000}"/>
    <cellStyle name="Calc Currency (2)" xfId="332" xr:uid="{00000000-0005-0000-0000-0000FA000000}"/>
    <cellStyle name="Calc Percent (0)" xfId="333" xr:uid="{00000000-0005-0000-0000-0000FB000000}"/>
    <cellStyle name="Calc Percent (1)" xfId="334" xr:uid="{00000000-0005-0000-0000-0000FC000000}"/>
    <cellStyle name="Calc Percent (2)" xfId="335" xr:uid="{00000000-0005-0000-0000-0000FD000000}"/>
    <cellStyle name="Calc Units (0)" xfId="336" xr:uid="{00000000-0005-0000-0000-0000FE000000}"/>
    <cellStyle name="Calc Units (1)" xfId="337" xr:uid="{00000000-0005-0000-0000-0000FF000000}"/>
    <cellStyle name="Calc Units (2)" xfId="338" xr:uid="{00000000-0005-0000-0000-000000010000}"/>
    <cellStyle name="Calculation 2" xfId="339" xr:uid="{00000000-0005-0000-0000-000001010000}"/>
    <cellStyle name="Calculation 3" xfId="340" xr:uid="{00000000-0005-0000-0000-000002010000}"/>
    <cellStyle name="Case" xfId="341" xr:uid="{00000000-0005-0000-0000-000003010000}"/>
    <cellStyle name="Cat title white end" xfId="342" xr:uid="{00000000-0005-0000-0000-000004010000}"/>
    <cellStyle name="category" xfId="343" xr:uid="{00000000-0005-0000-0000-000005010000}"/>
    <cellStyle name="CenterHead" xfId="344" xr:uid="{00000000-0005-0000-0000-000006010000}"/>
    <cellStyle name="Check Cell 2" xfId="345" xr:uid="{00000000-0005-0000-0000-000007010000}"/>
    <cellStyle name="Check Cell 3" xfId="346" xr:uid="{00000000-0005-0000-0000-000008010000}"/>
    <cellStyle name="Col Head" xfId="347" xr:uid="{00000000-0005-0000-0000-000009010000}"/>
    <cellStyle name="Col title" xfId="348" xr:uid="{00000000-0005-0000-0000-00000A010000}"/>
    <cellStyle name="Col title &quot;years&quot; (eg 4 years)" xfId="349" xr:uid="{00000000-0005-0000-0000-00000B010000}"/>
    <cellStyle name="Col title dates (m-y)" xfId="350" xr:uid="{00000000-0005-0000-0000-00000C010000}"/>
    <cellStyle name="Col title multplie" xfId="351" xr:uid="{00000000-0005-0000-0000-00000D010000}"/>
    <cellStyle name="Col title percent" xfId="352" xr:uid="{00000000-0005-0000-0000-00000E010000}"/>
    <cellStyle name="Col title year(eg 2004)" xfId="353" xr:uid="{00000000-0005-0000-0000-00000F010000}"/>
    <cellStyle name="ColHeader" xfId="354" xr:uid="{00000000-0005-0000-0000-000010010000}"/>
    <cellStyle name="ColHeading" xfId="355" xr:uid="{00000000-0005-0000-0000-000011010000}"/>
    <cellStyle name="Column head" xfId="356" xr:uid="{00000000-0005-0000-0000-000012010000}"/>
    <cellStyle name="Comma" xfId="14" builtinId="3"/>
    <cellStyle name="Comma  - Style1" xfId="357" xr:uid="{00000000-0005-0000-0000-000014010000}"/>
    <cellStyle name="Comma  - Style2" xfId="358" xr:uid="{00000000-0005-0000-0000-000015010000}"/>
    <cellStyle name="Comma  - Style3" xfId="359" xr:uid="{00000000-0005-0000-0000-000016010000}"/>
    <cellStyle name="Comma  - Style4" xfId="360" xr:uid="{00000000-0005-0000-0000-000017010000}"/>
    <cellStyle name="Comma  - Style5" xfId="361" xr:uid="{00000000-0005-0000-0000-000018010000}"/>
    <cellStyle name="Comma  - Style6" xfId="362" xr:uid="{00000000-0005-0000-0000-000019010000}"/>
    <cellStyle name="Comma  - Style7" xfId="363" xr:uid="{00000000-0005-0000-0000-00001A010000}"/>
    <cellStyle name="Comma  - Style8" xfId="364" xr:uid="{00000000-0005-0000-0000-00001B010000}"/>
    <cellStyle name="Comma (1)_cedar model v2" xfId="365" xr:uid="{00000000-0005-0000-0000-00001C010000}"/>
    <cellStyle name="Comma ," xfId="366" xr:uid="{00000000-0005-0000-0000-00001D010000}"/>
    <cellStyle name="Comma [0] 2" xfId="19" xr:uid="{00000000-0005-0000-0000-00001E010000}"/>
    <cellStyle name="Comma [00]" xfId="367" xr:uid="{00000000-0005-0000-0000-00001F010000}"/>
    <cellStyle name="Comma [1]" xfId="368" xr:uid="{00000000-0005-0000-0000-000020010000}"/>
    <cellStyle name="Comma 0" xfId="369" xr:uid="{00000000-0005-0000-0000-000021010000}"/>
    <cellStyle name="Comma 0*" xfId="370" xr:uid="{00000000-0005-0000-0000-000022010000}"/>
    <cellStyle name="Comma 0_6bny1016" xfId="371" xr:uid="{00000000-0005-0000-0000-000023010000}"/>
    <cellStyle name="Comma 10" xfId="372" xr:uid="{00000000-0005-0000-0000-000024010000}"/>
    <cellStyle name="Comma 11" xfId="373" xr:uid="{00000000-0005-0000-0000-000025010000}"/>
    <cellStyle name="Comma 12" xfId="374" xr:uid="{00000000-0005-0000-0000-000026010000}"/>
    <cellStyle name="Comma 13" xfId="375" xr:uid="{00000000-0005-0000-0000-000027010000}"/>
    <cellStyle name="Comma 14" xfId="376" xr:uid="{00000000-0005-0000-0000-000028010000}"/>
    <cellStyle name="Comma 15" xfId="377" xr:uid="{00000000-0005-0000-0000-000029010000}"/>
    <cellStyle name="Comma 16" xfId="378" xr:uid="{00000000-0005-0000-0000-00002A010000}"/>
    <cellStyle name="Comma 17" xfId="379" xr:uid="{00000000-0005-0000-0000-00002B010000}"/>
    <cellStyle name="Comma 18" xfId="380" xr:uid="{00000000-0005-0000-0000-00002C010000}"/>
    <cellStyle name="Comma 19" xfId="381" xr:uid="{00000000-0005-0000-0000-00002D010000}"/>
    <cellStyle name="Comma 2" xfId="2" xr:uid="{00000000-0005-0000-0000-00002E010000}"/>
    <cellStyle name="Comma 2 2" xfId="24" xr:uid="{00000000-0005-0000-0000-00002F010000}"/>
    <cellStyle name="Comma 2 3" xfId="25" xr:uid="{00000000-0005-0000-0000-000030010000}"/>
    <cellStyle name="Comma 2 4" xfId="26" xr:uid="{00000000-0005-0000-0000-000031010000}"/>
    <cellStyle name="Comma 2 5" xfId="61" xr:uid="{00000000-0005-0000-0000-000032010000}"/>
    <cellStyle name="Comma 2 6" xfId="382" xr:uid="{00000000-0005-0000-0000-000033010000}"/>
    <cellStyle name="Comma 2*" xfId="383" xr:uid="{00000000-0005-0000-0000-000034010000}"/>
    <cellStyle name="Comma 2_6bny1016" xfId="384" xr:uid="{00000000-0005-0000-0000-000035010000}"/>
    <cellStyle name="Comma 20" xfId="385" xr:uid="{00000000-0005-0000-0000-000036010000}"/>
    <cellStyle name="Comma 21" xfId="1355" xr:uid="{00000000-0005-0000-0000-000037010000}"/>
    <cellStyle name="Comma 3" xfId="3" xr:uid="{00000000-0005-0000-0000-000038010000}"/>
    <cellStyle name="Comma 3 2" xfId="27" xr:uid="{00000000-0005-0000-0000-000039010000}"/>
    <cellStyle name="Comma 3*" xfId="386" xr:uid="{00000000-0005-0000-0000-00003A010000}"/>
    <cellStyle name="Comma 4" xfId="18" xr:uid="{00000000-0005-0000-0000-00003B010000}"/>
    <cellStyle name="Comma 5" xfId="21" xr:uid="{00000000-0005-0000-0000-00003C010000}"/>
    <cellStyle name="Comma 5 2" xfId="387" xr:uid="{00000000-0005-0000-0000-00003D010000}"/>
    <cellStyle name="Comma 6" xfId="28" xr:uid="{00000000-0005-0000-0000-00003E010000}"/>
    <cellStyle name="Comma 6 2" xfId="388" xr:uid="{00000000-0005-0000-0000-00003F010000}"/>
    <cellStyle name="Comma 7" xfId="389" xr:uid="{00000000-0005-0000-0000-000040010000}"/>
    <cellStyle name="Comma 7 2" xfId="390" xr:uid="{00000000-0005-0000-0000-000041010000}"/>
    <cellStyle name="Comma 8" xfId="391" xr:uid="{00000000-0005-0000-0000-000042010000}"/>
    <cellStyle name="Comma 9" xfId="392" xr:uid="{00000000-0005-0000-0000-000043010000}"/>
    <cellStyle name="Comma, 0 Dec, Parens, Zero -" xfId="393" xr:uid="{00000000-0005-0000-0000-000044010000}"/>
    <cellStyle name="Comma0" xfId="394" xr:uid="{00000000-0005-0000-0000-000045010000}"/>
    <cellStyle name="Comma0 - Modelo1" xfId="395" xr:uid="{00000000-0005-0000-0000-000046010000}"/>
    <cellStyle name="Comma0 - Style1" xfId="396" xr:uid="{00000000-0005-0000-0000-000047010000}"/>
    <cellStyle name="Comma1 - Modelo2" xfId="397" xr:uid="{00000000-0005-0000-0000-000048010000}"/>
    <cellStyle name="Comma1 - Style2" xfId="398" xr:uid="{00000000-0005-0000-0000-000049010000}"/>
    <cellStyle name="comma3" xfId="399" xr:uid="{00000000-0005-0000-0000-00004A010000}"/>
    <cellStyle name="Comp/Landscape" xfId="400" xr:uid="{00000000-0005-0000-0000-00004B010000}"/>
    <cellStyle name="Company" xfId="401" xr:uid="{00000000-0005-0000-0000-00004C010000}"/>
    <cellStyle name="comps" xfId="402" xr:uid="{00000000-0005-0000-0000-00004D010000}"/>
    <cellStyle name="Copied" xfId="403" xr:uid="{00000000-0005-0000-0000-00004E010000}"/>
    <cellStyle name="Cover presentation title" xfId="404" xr:uid="{00000000-0005-0000-0000-00004F010000}"/>
    <cellStyle name="COVERAGE" xfId="405" xr:uid="{00000000-0005-0000-0000-000050010000}"/>
    <cellStyle name="CS" xfId="406" xr:uid="{00000000-0005-0000-0000-000051010000}"/>
    <cellStyle name="CurRatio" xfId="407" xr:uid="{00000000-0005-0000-0000-000052010000}"/>
    <cellStyle name="Currency - dollars" xfId="29" xr:uid="{00000000-0005-0000-0000-000053010000}"/>
    <cellStyle name="Currency - euros" xfId="30" xr:uid="{00000000-0005-0000-0000-000054010000}"/>
    <cellStyle name="Currency - pounds" xfId="31" xr:uid="{00000000-0005-0000-0000-000055010000}"/>
    <cellStyle name="Currency - Rupees" xfId="32" xr:uid="{00000000-0005-0000-0000-000056010000}"/>
    <cellStyle name="Currency (no dec.)" xfId="408" xr:uid="{00000000-0005-0000-0000-000057010000}"/>
    <cellStyle name="Currency [00]" xfId="409" xr:uid="{00000000-0005-0000-0000-000058010000}"/>
    <cellStyle name="Currency [1]" xfId="410" xr:uid="{00000000-0005-0000-0000-000059010000}"/>
    <cellStyle name="Currency 0" xfId="411" xr:uid="{00000000-0005-0000-0000-00005A010000}"/>
    <cellStyle name="Currency 2" xfId="13" xr:uid="{00000000-0005-0000-0000-00005B010000}"/>
    <cellStyle name="Currency 2*" xfId="412" xr:uid="{00000000-0005-0000-0000-00005C010000}"/>
    <cellStyle name="Currency 2_6bny1016" xfId="413" xr:uid="{00000000-0005-0000-0000-00005D010000}"/>
    <cellStyle name="Currency 3*" xfId="414" xr:uid="{00000000-0005-0000-0000-00005E010000}"/>
    <cellStyle name="Currency0" xfId="415" xr:uid="{00000000-0005-0000-0000-00005F010000}"/>
    <cellStyle name="currnecy" xfId="416" xr:uid="{00000000-0005-0000-0000-000060010000}"/>
    <cellStyle name="CUSTOM" xfId="417" xr:uid="{00000000-0005-0000-0000-000061010000}"/>
    <cellStyle name="CUSTOM 2" xfId="418" xr:uid="{00000000-0005-0000-0000-000062010000}"/>
    <cellStyle name="d" xfId="419" xr:uid="{00000000-0005-0000-0000-000063010000}"/>
    <cellStyle name="D_050117 CCA EW - CCA - 11 Jan 05 (DB adj)" xfId="420" xr:uid="{00000000-0005-0000-0000-000064010000}"/>
    <cellStyle name="D_050204 CCA EW - CCA - 11 Jan 05 (DB adj) - 4" xfId="421" xr:uid="{00000000-0005-0000-0000-000065010000}"/>
    <cellStyle name="D_15 Nov 2004_CCA Jason" xfId="422" xr:uid="{00000000-0005-0000-0000-000066010000}"/>
    <cellStyle name="D_22 Nov 2004_CCA Jason" xfId="423" xr:uid="{00000000-0005-0000-0000-000067010000}"/>
    <cellStyle name="D_5 Nov 2004_CCA Jason_revised.xls dlgChart" xfId="424" xr:uid="{00000000-0005-0000-0000-000068010000}"/>
    <cellStyle name="D_8 Nov 2004_CCA Jason" xfId="425" xr:uid="{00000000-0005-0000-0000-000069010000}"/>
    <cellStyle name="D_8 Nov 2004_CCA Jason.xls Chart 1" xfId="426" xr:uid="{00000000-0005-0000-0000-00006A010000}"/>
    <cellStyle name="D_Adam_Comps" xfId="427" xr:uid="{00000000-0005-0000-0000-00006B010000}"/>
    <cellStyle name="D_Comps File Generic Media" xfId="428" xr:uid="{00000000-0005-0000-0000-00006C010000}"/>
    <cellStyle name="D_Copy of DMT496 Professional Publishing Comps 050714 Abhas" xfId="429" xr:uid="{00000000-0005-0000-0000-00006D010000}"/>
    <cellStyle name="D_Copy of TDI1183 Template 051219 II Mili v1" xfId="430" xr:uid="{00000000-0005-0000-0000-00006E010000}"/>
    <cellStyle name="D_Copy of TDI1183 Template 051219 II Neeraj" xfId="431" xr:uid="{00000000-0005-0000-0000-00006F010000}"/>
    <cellStyle name="D_Copy of TDI1183 Template 051219 II Neeraj QC1 ILUKA Babneet" xfId="432" xr:uid="{00000000-0005-0000-0000-000070010000}"/>
    <cellStyle name="D_Copy of TDI1183 Template 051219 Nikunj" xfId="433" xr:uid="{00000000-0005-0000-0000-000071010000}"/>
    <cellStyle name="D_Directories Trading Multiples 10Jan2005" xfId="434" xr:uid="{00000000-0005-0000-0000-000072010000}"/>
    <cellStyle name="D_DMT448 Comps 050622 Ankur" xfId="435" xr:uid="{00000000-0005-0000-0000-000073010000}"/>
    <cellStyle name="D_DMT448 Comps 050622 Puneet" xfId="436" xr:uid="{00000000-0005-0000-0000-000074010000}"/>
    <cellStyle name="D_DMT448 Comps 050622 Puneet QC Sumit" xfId="437" xr:uid="{00000000-0005-0000-0000-000075010000}"/>
    <cellStyle name="D_DMT458 Comps 050628 Abhishek" xfId="438" xr:uid="{00000000-0005-0000-0000-000076010000}"/>
    <cellStyle name="D_DMT458 Comps 050628 Abhishek QC Beasley and Chrysalis" xfId="439" xr:uid="{00000000-0005-0000-0000-000077010000}"/>
    <cellStyle name="D_DMT458 Comps 050628 Abhishek Radio and Emmis QCD" xfId="440" xr:uid="{00000000-0005-0000-0000-000078010000}"/>
    <cellStyle name="D_DMT458 Comps 050628 Manish QC Ulster" xfId="441" xr:uid="{00000000-0005-0000-0000-000079010000}"/>
    <cellStyle name="D_DMT458 Comps 050628 Puneet" xfId="442" xr:uid="{00000000-0005-0000-0000-00007A010000}"/>
    <cellStyle name="D_DMT458 Comps 050628 Puneet vQC" xfId="443" xr:uid="{00000000-0005-0000-0000-00007B010000}"/>
    <cellStyle name="D_DMT458 Comps 050628 Rajan" xfId="444" xr:uid="{00000000-0005-0000-0000-00007C010000}"/>
    <cellStyle name="D_DMT458 Comps 050628 Rajan 5 Cos Final vQC Anish" xfId="445" xr:uid="{00000000-0005-0000-0000-00007D010000}"/>
    <cellStyle name="D_DMT458 Comps 050628 Rajan SMG QCd" xfId="446" xr:uid="{00000000-0005-0000-0000-00007E010000}"/>
    <cellStyle name="D_DMT458 Comps 050630 Abhishek" xfId="447" xr:uid="{00000000-0005-0000-0000-00007F010000}"/>
    <cellStyle name="D_DMT458 Comps 050630 Abhishek QC Sumit" xfId="448" xr:uid="{00000000-0005-0000-0000-000080010000}"/>
    <cellStyle name="D_DMT458 Comps 050630 Ankur" xfId="449" xr:uid="{00000000-0005-0000-0000-000081010000}"/>
    <cellStyle name="D_DMT458 Comps 050630 Ankur QC Sumit" xfId="450" xr:uid="{00000000-0005-0000-0000-000082010000}"/>
    <cellStyle name="D_DMT458 Comps 050630 SUMIT for Reed Elsevier from 462" xfId="451" xr:uid="{00000000-0005-0000-0000-000083010000}"/>
    <cellStyle name="D_DMT462 Comps 050628 Ankur" xfId="452" xr:uid="{00000000-0005-0000-0000-000084010000}"/>
    <cellStyle name="D_DMT462 Comps 050628 Ankur Arbitron QC" xfId="453" xr:uid="{00000000-0005-0000-0000-000085010000}"/>
    <cellStyle name="D_DMT462 Comps 050629 Abhishek" xfId="454" xr:uid="{00000000-0005-0000-0000-000086010000}"/>
    <cellStyle name="D_DMT462 Comps 050629 Abhishek QCd" xfId="455" xr:uid="{00000000-0005-0000-0000-000087010000}"/>
    <cellStyle name="D_DMT462 Comps 050629 Ankur Ipsos QC" xfId="456" xr:uid="{00000000-0005-0000-0000-000088010000}"/>
    <cellStyle name="D_DMT462 Comps 050629 Puneet" xfId="457" xr:uid="{00000000-0005-0000-0000-000089010000}"/>
    <cellStyle name="D_DMT462 Comps 050629 Puneet QC Reuters" xfId="458" xr:uid="{00000000-0005-0000-0000-00008A010000}"/>
    <cellStyle name="D_DMT462 Comps 050629 Rajan" xfId="459" xr:uid="{00000000-0005-0000-0000-00008B010000}"/>
    <cellStyle name="D_DMT462 Comps 050629 Rajan QCd" xfId="460" xr:uid="{00000000-0005-0000-0000-00008C010000}"/>
    <cellStyle name="D_DMT482 Consumer Comps 050707 Puneet" xfId="461" xr:uid="{00000000-0005-0000-0000-00008D010000}"/>
    <cellStyle name="D_DMT482 Consumer Publishing Comps 050707 Puneet" xfId="462" xr:uid="{00000000-0005-0000-0000-00008E010000}"/>
    <cellStyle name="D_DMT482 Consumer Publishing Comps 050708 Amit" xfId="463" xr:uid="{00000000-0005-0000-0000-00008F010000}"/>
    <cellStyle name="D_DMT482 Consumer Publishing Comps 050709" xfId="464" xr:uid="{00000000-0005-0000-0000-000090010000}"/>
    <cellStyle name="D_DMT482 Newspaper Comps 050709" xfId="465" xr:uid="{00000000-0005-0000-0000-000091010000}"/>
    <cellStyle name="D_DMT482 Newspapers Comps 050708" xfId="466" xr:uid="{00000000-0005-0000-0000-000092010000}"/>
    <cellStyle name="D_DMT482 Newspapers Comps 050708 Manas" xfId="467" xr:uid="{00000000-0005-0000-0000-000093010000}"/>
    <cellStyle name="D_DMT482 Newspapers Comps 050708 Pankaj" xfId="468" xr:uid="{00000000-0005-0000-0000-000094010000}"/>
    <cellStyle name="D_DMT482 Professional Publishing Comps 050708 Puneet" xfId="469" xr:uid="{00000000-0005-0000-0000-000095010000}"/>
    <cellStyle name="D_DMT482 Professional Publishing Comps 050708 Rajesh" xfId="470" xr:uid="{00000000-0005-0000-0000-000096010000}"/>
    <cellStyle name="D_DMT482 Professional Publishing Comps 050712" xfId="471" xr:uid="{00000000-0005-0000-0000-000097010000}"/>
    <cellStyle name="D_DMT482 Radio Comps 050709 Pankaj" xfId="472" xr:uid="{00000000-0005-0000-0000-000098010000}"/>
    <cellStyle name="D_DMT482 Radio Comps 050712" xfId="473" xr:uid="{00000000-0005-0000-0000-000099010000}"/>
    <cellStyle name="D_DMT489 Comps 050716" xfId="474" xr:uid="{00000000-0005-0000-0000-00009A010000}"/>
    <cellStyle name="D_DMT493 Media Comps 050714" xfId="475" xr:uid="{00000000-0005-0000-0000-00009B010000}"/>
    <cellStyle name="D_DMT493 Media Comps 050714 Puneet" xfId="476" xr:uid="{00000000-0005-0000-0000-00009C010000}"/>
    <cellStyle name="D_DMT496 Comps 050714" xfId="477" xr:uid="{00000000-0005-0000-0000-00009D010000}"/>
    <cellStyle name="D_DMT496 Professional Publishing Comps 050714" xfId="478" xr:uid="{00000000-0005-0000-0000-00009E010000}"/>
    <cellStyle name="D_DMT496 Professional Publishing Comps 050714 Abhishek" xfId="479" xr:uid="{00000000-0005-0000-0000-00009F010000}"/>
    <cellStyle name="D_DMT496 Professional Publishing Comps 050714 Amit" xfId="480" xr:uid="{00000000-0005-0000-0000-0000A0010000}"/>
    <cellStyle name="D_DMT496 Professional Publishing Comps 050714 Ankur" xfId="481" xr:uid="{00000000-0005-0000-0000-0000A1010000}"/>
    <cellStyle name="D_DMT496 Professional Publishing Comps 050714 Manish" xfId="482" xr:uid="{00000000-0005-0000-0000-0000A2010000}"/>
    <cellStyle name="D_DMT496 Professional Publishing Comps 050714 Pankaj" xfId="483" xr:uid="{00000000-0005-0000-0000-0000A3010000}"/>
    <cellStyle name="D_DMT496A Comps 050715 Abhas" xfId="484" xr:uid="{00000000-0005-0000-0000-0000A4010000}"/>
    <cellStyle name="D_DMT496A Comps 050715 Abhishek" xfId="485" xr:uid="{00000000-0005-0000-0000-0000A5010000}"/>
    <cellStyle name="D_DMT496A Comps 050715 Amit" xfId="486" xr:uid="{00000000-0005-0000-0000-0000A6010000}"/>
    <cellStyle name="D_DMT496A Comps 050715 Manas" xfId="487" xr:uid="{00000000-0005-0000-0000-0000A7010000}"/>
    <cellStyle name="D_DMT496A Comps 050715 Pankaj" xfId="488" xr:uid="{00000000-0005-0000-0000-0000A8010000}"/>
    <cellStyle name="D_DMT496A Comps 050715 QC 2 Pankaj" xfId="489" xr:uid="{00000000-0005-0000-0000-0000A9010000}"/>
    <cellStyle name="D_DMT496A Comps 050715 QC Antena Amit" xfId="490" xr:uid="{00000000-0005-0000-0000-0000AA010000}"/>
    <cellStyle name="D_DMT496A Comps 050715 QC BEC Pankaj" xfId="491" xr:uid="{00000000-0005-0000-0000-0000AB010000}"/>
    <cellStyle name="D_DMT496A Comps 050715 QC Disney Amit" xfId="492" xr:uid="{00000000-0005-0000-0000-0000AC010000}"/>
    <cellStyle name="D_DMT496A Comps 050715 QC EMI Abhas" xfId="493" xr:uid="{00000000-0005-0000-0000-0000AD010000}"/>
    <cellStyle name="D_DMT496A Comps 050715 QC M6 metro Amit" xfId="494" xr:uid="{00000000-0005-0000-0000-0000AE010000}"/>
    <cellStyle name="D_DMT496A Comps 050715 QC Mediaset Abhishek" xfId="495" xr:uid="{00000000-0005-0000-0000-0000AF010000}"/>
    <cellStyle name="D_DMT496A Comps 050715 QC Newscorp Abhishek" xfId="496" xr:uid="{00000000-0005-0000-0000-0000B0010000}"/>
    <cellStyle name="D_DMT496A Comps 050715 QC Premiere Amit" xfId="497" xr:uid="{00000000-0005-0000-0000-0000B1010000}"/>
    <cellStyle name="D_DMT496A Comps 050715 QC Prosieben Abhas" xfId="498" xr:uid="{00000000-0005-0000-0000-0000B2010000}"/>
    <cellStyle name="D_DMT496A Comps 050715 QC RTL Abhishek" xfId="499" xr:uid="{00000000-0005-0000-0000-0000B3010000}"/>
    <cellStyle name="D_DMT496A Comps 050715 QC Sogecable Manas" xfId="500" xr:uid="{00000000-0005-0000-0000-0000B4010000}"/>
    <cellStyle name="D_DMT496A Comps 050715 QC Telecinco Amit" xfId="501" xr:uid="{00000000-0005-0000-0000-0000B5010000}"/>
    <cellStyle name="D_DMT496A Comps 050715 QC TF1 Rajan" xfId="502" xr:uid="{00000000-0005-0000-0000-0000B6010000}"/>
    <cellStyle name="D_DMT496A Comps 050715 QC Time warner Abhas" xfId="503" xr:uid="{00000000-0005-0000-0000-0000B7010000}"/>
    <cellStyle name="D_DMT496A Comps 050715 QC TVN Srilatha" xfId="504" xr:uid="{00000000-0005-0000-0000-0000B8010000}"/>
    <cellStyle name="D_DMT496A Comps 050715 QC Viacom Abhas" xfId="505" xr:uid="{00000000-0005-0000-0000-0000B9010000}"/>
    <cellStyle name="D_DMT496A Comps 050715 QC WMG Pankaj" xfId="506" xr:uid="{00000000-0005-0000-0000-0000BA010000}"/>
    <cellStyle name="D_DMT496A Comps 050715 Rajan" xfId="507" xr:uid="{00000000-0005-0000-0000-0000BB010000}"/>
    <cellStyle name="D_DMT496A Comps 050715 Srilatha" xfId="508" xr:uid="{00000000-0005-0000-0000-0000BC010000}"/>
    <cellStyle name="D_DMT496B Comps 050715 4Kids Sorabh" xfId="509" xr:uid="{00000000-0005-0000-0000-0000BD010000}"/>
    <cellStyle name="D_DMT496B Comps 050715 Abhishek" xfId="510" xr:uid="{00000000-0005-0000-0000-0000BE010000}"/>
    <cellStyle name="D_DMT496B Comps 050716 Amit" xfId="511" xr:uid="{00000000-0005-0000-0000-0000BF010000}"/>
    <cellStyle name="D_DMT496B Comps 050716 Jetix Sorabh" xfId="512" xr:uid="{00000000-0005-0000-0000-0000C0010000}"/>
    <cellStyle name="D_DMT503 Media Comps 050721 Puneet" xfId="513" xr:uid="{00000000-0005-0000-0000-0000C1010000}"/>
    <cellStyle name="D_DMT505 Media Comps 050722 Puneet" xfId="514" xr:uid="{00000000-0005-0000-0000-0000C2010000}"/>
    <cellStyle name="D_DMT505 Media Comps 050722 Rajan" xfId="515" xr:uid="{00000000-0005-0000-0000-0000C3010000}"/>
    <cellStyle name="D_DMT506 Media Comps 050722 Manas" xfId="516" xr:uid="{00000000-0005-0000-0000-0000C4010000}"/>
    <cellStyle name="D_DMT506 Media Comps 050723 Himanshu" xfId="517" xr:uid="{00000000-0005-0000-0000-0000C5010000}"/>
    <cellStyle name="D_DMT506 Media Comps 050723 Saurabh" xfId="518" xr:uid="{00000000-0005-0000-0000-0000C6010000}"/>
    <cellStyle name="D_DMT506 QC SUMIT Media Comps 050722 Amazon" xfId="519" xr:uid="{00000000-0005-0000-0000-0000C7010000}"/>
    <cellStyle name="D_DMT506 QC SUMIT Media Comps 050723" xfId="520" xr:uid="{00000000-0005-0000-0000-0000C8010000}"/>
    <cellStyle name="D_DMT507 Media Comps 050725" xfId="521" xr:uid="{00000000-0005-0000-0000-0000C9010000}"/>
    <cellStyle name="D_DMT507 Media Comps 050725 Electronics Arts Sorabh" xfId="522" xr:uid="{00000000-0005-0000-0000-0000CA010000}"/>
    <cellStyle name="D_DMT507 Media Comps 050725 Himanshu" xfId="523" xr:uid="{00000000-0005-0000-0000-0000CB010000}"/>
    <cellStyle name="D_DMT507 Media Comps 050725 Manas" xfId="524" xr:uid="{00000000-0005-0000-0000-0000CC010000}"/>
    <cellStyle name="D_DMT507 Media Comps 050725 Manish" xfId="525" xr:uid="{00000000-0005-0000-0000-0000CD010000}"/>
    <cellStyle name="D_DMT507 Media Comps 050725 Pankaj" xfId="526" xr:uid="{00000000-0005-0000-0000-0000CE010000}"/>
    <cellStyle name="D_DMT507 Media Comps 050725 Pixar Sorabh" xfId="527" xr:uid="{00000000-0005-0000-0000-0000CF010000}"/>
    <cellStyle name="D_DMT507 Media Comps 050725 reamworks Sorabh" xfId="528" xr:uid="{00000000-0005-0000-0000-0000D0010000}"/>
    <cellStyle name="D_DMT507 Media Comps 050725 THQ Sorabh" xfId="529" xr:uid="{00000000-0005-0000-0000-0000D1010000}"/>
    <cellStyle name="D_DMT507 Media Comps Template" xfId="530" xr:uid="{00000000-0005-0000-0000-0000D2010000}"/>
    <cellStyle name="D_DMT562 Software Games Comps 050830" xfId="531" xr:uid="{00000000-0005-0000-0000-0000D3010000}"/>
    <cellStyle name="D_DMT562 Software Games Comps 050830 Infogrames" xfId="532" xr:uid="{00000000-0005-0000-0000-0000D4010000}"/>
    <cellStyle name="D_DMT562 Software Games Comps 050830 Pankaj" xfId="533" xr:uid="{00000000-0005-0000-0000-0000D5010000}"/>
    <cellStyle name="D_DMT562 Software Games Comps 050830 Puneet" xfId="534" xr:uid="{00000000-0005-0000-0000-0000D6010000}"/>
    <cellStyle name="D_DMT568 Media Comps 050902 Set 4 Puneet" xfId="535" xr:uid="{00000000-0005-0000-0000-0000D7010000}"/>
    <cellStyle name="D_DMT591 Media Comps 050916" xfId="536" xr:uid="{00000000-0005-0000-0000-0000D8010000}"/>
    <cellStyle name="D_DMT591 Media Comps 050916 Avneesh" xfId="537" xr:uid="{00000000-0005-0000-0000-0000D9010000}"/>
    <cellStyle name="D_DMT591 Media Comps 050916 Avneesh Qc" xfId="538" xr:uid="{00000000-0005-0000-0000-0000DA010000}"/>
    <cellStyle name="D_DMT591 Media Comps 050916 Himanshu" xfId="539" xr:uid="{00000000-0005-0000-0000-0000DB010000}"/>
    <cellStyle name="D_DMT591 Media Comps 050916 Manas" xfId="540" xr:uid="{00000000-0005-0000-0000-0000DC010000}"/>
    <cellStyle name="D_DMT591 Media Comps 050916 Manish" xfId="541" xr:uid="{00000000-0005-0000-0000-0000DD010000}"/>
    <cellStyle name="D_DMT591 Media Comps 050916 Rajesh" xfId="542" xr:uid="{00000000-0005-0000-0000-0000DE010000}"/>
    <cellStyle name="D_DMT607 Agencies Comps 051005 Jitesh (New Template)" xfId="543" xr:uid="{00000000-0005-0000-0000-0000DF010000}"/>
    <cellStyle name="D_DMT607 Agencies Comps 051005 Manas (New Template)" xfId="544" xr:uid="{00000000-0005-0000-0000-0000E0010000}"/>
    <cellStyle name="D_DMT629 Media Comps 051024 Kapil" xfId="545" xr:uid="{00000000-0005-0000-0000-0000E1010000}"/>
    <cellStyle name="D_DMT629 Media Comps 051024 Nikunj" xfId="546" xr:uid="{00000000-0005-0000-0000-0000E2010000}"/>
    <cellStyle name="D_DMT629 Media Comps 051024 Rajesh" xfId="547" xr:uid="{00000000-0005-0000-0000-0000E3010000}"/>
    <cellStyle name="D_DMT629 Media Comps 051024 Ubisoft Kapil QC" xfId="548" xr:uid="{00000000-0005-0000-0000-0000E4010000}"/>
    <cellStyle name="D_DMT629 Media Comps 051024 vishal ii" xfId="549" xr:uid="{00000000-0005-0000-0000-0000E5010000}"/>
    <cellStyle name="D_DMT629 Media Comps 051024 Yogesh" xfId="550" xr:uid="{00000000-0005-0000-0000-0000E6010000}"/>
    <cellStyle name="D_DMT629 Media Comps 051025 Electronics Arts QC Anish" xfId="551" xr:uid="{00000000-0005-0000-0000-0000E7010000}"/>
    <cellStyle name="D_DMT629 Media Comps 051025 Himanshu" xfId="552" xr:uid="{00000000-0005-0000-0000-0000E8010000}"/>
    <cellStyle name="D_DMT629 Media Comps 051025 Pankaj" xfId="553" xr:uid="{00000000-0005-0000-0000-0000E9010000}"/>
    <cellStyle name="D_DMT629 Media Comps 051025 vishal THQ QC" xfId="554" xr:uid="{00000000-0005-0000-0000-0000EA010000}"/>
    <cellStyle name="D_DMT667 Media Comps 051118  Anish" xfId="555" xr:uid="{00000000-0005-0000-0000-0000EB010000}"/>
    <cellStyle name="D_DMT667 Media Comps 051118 Charanjeet" xfId="556" xr:uid="{00000000-0005-0000-0000-0000EC010000}"/>
    <cellStyle name="D_DMT667 Media Comps 051118 Gaurav" xfId="557" xr:uid="{00000000-0005-0000-0000-0000ED010000}"/>
    <cellStyle name="D_DMT667 Media Comps 051118 Madhur" xfId="558" xr:uid="{00000000-0005-0000-0000-0000EE010000}"/>
    <cellStyle name="D_DMT667 Media Comps 051118 Rajan" xfId="559" xr:uid="{00000000-0005-0000-0000-0000EF010000}"/>
    <cellStyle name="D_DMT667 Media Comps 051118 Sweta" xfId="560" xr:uid="{00000000-0005-0000-0000-0000F0010000}"/>
    <cellStyle name="D_DMT667 Media Comps 051118 Vaibhav" xfId="561" xr:uid="{00000000-0005-0000-0000-0000F1010000}"/>
    <cellStyle name="D_DMT667 Media Comps 051118 Varun" xfId="562" xr:uid="{00000000-0005-0000-0000-0000F2010000}"/>
    <cellStyle name="D_DMT667 Media Comps 051118 Vimal" xfId="563" xr:uid="{00000000-0005-0000-0000-0000F3010000}"/>
    <cellStyle name="D_DMT708 Video_Wireless Comps 051209 Avneesh" xfId="564" xr:uid="{00000000-0005-0000-0000-0000F4010000}"/>
    <cellStyle name="D_graph synthèse des valos Circuit A" xfId="565" xr:uid="{00000000-0005-0000-0000-0000F5010000}"/>
    <cellStyle name="D_graph synthèse des valos Circuit A_050117 CCA EW - CCA - 11 Jan 05 (DB adj)" xfId="566" xr:uid="{00000000-0005-0000-0000-0000F6010000}"/>
    <cellStyle name="D_graph synthèse des valos Circuit A_050204 CCA EW - CCA - 11 Jan 05 (DB adj) - 4" xfId="567" xr:uid="{00000000-0005-0000-0000-0000F7010000}"/>
    <cellStyle name="D_graph synthèse des valos Circuit A_15 Nov 2004_CCA Jason" xfId="568" xr:uid="{00000000-0005-0000-0000-0000F8010000}"/>
    <cellStyle name="D_graph synthèse des valos Circuit A_22 Nov 2004_CCA Jason" xfId="569" xr:uid="{00000000-0005-0000-0000-0000F9010000}"/>
    <cellStyle name="D_graph synthèse des valos Circuit A_5 Nov 2004_CCA Jason_revised.xls dlgChart" xfId="570" xr:uid="{00000000-0005-0000-0000-0000FA010000}"/>
    <cellStyle name="D_graph synthèse des valos Circuit A_8 Nov 2004_CCA Jason" xfId="571" xr:uid="{00000000-0005-0000-0000-0000FB010000}"/>
    <cellStyle name="D_graph synthèse des valos Circuit A_8 Nov 2004_CCA Jason.xls Chart 1" xfId="572" xr:uid="{00000000-0005-0000-0000-0000FC010000}"/>
    <cellStyle name="D_graph synthèse des valos Circuit A_Comps File Generic Media" xfId="573" xr:uid="{00000000-0005-0000-0000-0000FD010000}"/>
    <cellStyle name="D_graph synthèse des valos Circuit A_Copy of DMT496 Professional Publishing Comps 050714 Abhas" xfId="574" xr:uid="{00000000-0005-0000-0000-0000FE010000}"/>
    <cellStyle name="D_graph synthèse des valos Circuit A_Copy of TDI1183 Template 051219 II Mili v1" xfId="575" xr:uid="{00000000-0005-0000-0000-0000FF010000}"/>
    <cellStyle name="D_graph synthèse des valos Circuit A_Copy of TDI1183 Template 051219 II Neeraj" xfId="576" xr:uid="{00000000-0005-0000-0000-000000020000}"/>
    <cellStyle name="D_graph synthèse des valos Circuit A_Copy of TDI1183 Template 051219 II Neeraj QC1 ILUKA Babneet" xfId="577" xr:uid="{00000000-0005-0000-0000-000001020000}"/>
    <cellStyle name="D_graph synthèse des valos Circuit A_Copy of TDI1183 Template 051219 Nikunj" xfId="578" xr:uid="{00000000-0005-0000-0000-000002020000}"/>
    <cellStyle name="D_graph synthèse des valos Circuit A_Directories Trading Multiples 10Jan2005" xfId="579" xr:uid="{00000000-0005-0000-0000-000003020000}"/>
    <cellStyle name="D_graph synthèse des valos Circuit A_DMT448 Comps 050622 Ankur" xfId="580" xr:uid="{00000000-0005-0000-0000-000004020000}"/>
    <cellStyle name="D_graph synthèse des valos Circuit A_DMT448 Comps 050622 Puneet" xfId="581" xr:uid="{00000000-0005-0000-0000-000005020000}"/>
    <cellStyle name="D_graph synthèse des valos Circuit A_DMT448 Comps 050622 Puneet QC Sumit" xfId="582" xr:uid="{00000000-0005-0000-0000-000006020000}"/>
    <cellStyle name="D_graph synthèse des valos Circuit A_DMT458 Comps 050628 Abhishek" xfId="583" xr:uid="{00000000-0005-0000-0000-000007020000}"/>
    <cellStyle name="D_graph synthèse des valos Circuit A_DMT458 Comps 050628 Abhishek QC Beasley and Chrysalis" xfId="584" xr:uid="{00000000-0005-0000-0000-000008020000}"/>
    <cellStyle name="D_graph synthèse des valos Circuit A_DMT458 Comps 050628 Abhishek Radio and Emmis QCD" xfId="585" xr:uid="{00000000-0005-0000-0000-000009020000}"/>
    <cellStyle name="D_graph synthèse des valos Circuit A_DMT458 Comps 050628 Manish QC Ulster" xfId="586" xr:uid="{00000000-0005-0000-0000-00000A020000}"/>
    <cellStyle name="D_graph synthèse des valos Circuit A_DMT458 Comps 050628 Puneet" xfId="587" xr:uid="{00000000-0005-0000-0000-00000B020000}"/>
    <cellStyle name="D_graph synthèse des valos Circuit A_DMT458 Comps 050628 Puneet vQC" xfId="588" xr:uid="{00000000-0005-0000-0000-00000C020000}"/>
    <cellStyle name="D_graph synthèse des valos Circuit A_DMT458 Comps 050628 Rajan" xfId="589" xr:uid="{00000000-0005-0000-0000-00000D020000}"/>
    <cellStyle name="D_graph synthèse des valos Circuit A_DMT458 Comps 050628 Rajan 5 Cos Final vQC Anish" xfId="590" xr:uid="{00000000-0005-0000-0000-00000E020000}"/>
    <cellStyle name="D_graph synthèse des valos Circuit A_DMT458 Comps 050628 Rajan SMG QCd" xfId="591" xr:uid="{00000000-0005-0000-0000-00000F020000}"/>
    <cellStyle name="D_graph synthèse des valos Circuit A_DMT458 Comps 050630 Abhishek" xfId="592" xr:uid="{00000000-0005-0000-0000-000010020000}"/>
    <cellStyle name="D_graph synthèse des valos Circuit A_DMT458 Comps 050630 Abhishek QC Sumit" xfId="593" xr:uid="{00000000-0005-0000-0000-000011020000}"/>
    <cellStyle name="D_graph synthèse des valos Circuit A_DMT458 Comps 050630 Ankur" xfId="594" xr:uid="{00000000-0005-0000-0000-000012020000}"/>
    <cellStyle name="D_graph synthèse des valos Circuit A_DMT458 Comps 050630 Ankur QC Sumit" xfId="595" xr:uid="{00000000-0005-0000-0000-000013020000}"/>
    <cellStyle name="D_graph synthèse des valos Circuit A_DMT458 Comps 050630 SUMIT for Reed Elsevier from 462" xfId="596" xr:uid="{00000000-0005-0000-0000-000014020000}"/>
    <cellStyle name="D_graph synthèse des valos Circuit A_DMT462 Comps 050628 Ankur" xfId="597" xr:uid="{00000000-0005-0000-0000-000015020000}"/>
    <cellStyle name="D_graph synthèse des valos Circuit A_DMT462 Comps 050628 Ankur Arbitron QC" xfId="598" xr:uid="{00000000-0005-0000-0000-000016020000}"/>
    <cellStyle name="D_graph synthèse des valos Circuit A_DMT462 Comps 050629 Abhishek" xfId="599" xr:uid="{00000000-0005-0000-0000-000017020000}"/>
    <cellStyle name="D_graph synthèse des valos Circuit A_DMT462 Comps 050629 Abhishek QCd" xfId="600" xr:uid="{00000000-0005-0000-0000-000018020000}"/>
    <cellStyle name="D_graph synthèse des valos Circuit A_DMT462 Comps 050629 Ankur Ipsos QC" xfId="601" xr:uid="{00000000-0005-0000-0000-000019020000}"/>
    <cellStyle name="D_graph synthèse des valos Circuit A_DMT462 Comps 050629 Puneet" xfId="602" xr:uid="{00000000-0005-0000-0000-00001A020000}"/>
    <cellStyle name="D_graph synthèse des valos Circuit A_DMT462 Comps 050629 Puneet QC Reuters" xfId="603" xr:uid="{00000000-0005-0000-0000-00001B020000}"/>
    <cellStyle name="D_graph synthèse des valos Circuit A_DMT462 Comps 050629 Rajan" xfId="604" xr:uid="{00000000-0005-0000-0000-00001C020000}"/>
    <cellStyle name="D_graph synthèse des valos Circuit A_DMT462 Comps 050629 Rajan QCd" xfId="605" xr:uid="{00000000-0005-0000-0000-00001D020000}"/>
    <cellStyle name="D_graph synthèse des valos Circuit A_DMT482 Consumer Comps 050707 Puneet" xfId="606" xr:uid="{00000000-0005-0000-0000-00001E020000}"/>
    <cellStyle name="D_graph synthèse des valos Circuit A_DMT482 Consumer Publishing Comps 050707 Puneet" xfId="607" xr:uid="{00000000-0005-0000-0000-00001F020000}"/>
    <cellStyle name="D_graph synthèse des valos Circuit A_DMT482 Consumer Publishing Comps 050708 Amit" xfId="608" xr:uid="{00000000-0005-0000-0000-000020020000}"/>
    <cellStyle name="D_graph synthèse des valos Circuit A_DMT482 Consumer Publishing Comps 050709" xfId="609" xr:uid="{00000000-0005-0000-0000-000021020000}"/>
    <cellStyle name="D_graph synthèse des valos Circuit A_DMT482 Newspaper Comps 050709" xfId="610" xr:uid="{00000000-0005-0000-0000-000022020000}"/>
    <cellStyle name="D_graph synthèse des valos Circuit A_DMT482 Newspapers Comps 050708" xfId="611" xr:uid="{00000000-0005-0000-0000-000023020000}"/>
    <cellStyle name="D_graph synthèse des valos Circuit A_DMT482 Newspapers Comps 050708 Manas" xfId="612" xr:uid="{00000000-0005-0000-0000-000024020000}"/>
    <cellStyle name="D_graph synthèse des valos Circuit A_DMT482 Newspapers Comps 050708 Pankaj" xfId="613" xr:uid="{00000000-0005-0000-0000-000025020000}"/>
    <cellStyle name="D_graph synthèse des valos Circuit A_DMT482 Professional Publishing Comps 050708 Puneet" xfId="614" xr:uid="{00000000-0005-0000-0000-000026020000}"/>
    <cellStyle name="D_graph synthèse des valos Circuit A_DMT482 Professional Publishing Comps 050708 Rajesh" xfId="615" xr:uid="{00000000-0005-0000-0000-000027020000}"/>
    <cellStyle name="D_graph synthèse des valos Circuit A_DMT482 Professional Publishing Comps 050712" xfId="616" xr:uid="{00000000-0005-0000-0000-000028020000}"/>
    <cellStyle name="D_graph synthèse des valos Circuit A_DMT482 Radio Comps 050709 Pankaj" xfId="617" xr:uid="{00000000-0005-0000-0000-000029020000}"/>
    <cellStyle name="D_graph synthèse des valos Circuit A_DMT482 Radio Comps 050712" xfId="618" xr:uid="{00000000-0005-0000-0000-00002A020000}"/>
    <cellStyle name="D_graph synthèse des valos Circuit A_DMT489 Comps 050716" xfId="619" xr:uid="{00000000-0005-0000-0000-00002B020000}"/>
    <cellStyle name="D_graph synthèse des valos Circuit A_DMT493 Media Comps 050714" xfId="620" xr:uid="{00000000-0005-0000-0000-00002C020000}"/>
    <cellStyle name="D_graph synthèse des valos Circuit A_DMT493 Media Comps 050714 Puneet" xfId="621" xr:uid="{00000000-0005-0000-0000-00002D020000}"/>
    <cellStyle name="D_graph synthèse des valos Circuit A_DMT496 Comps 050714" xfId="622" xr:uid="{00000000-0005-0000-0000-00002E020000}"/>
    <cellStyle name="D_graph synthèse des valos Circuit A_DMT496 Professional Publishing Comps 050714" xfId="623" xr:uid="{00000000-0005-0000-0000-00002F020000}"/>
    <cellStyle name="D_graph synthèse des valos Circuit A_DMT496 Professional Publishing Comps 050714 Abhishek" xfId="624" xr:uid="{00000000-0005-0000-0000-000030020000}"/>
    <cellStyle name="D_graph synthèse des valos Circuit A_DMT496 Professional Publishing Comps 050714 Amit" xfId="625" xr:uid="{00000000-0005-0000-0000-000031020000}"/>
    <cellStyle name="D_graph synthèse des valos Circuit A_DMT496 Professional Publishing Comps 050714 Ankur" xfId="626" xr:uid="{00000000-0005-0000-0000-000032020000}"/>
    <cellStyle name="D_graph synthèse des valos Circuit A_DMT496 Professional Publishing Comps 050714 Manish" xfId="627" xr:uid="{00000000-0005-0000-0000-000033020000}"/>
    <cellStyle name="D_graph synthèse des valos Circuit A_DMT496 Professional Publishing Comps 050714 Pankaj" xfId="628" xr:uid="{00000000-0005-0000-0000-000034020000}"/>
    <cellStyle name="D_graph synthèse des valos Circuit A_DMT496A Comps 050715 Abhas" xfId="629" xr:uid="{00000000-0005-0000-0000-000035020000}"/>
    <cellStyle name="D_graph synthèse des valos Circuit A_DMT496A Comps 050715 Abhishek" xfId="630" xr:uid="{00000000-0005-0000-0000-000036020000}"/>
    <cellStyle name="D_graph synthèse des valos Circuit A_DMT496A Comps 050715 Amit" xfId="631" xr:uid="{00000000-0005-0000-0000-000037020000}"/>
    <cellStyle name="D_graph synthèse des valos Circuit A_DMT496A Comps 050715 Manas" xfId="632" xr:uid="{00000000-0005-0000-0000-000038020000}"/>
    <cellStyle name="D_graph synthèse des valos Circuit A_DMT496A Comps 050715 Pankaj" xfId="633" xr:uid="{00000000-0005-0000-0000-000039020000}"/>
    <cellStyle name="D_graph synthèse des valos Circuit A_DMT496A Comps 050715 QC 2 Pankaj" xfId="634" xr:uid="{00000000-0005-0000-0000-00003A020000}"/>
    <cellStyle name="D_graph synthèse des valos Circuit A_DMT496A Comps 050715 QC Antena Amit" xfId="635" xr:uid="{00000000-0005-0000-0000-00003B020000}"/>
    <cellStyle name="D_graph synthèse des valos Circuit A_DMT496A Comps 050715 QC BEC Pankaj" xfId="636" xr:uid="{00000000-0005-0000-0000-00003C020000}"/>
    <cellStyle name="D_graph synthèse des valos Circuit A_DMT496A Comps 050715 QC Disney Amit" xfId="637" xr:uid="{00000000-0005-0000-0000-00003D020000}"/>
    <cellStyle name="D_graph synthèse des valos Circuit A_DMT496A Comps 050715 QC EMI Abhas" xfId="638" xr:uid="{00000000-0005-0000-0000-00003E020000}"/>
    <cellStyle name="D_graph synthèse des valos Circuit A_DMT496A Comps 050715 QC M6 metro Amit" xfId="639" xr:uid="{00000000-0005-0000-0000-00003F020000}"/>
    <cellStyle name="D_graph synthèse des valos Circuit A_DMT496A Comps 050715 QC Mediaset Abhishek" xfId="640" xr:uid="{00000000-0005-0000-0000-000040020000}"/>
    <cellStyle name="D_graph synthèse des valos Circuit A_DMT496A Comps 050715 QC Newscorp Abhishek" xfId="641" xr:uid="{00000000-0005-0000-0000-000041020000}"/>
    <cellStyle name="D_graph synthèse des valos Circuit A_DMT496A Comps 050715 QC Premiere Amit" xfId="642" xr:uid="{00000000-0005-0000-0000-000042020000}"/>
    <cellStyle name="D_graph synthèse des valos Circuit A_DMT496A Comps 050715 QC Prosieben Abhas" xfId="643" xr:uid="{00000000-0005-0000-0000-000043020000}"/>
    <cellStyle name="D_graph synthèse des valos Circuit A_DMT496A Comps 050715 QC RTL Abhishek" xfId="644" xr:uid="{00000000-0005-0000-0000-000044020000}"/>
    <cellStyle name="D_graph synthèse des valos Circuit A_DMT496A Comps 050715 QC Sogecable Manas" xfId="645" xr:uid="{00000000-0005-0000-0000-000045020000}"/>
    <cellStyle name="D_graph synthèse des valos Circuit A_DMT496A Comps 050715 QC Telecinco Amit" xfId="646" xr:uid="{00000000-0005-0000-0000-000046020000}"/>
    <cellStyle name="D_graph synthèse des valos Circuit A_DMT496A Comps 050715 QC TF1 Rajan" xfId="647" xr:uid="{00000000-0005-0000-0000-000047020000}"/>
    <cellStyle name="D_graph synthèse des valos Circuit A_DMT496A Comps 050715 QC Time warner Abhas" xfId="648" xr:uid="{00000000-0005-0000-0000-000048020000}"/>
    <cellStyle name="D_graph synthèse des valos Circuit A_DMT496A Comps 050715 QC TVN Srilatha" xfId="649" xr:uid="{00000000-0005-0000-0000-000049020000}"/>
    <cellStyle name="D_graph synthèse des valos Circuit A_DMT496A Comps 050715 QC Viacom Abhas" xfId="650" xr:uid="{00000000-0005-0000-0000-00004A020000}"/>
    <cellStyle name="D_graph synthèse des valos Circuit A_DMT496A Comps 050715 QC WMG Pankaj" xfId="651" xr:uid="{00000000-0005-0000-0000-00004B020000}"/>
    <cellStyle name="D_graph synthèse des valos Circuit A_DMT496A Comps 050715 Rajan" xfId="652" xr:uid="{00000000-0005-0000-0000-00004C020000}"/>
    <cellStyle name="D_graph synthèse des valos Circuit A_DMT496A Comps 050715 Srilatha" xfId="653" xr:uid="{00000000-0005-0000-0000-00004D020000}"/>
    <cellStyle name="D_graph synthèse des valos Circuit A_DMT496B Comps 050715 4Kids Sorabh" xfId="654" xr:uid="{00000000-0005-0000-0000-00004E020000}"/>
    <cellStyle name="D_graph synthèse des valos Circuit A_DMT496B Comps 050715 Abhishek" xfId="655" xr:uid="{00000000-0005-0000-0000-00004F020000}"/>
    <cellStyle name="D_graph synthèse des valos Circuit A_DMT496B Comps 050716 Amit" xfId="656" xr:uid="{00000000-0005-0000-0000-000050020000}"/>
    <cellStyle name="D_graph synthèse des valos Circuit A_DMT496B Comps 050716 Jetix Sorabh" xfId="657" xr:uid="{00000000-0005-0000-0000-000051020000}"/>
    <cellStyle name="D_graph synthèse des valos Circuit A_DMT503 Media Comps 050721 Puneet" xfId="658" xr:uid="{00000000-0005-0000-0000-000052020000}"/>
    <cellStyle name="D_graph synthèse des valos Circuit A_DMT505 Media Comps 050722 Puneet" xfId="659" xr:uid="{00000000-0005-0000-0000-000053020000}"/>
    <cellStyle name="D_graph synthèse des valos Circuit A_DMT505 Media Comps 050722 Rajan" xfId="660" xr:uid="{00000000-0005-0000-0000-000054020000}"/>
    <cellStyle name="D_graph synthèse des valos Circuit A_DMT506 Media Comps 050722 Manas" xfId="661" xr:uid="{00000000-0005-0000-0000-000055020000}"/>
    <cellStyle name="D_graph synthèse des valos Circuit A_DMT506 Media Comps 050723 Himanshu" xfId="662" xr:uid="{00000000-0005-0000-0000-000056020000}"/>
    <cellStyle name="D_graph synthèse des valos Circuit A_DMT506 Media Comps 050723 Saurabh" xfId="663" xr:uid="{00000000-0005-0000-0000-000057020000}"/>
    <cellStyle name="D_graph synthèse des valos Circuit A_DMT506 QC SUMIT Media Comps 050722 Amazon" xfId="664" xr:uid="{00000000-0005-0000-0000-000058020000}"/>
    <cellStyle name="D_graph synthèse des valos Circuit A_DMT506 QC SUMIT Media Comps 050723" xfId="665" xr:uid="{00000000-0005-0000-0000-000059020000}"/>
    <cellStyle name="D_graph synthèse des valos Circuit A_DMT507 Media Comps 050725" xfId="666" xr:uid="{00000000-0005-0000-0000-00005A020000}"/>
    <cellStyle name="D_graph synthèse des valos Circuit A_DMT507 Media Comps 050725 Electronics Arts Sorabh" xfId="667" xr:uid="{00000000-0005-0000-0000-00005B020000}"/>
    <cellStyle name="D_graph synthèse des valos Circuit A_DMT507 Media Comps 050725 Himanshu" xfId="668" xr:uid="{00000000-0005-0000-0000-00005C020000}"/>
    <cellStyle name="D_graph synthèse des valos Circuit A_DMT507 Media Comps 050725 Manas" xfId="669" xr:uid="{00000000-0005-0000-0000-00005D020000}"/>
    <cellStyle name="D_graph synthèse des valos Circuit A_DMT507 Media Comps 050725 Manish" xfId="670" xr:uid="{00000000-0005-0000-0000-00005E020000}"/>
    <cellStyle name="D_graph synthèse des valos Circuit A_DMT507 Media Comps 050725 Pankaj" xfId="671" xr:uid="{00000000-0005-0000-0000-00005F020000}"/>
    <cellStyle name="D_graph synthèse des valos Circuit A_DMT507 Media Comps 050725 Pixar Sorabh" xfId="672" xr:uid="{00000000-0005-0000-0000-000060020000}"/>
    <cellStyle name="D_graph synthèse des valos Circuit A_DMT507 Media Comps 050725 reamworks Sorabh" xfId="673" xr:uid="{00000000-0005-0000-0000-000061020000}"/>
    <cellStyle name="D_graph synthèse des valos Circuit A_DMT507 Media Comps 050725 THQ Sorabh" xfId="674" xr:uid="{00000000-0005-0000-0000-000062020000}"/>
    <cellStyle name="D_graph synthèse des valos Circuit A_DMT507 Media Comps Template" xfId="675" xr:uid="{00000000-0005-0000-0000-000063020000}"/>
    <cellStyle name="D_graph synthèse des valos Circuit A_DMT562 Software Games Comps 050830" xfId="676" xr:uid="{00000000-0005-0000-0000-000064020000}"/>
    <cellStyle name="D_graph synthèse des valos Circuit A_DMT562 Software Games Comps 050830 Infogrames" xfId="677" xr:uid="{00000000-0005-0000-0000-000065020000}"/>
    <cellStyle name="D_graph synthèse des valos Circuit A_DMT562 Software Games Comps 050830 Pankaj" xfId="678" xr:uid="{00000000-0005-0000-0000-000066020000}"/>
    <cellStyle name="D_graph synthèse des valos Circuit A_DMT562 Software Games Comps 050830 Puneet" xfId="679" xr:uid="{00000000-0005-0000-0000-000067020000}"/>
    <cellStyle name="D_graph synthèse des valos Circuit A_DMT568 Media Comps 050902 Set 4 Puneet" xfId="680" xr:uid="{00000000-0005-0000-0000-000068020000}"/>
    <cellStyle name="D_graph synthèse des valos Circuit A_DMT591 Media Comps 050916" xfId="681" xr:uid="{00000000-0005-0000-0000-000069020000}"/>
    <cellStyle name="D_graph synthèse des valos Circuit A_DMT591 Media Comps 050916 Avneesh" xfId="682" xr:uid="{00000000-0005-0000-0000-00006A020000}"/>
    <cellStyle name="D_graph synthèse des valos Circuit A_DMT591 Media Comps 050916 Avneesh Qc" xfId="683" xr:uid="{00000000-0005-0000-0000-00006B020000}"/>
    <cellStyle name="D_graph synthèse des valos Circuit A_DMT591 Media Comps 050916 Himanshu" xfId="684" xr:uid="{00000000-0005-0000-0000-00006C020000}"/>
    <cellStyle name="D_graph synthèse des valos Circuit A_DMT591 Media Comps 050916 Manas" xfId="685" xr:uid="{00000000-0005-0000-0000-00006D020000}"/>
    <cellStyle name="D_graph synthèse des valos Circuit A_DMT591 Media Comps 050916 Manish" xfId="686" xr:uid="{00000000-0005-0000-0000-00006E020000}"/>
    <cellStyle name="D_graph synthèse des valos Circuit A_DMT591 Media Comps 050916 Rajesh" xfId="687" xr:uid="{00000000-0005-0000-0000-00006F020000}"/>
    <cellStyle name="D_graph synthèse des valos Circuit A_DMT607 Agencies Comps 051005 Jitesh (New Template)" xfId="688" xr:uid="{00000000-0005-0000-0000-000070020000}"/>
    <cellStyle name="D_graph synthèse des valos Circuit A_DMT607 Agencies Comps 051005 Manas (New Template)" xfId="689" xr:uid="{00000000-0005-0000-0000-000071020000}"/>
    <cellStyle name="D_graph synthèse des valos Circuit A_DMT629 Media Comps 051024 Kapil" xfId="690" xr:uid="{00000000-0005-0000-0000-000072020000}"/>
    <cellStyle name="D_graph synthèse des valos Circuit A_DMT629 Media Comps 051024 Nikunj" xfId="691" xr:uid="{00000000-0005-0000-0000-000073020000}"/>
    <cellStyle name="D_graph synthèse des valos Circuit A_DMT629 Media Comps 051024 Rajesh" xfId="692" xr:uid="{00000000-0005-0000-0000-000074020000}"/>
    <cellStyle name="D_graph synthèse des valos Circuit A_DMT629 Media Comps 051024 Ubisoft Kapil QC" xfId="693" xr:uid="{00000000-0005-0000-0000-000075020000}"/>
    <cellStyle name="D_graph synthèse des valos Circuit A_DMT629 Media Comps 051024 vishal ii" xfId="694" xr:uid="{00000000-0005-0000-0000-000076020000}"/>
    <cellStyle name="D_graph synthèse des valos Circuit A_DMT629 Media Comps 051024 Yogesh" xfId="695" xr:uid="{00000000-0005-0000-0000-000077020000}"/>
    <cellStyle name="D_graph synthèse des valos Circuit A_DMT629 Media Comps 051025 Electronics Arts QC Anish" xfId="696" xr:uid="{00000000-0005-0000-0000-000078020000}"/>
    <cellStyle name="D_graph synthèse des valos Circuit A_DMT629 Media Comps 051025 Himanshu" xfId="697" xr:uid="{00000000-0005-0000-0000-000079020000}"/>
    <cellStyle name="D_graph synthèse des valos Circuit A_DMT629 Media Comps 051025 Pankaj" xfId="698" xr:uid="{00000000-0005-0000-0000-00007A020000}"/>
    <cellStyle name="D_graph synthèse des valos Circuit A_DMT629 Media Comps 051025 vishal THQ QC" xfId="699" xr:uid="{00000000-0005-0000-0000-00007B020000}"/>
    <cellStyle name="D_graph synthèse des valos Circuit A_DMT667 Media Comps 051118  Anish" xfId="700" xr:uid="{00000000-0005-0000-0000-00007C020000}"/>
    <cellStyle name="D_graph synthèse des valos Circuit A_DMT667 Media Comps 051118 Charanjeet" xfId="701" xr:uid="{00000000-0005-0000-0000-00007D020000}"/>
    <cellStyle name="D_graph synthèse des valos Circuit A_DMT667 Media Comps 051118 Gaurav" xfId="702" xr:uid="{00000000-0005-0000-0000-00007E020000}"/>
    <cellStyle name="D_graph synthèse des valos Circuit A_DMT667 Media Comps 051118 Madhur" xfId="703" xr:uid="{00000000-0005-0000-0000-00007F020000}"/>
    <cellStyle name="D_graph synthèse des valos Circuit A_DMT667 Media Comps 051118 Rajan" xfId="704" xr:uid="{00000000-0005-0000-0000-000080020000}"/>
    <cellStyle name="D_graph synthèse des valos Circuit A_DMT667 Media Comps 051118 Sweta" xfId="705" xr:uid="{00000000-0005-0000-0000-000081020000}"/>
    <cellStyle name="D_graph synthèse des valos Circuit A_DMT667 Media Comps 051118 Vaibhav" xfId="706" xr:uid="{00000000-0005-0000-0000-000082020000}"/>
    <cellStyle name="D_graph synthèse des valos Circuit A_DMT667 Media Comps 051118 Varun" xfId="707" xr:uid="{00000000-0005-0000-0000-000083020000}"/>
    <cellStyle name="D_graph synthèse des valos Circuit A_DMT667 Media Comps 051118 Vimal" xfId="708" xr:uid="{00000000-0005-0000-0000-000084020000}"/>
    <cellStyle name="D_graph synthèse des valos Circuit A_DMT708 Video_Wireless Comps 051209 Avneesh" xfId="709" xr:uid="{00000000-0005-0000-0000-000085020000}"/>
    <cellStyle name="D_graph synthèse des valos Circuit A_M&amp;M Comps 060206 Part II (Precious &amp; Coal) 060214" xfId="710" xr:uid="{00000000-0005-0000-0000-000086020000}"/>
    <cellStyle name="D_graph synthèse des valos Circuit A_Market Research Comps 25 August 2005" xfId="711" xr:uid="{00000000-0005-0000-0000-000087020000}"/>
    <cellStyle name="D_graph synthèse des valos Circuit A_Springer CCA Oct 11 JMv14" xfId="712" xr:uid="{00000000-0005-0000-0000-000088020000}"/>
    <cellStyle name="D_graph synthèse des valos Circuit A_Springer CCA Oct 11 JMv15" xfId="713" xr:uid="{00000000-0005-0000-0000-000089020000}"/>
    <cellStyle name="D_graph synthèse des valos Circuit A_TDI1183 Comps  051219 II Vishal2" xfId="714" xr:uid="{00000000-0005-0000-0000-00008A020000}"/>
    <cellStyle name="D_graph synthèse des valos Circuit A_TDI1183 Comps 051219 QC1 Pankaj" xfId="715" xr:uid="{00000000-0005-0000-0000-00008B020000}"/>
    <cellStyle name="D_graph synthèse des valos Circuit A_TDI1183 Comps 051219 QC1 Pankaj V1" xfId="716" xr:uid="{00000000-0005-0000-0000-00008C020000}"/>
    <cellStyle name="D_graph synthèse des valos Circuit A_TDI1183 Comps 051220 AbhasV1" xfId="717" xr:uid="{00000000-0005-0000-0000-00008D020000}"/>
    <cellStyle name="D_graph synthèse des valos Circuit A_TDI1183 Comps 051220 Ainul" xfId="718" xr:uid="{00000000-0005-0000-0000-00008E020000}"/>
    <cellStyle name="D_graph synthèse des valos Circuit A_TDI1183 Comps 051221 vQC Ankur" xfId="719" xr:uid="{00000000-0005-0000-0000-00008F020000}"/>
    <cellStyle name="D_graph synthèse des valos Circuit A_TDI1183 Comps 051222 SorabhV2" xfId="720" xr:uid="{00000000-0005-0000-0000-000090020000}"/>
    <cellStyle name="D_graph synthèse des valos Circuit A_TDI1183 Comps 051222 SorabhV3" xfId="721" xr:uid="{00000000-0005-0000-0000-000091020000}"/>
    <cellStyle name="D_graph synthèse des valos Circuit A_TDI1183 M&amp;M Comps 051221 Vimal" xfId="722" xr:uid="{00000000-0005-0000-0000-000092020000}"/>
    <cellStyle name="D_graph synthèse des valos Circuit A_TDI1183 Media Comps 051219 Abhishek New" xfId="723" xr:uid="{00000000-0005-0000-0000-000093020000}"/>
    <cellStyle name="D_graph synthèse des valos Circuit A_TDI1183 Media Comps 051219 Ritesh New" xfId="724" xr:uid="{00000000-0005-0000-0000-000094020000}"/>
    <cellStyle name="D_graph synthèse des valos Circuit A_TDI1183 Metal &amp; Mining 051219 Anurag" xfId="725" xr:uid="{00000000-0005-0000-0000-000095020000}"/>
    <cellStyle name="D_graph synthèse des valos Circuit A_TDI1183 QC SUMIT Template 051222" xfId="726" xr:uid="{00000000-0005-0000-0000-000096020000}"/>
    <cellStyle name="D_graph synthèse des valos Circuit A_TDI1183 Template 051219  Ashish" xfId="727" xr:uid="{00000000-0005-0000-0000-000097020000}"/>
    <cellStyle name="D_graph synthèse des valos Circuit A_TDI1183 Template 051219  Ashish QC1 Buenaventura Babneet" xfId="728" xr:uid="{00000000-0005-0000-0000-000098020000}"/>
    <cellStyle name="D_graph synthèse des valos Circuit A_TDI1183 Template 051219 II Amit M" xfId="729" xr:uid="{00000000-0005-0000-0000-000099020000}"/>
    <cellStyle name="D_graph synthèse des valos Circuit A_TDI1183 Template 051219 II Amit M V1" xfId="730" xr:uid="{00000000-0005-0000-0000-00009A020000}"/>
    <cellStyle name="D_graph synthèse des valos Circuit A_TDI1183 Template 051219 II Anurag" xfId="731" xr:uid="{00000000-0005-0000-0000-00009B020000}"/>
    <cellStyle name="D_graph synthèse des valos Circuit A_TDI1183 Template 051219 II Atul" xfId="732" xr:uid="{00000000-0005-0000-0000-00009C020000}"/>
    <cellStyle name="D_graph synthèse des valos Circuit A_TDI1183 Template 051219 II Celtic Qc1 Yogendra" xfId="733" xr:uid="{00000000-0005-0000-0000-00009D020000}"/>
    <cellStyle name="D_graph synthèse des valos Circuit A_TDI1183 Template 051219 II Himanshu Sahai" xfId="734" xr:uid="{00000000-0005-0000-0000-00009E020000}"/>
    <cellStyle name="D_graph synthèse des valos Circuit A_TDI1183 Template 051219 II Kamlesh" xfId="735" xr:uid="{00000000-0005-0000-0000-00009F020000}"/>
    <cellStyle name="D_graph synthèse des valos Circuit A_TDI1183 Template 051219 II Kamlesh QC1 ASSMANG, PETER HAMBRO Babneet" xfId="736" xr:uid="{00000000-0005-0000-0000-0000A0020000}"/>
    <cellStyle name="D_graph synthèse des valos Circuit A_TDI1183 Template 051219 II Kamlesh QC1 MERAFE Babneet" xfId="737" xr:uid="{00000000-0005-0000-0000-0000A1020000}"/>
    <cellStyle name="D_graph synthèse des valos Circuit A_TDI1183 Template 051219 II Lalit" xfId="738" xr:uid="{00000000-0005-0000-0000-0000A2020000}"/>
    <cellStyle name="D_graph synthèse des valos Circuit A_TDI1183 Template 051219 II Mili" xfId="739" xr:uid="{00000000-0005-0000-0000-0000A3020000}"/>
    <cellStyle name="D_graph synthèse des valos Circuit A_TDI1183 Template 051219 II Nandini" xfId="740" xr:uid="{00000000-0005-0000-0000-0000A4020000}"/>
    <cellStyle name="D_graph synthèse des valos Circuit A_TDI1183 Template 051219 II Nitin New" xfId="741" xr:uid="{00000000-0005-0000-0000-0000A5020000}"/>
    <cellStyle name="D_graph synthèse des valos Circuit A_TDI1183 Template 051219 II Sachin" xfId="742" xr:uid="{00000000-0005-0000-0000-0000A6020000}"/>
    <cellStyle name="D_graph synthèse des valos Circuit A_TDI1183 Template 051219 II Vishal" xfId="743" xr:uid="{00000000-0005-0000-0000-0000A7020000}"/>
    <cellStyle name="D_graph synthèse des valos Circuit A_TDI1183 Template 051219 II Vishal2" xfId="744" xr:uid="{00000000-0005-0000-0000-0000A8020000}"/>
    <cellStyle name="D_graph synthèse des valos Circuit A_TDI1183 Template 051219 II Yogesh Final" xfId="745" xr:uid="{00000000-0005-0000-0000-0000A9020000}"/>
    <cellStyle name="D_graph synthèse des valos Circuit A_TDI1183 Template 051219 Mukesh Revised II" xfId="746" xr:uid="{00000000-0005-0000-0000-0000AA020000}"/>
    <cellStyle name="D_graph synthèse des valos Circuit A_TDI1183 Template 051219 QC1 Newcrest_Yogendra" xfId="747" xr:uid="{00000000-0005-0000-0000-0000AB020000}"/>
    <cellStyle name="D_graph synthèse des valos Circuit A_TDI1183 Template 051220 II Himanshu Sahai" xfId="748" xr:uid="{00000000-0005-0000-0000-0000AC020000}"/>
    <cellStyle name="D_graph synthèse des valos Circuit A_TDI1183 Template 051220 II QC1 Alcan_Yogendra" xfId="749" xr:uid="{00000000-0005-0000-0000-0000AD020000}"/>
    <cellStyle name="D_graph synthèse des valos Circuit A_TDI1183 Template 051220 II QC1 Assore _Yogendra" xfId="750" xr:uid="{00000000-0005-0000-0000-0000AE020000}"/>
    <cellStyle name="D_graph synthèse des valos Circuit A_TDI1183 Template 051220 II QC1 Consol_Yogendra" xfId="751" xr:uid="{00000000-0005-0000-0000-0000AF020000}"/>
    <cellStyle name="D_graph synthèse des valos Circuit A_TDI1183 Template 051220 II QC1 Peabody_Yogendra" xfId="752" xr:uid="{00000000-0005-0000-0000-0000B0020000}"/>
    <cellStyle name="D_graph synthèse des valos Circuit A_TDI1183 Template 051220 II QC1 Rio Tinto_Yogendra" xfId="753" xr:uid="{00000000-0005-0000-0000-0000B1020000}"/>
    <cellStyle name="D_graph synthèse des valos Circuit A_TDI1183 Template 051220 Qc1 Abhishek" xfId="754" xr:uid="{00000000-0005-0000-0000-0000B2020000}"/>
    <cellStyle name="D_graph synthèse des valos Circuit A_TDI1183 Template 051220 Qc1 Ritesh" xfId="755" xr:uid="{00000000-0005-0000-0000-0000B3020000}"/>
    <cellStyle name="D_graph synthèse des valos Circuit A_TDI1212 M&amp;M Comps 060104 Part 1 Ainul" xfId="756" xr:uid="{00000000-0005-0000-0000-0000B4020000}"/>
    <cellStyle name="D_graph synthèse des valos Circuit A_TDI1212 M&amp;M Comps 060104 Part 1 QC Anish" xfId="757" xr:uid="{00000000-0005-0000-0000-0000B5020000}"/>
    <cellStyle name="D_graph synthèse des valos Circuit A_TDI1212 M&amp;M Comps 060104 vQC Ankur" xfId="758" xr:uid="{00000000-0005-0000-0000-0000B6020000}"/>
    <cellStyle name="D_graph synthèse des valos Circuit A_TDI1212 M&amp;M Comps 060105 Part 1" xfId="759" xr:uid="{00000000-0005-0000-0000-0000B7020000}"/>
    <cellStyle name="D_graph synthèse des valos Circuit A_TDI1212 M&amp;M Comps 060105 Part 1 060121 Pankaj(inludes LionOre)" xfId="760" xr:uid="{00000000-0005-0000-0000-0000B8020000}"/>
    <cellStyle name="D_graph synthèse des valos Circuit A_TDI1212 M&amp;M Comps 060105 Part II (Precious metals &amp; Coal) " xfId="761" xr:uid="{00000000-0005-0000-0000-0000B9020000}"/>
    <cellStyle name="D_graph synthèse des valos Circuit A_TDI1252 M&amp;M Comps 060121 Part 1" xfId="762" xr:uid="{00000000-0005-0000-0000-0000BA020000}"/>
    <cellStyle name="D_graph synthèse des valos Circuit A_TDI1301 M&amp;M Comps 060125 Himanshu" xfId="763" xr:uid="{00000000-0005-0000-0000-0000BB020000}"/>
    <cellStyle name="D_graph synthèse des valos Circuit A_TDI1317 Steel Comps 060130 Rajesh Garg" xfId="764" xr:uid="{00000000-0005-0000-0000-0000BC020000}"/>
    <cellStyle name="D_graph synthèse des valos Circuit A_TDI1317 Steel Comps 060130 v Puneet" xfId="765" xr:uid="{00000000-0005-0000-0000-0000BD020000}"/>
    <cellStyle name="D_graph synthèse des valos Circuit A_TDI1317 Steel Comps 060201v QC Manish" xfId="766" xr:uid="{00000000-0005-0000-0000-0000BE020000}"/>
    <cellStyle name="D_graph synthèse des valos Circuit A_TDI1317 Steel Comps 060202 QC Anish" xfId="767" xr:uid="{00000000-0005-0000-0000-0000BF020000}"/>
    <cellStyle name="D_graph synthèse des valos Circuit A_TDI1317 Steel Comps 060202 QC Consolidated 060206v1" xfId="768" xr:uid="{00000000-0005-0000-0000-0000C0020000}"/>
    <cellStyle name="D_graph synthèse des valos Circuit A_TDI1317 Steel Comps 060202 QC Consolidated till 060204v1" xfId="769" xr:uid="{00000000-0005-0000-0000-0000C1020000}"/>
    <cellStyle name="D_graph synthèse des valos Circuit A_TDI1317 Steel Comps 060202 v Ainul" xfId="770" xr:uid="{00000000-0005-0000-0000-0000C2020000}"/>
    <cellStyle name="D_graph synthèse des valos Circuit A_TDI1317 Steel Comps 060203 vQC Ankur" xfId="771" xr:uid="{00000000-0005-0000-0000-0000C3020000}"/>
    <cellStyle name="D_graph synthèse des valos Circuit A_TDI1317 Steel Comps Template 060130 Nikunj" xfId="772" xr:uid="{00000000-0005-0000-0000-0000C4020000}"/>
    <cellStyle name="D_graph synthèse des valos Circuit A_TDI1317 Steel Comps Template 060130 Sachin" xfId="773" xr:uid="{00000000-0005-0000-0000-0000C5020000}"/>
    <cellStyle name="D_graph synthèse des valos Circuit A_TDI1317 Steel Comps Template 060131 Ashish" xfId="774" xr:uid="{00000000-0005-0000-0000-0000C6020000}"/>
    <cellStyle name="D_graph synthèse des valos Circuit A_TDI1318 M&amp;M Comps 060204 Aquarius Platinum Mili" xfId="775" xr:uid="{00000000-0005-0000-0000-0000C7020000}"/>
    <cellStyle name="D_graph synthèse des valos Circuit A_TDI659 Comps File Generic Media Abhas 050615" xfId="776" xr:uid="{00000000-0005-0000-0000-0000C8020000}"/>
    <cellStyle name="D_M&amp;M Comps 060206 Part II (Precious &amp; Coal) 060214" xfId="777" xr:uid="{00000000-0005-0000-0000-0000C9020000}"/>
    <cellStyle name="D_Market Research Comps 25 August 2005" xfId="778" xr:uid="{00000000-0005-0000-0000-0000CA020000}"/>
    <cellStyle name="D_Springer CCA Oct 11 JMv14" xfId="779" xr:uid="{00000000-0005-0000-0000-0000CB020000}"/>
    <cellStyle name="D_Springer CCA Oct 11 JMv15" xfId="780" xr:uid="{00000000-0005-0000-0000-0000CC020000}"/>
    <cellStyle name="D_TDI1183 Comps  051219 II Vishal2" xfId="781" xr:uid="{00000000-0005-0000-0000-0000CD020000}"/>
    <cellStyle name="D_TDI1183 Comps 051219 QC1 Pankaj" xfId="782" xr:uid="{00000000-0005-0000-0000-0000CE020000}"/>
    <cellStyle name="D_TDI1183 Comps 051219 QC1 Pankaj V1" xfId="783" xr:uid="{00000000-0005-0000-0000-0000CF020000}"/>
    <cellStyle name="D_TDI1183 Comps 051220 AbhasV1" xfId="784" xr:uid="{00000000-0005-0000-0000-0000D0020000}"/>
    <cellStyle name="D_TDI1183 Comps 051220 Ainul" xfId="785" xr:uid="{00000000-0005-0000-0000-0000D1020000}"/>
    <cellStyle name="D_TDI1183 Comps 051221 vQC Ankur" xfId="786" xr:uid="{00000000-0005-0000-0000-0000D2020000}"/>
    <cellStyle name="D_TDI1183 Comps 051222 SorabhV2" xfId="787" xr:uid="{00000000-0005-0000-0000-0000D3020000}"/>
    <cellStyle name="D_TDI1183 Comps 051222 SorabhV3" xfId="788" xr:uid="{00000000-0005-0000-0000-0000D4020000}"/>
    <cellStyle name="D_TDI1183 M&amp;M Comps 051221 Vimal" xfId="789" xr:uid="{00000000-0005-0000-0000-0000D5020000}"/>
    <cellStyle name="D_TDI1183 Media Comps 051219 Abhishek New" xfId="790" xr:uid="{00000000-0005-0000-0000-0000D6020000}"/>
    <cellStyle name="D_TDI1183 Media Comps 051219 Ritesh New" xfId="791" xr:uid="{00000000-0005-0000-0000-0000D7020000}"/>
    <cellStyle name="D_TDI1183 Metal &amp; Mining 051219 Anurag" xfId="792" xr:uid="{00000000-0005-0000-0000-0000D8020000}"/>
    <cellStyle name="D_TDI1183 QC SUMIT Template 051222" xfId="793" xr:uid="{00000000-0005-0000-0000-0000D9020000}"/>
    <cellStyle name="D_TDI1183 Template 051219  Ashish" xfId="794" xr:uid="{00000000-0005-0000-0000-0000DA020000}"/>
    <cellStyle name="D_TDI1183 Template 051219  Ashish QC1 Buenaventura Babneet" xfId="795" xr:uid="{00000000-0005-0000-0000-0000DB020000}"/>
    <cellStyle name="D_TDI1183 Template 051219 II Amit M" xfId="796" xr:uid="{00000000-0005-0000-0000-0000DC020000}"/>
    <cellStyle name="D_TDI1183 Template 051219 II Amit M V1" xfId="797" xr:uid="{00000000-0005-0000-0000-0000DD020000}"/>
    <cellStyle name="D_TDI1183 Template 051219 II Anurag" xfId="798" xr:uid="{00000000-0005-0000-0000-0000DE020000}"/>
    <cellStyle name="D_TDI1183 Template 051219 II Atul" xfId="799" xr:uid="{00000000-0005-0000-0000-0000DF020000}"/>
    <cellStyle name="D_TDI1183 Template 051219 II Celtic Qc1 Yogendra" xfId="800" xr:uid="{00000000-0005-0000-0000-0000E0020000}"/>
    <cellStyle name="D_TDI1183 Template 051219 II Himanshu Sahai" xfId="801" xr:uid="{00000000-0005-0000-0000-0000E1020000}"/>
    <cellStyle name="D_TDI1183 Template 051219 II Kamlesh" xfId="802" xr:uid="{00000000-0005-0000-0000-0000E2020000}"/>
    <cellStyle name="D_TDI1183 Template 051219 II Kamlesh QC1 ASSMANG, PETER HAMBRO Babneet" xfId="803" xr:uid="{00000000-0005-0000-0000-0000E3020000}"/>
    <cellStyle name="D_TDI1183 Template 051219 II Kamlesh QC1 MERAFE Babneet" xfId="804" xr:uid="{00000000-0005-0000-0000-0000E4020000}"/>
    <cellStyle name="D_TDI1183 Template 051219 II Lalit" xfId="805" xr:uid="{00000000-0005-0000-0000-0000E5020000}"/>
    <cellStyle name="D_TDI1183 Template 051219 II Mili" xfId="806" xr:uid="{00000000-0005-0000-0000-0000E6020000}"/>
    <cellStyle name="D_TDI1183 Template 051219 II Nandini" xfId="807" xr:uid="{00000000-0005-0000-0000-0000E7020000}"/>
    <cellStyle name="D_TDI1183 Template 051219 II Nitin New" xfId="808" xr:uid="{00000000-0005-0000-0000-0000E8020000}"/>
    <cellStyle name="D_TDI1183 Template 051219 II Sachin" xfId="809" xr:uid="{00000000-0005-0000-0000-0000E9020000}"/>
    <cellStyle name="D_TDI1183 Template 051219 II Vishal" xfId="810" xr:uid="{00000000-0005-0000-0000-0000EA020000}"/>
    <cellStyle name="D_TDI1183 Template 051219 II Vishal2" xfId="811" xr:uid="{00000000-0005-0000-0000-0000EB020000}"/>
    <cellStyle name="D_TDI1183 Template 051219 II Yogesh Final" xfId="812" xr:uid="{00000000-0005-0000-0000-0000EC020000}"/>
    <cellStyle name="D_TDI1183 Template 051219 Mukesh Revised II" xfId="813" xr:uid="{00000000-0005-0000-0000-0000ED020000}"/>
    <cellStyle name="D_TDI1183 Template 051219 QC1 Newcrest_Yogendra" xfId="814" xr:uid="{00000000-0005-0000-0000-0000EE020000}"/>
    <cellStyle name="D_TDI1183 Template 051220 II Himanshu Sahai" xfId="815" xr:uid="{00000000-0005-0000-0000-0000EF020000}"/>
    <cellStyle name="D_TDI1183 Template 051220 II QC1 Alcan_Yogendra" xfId="816" xr:uid="{00000000-0005-0000-0000-0000F0020000}"/>
    <cellStyle name="D_TDI1183 Template 051220 II QC1 Assore _Yogendra" xfId="817" xr:uid="{00000000-0005-0000-0000-0000F1020000}"/>
    <cellStyle name="D_TDI1183 Template 051220 II QC1 Consol_Yogendra" xfId="818" xr:uid="{00000000-0005-0000-0000-0000F2020000}"/>
    <cellStyle name="D_TDI1183 Template 051220 II QC1 Peabody_Yogendra" xfId="819" xr:uid="{00000000-0005-0000-0000-0000F3020000}"/>
    <cellStyle name="D_TDI1183 Template 051220 II QC1 Rio Tinto_Yogendra" xfId="820" xr:uid="{00000000-0005-0000-0000-0000F4020000}"/>
    <cellStyle name="D_TDI1183 Template 051220 Qc1 Abhishek" xfId="821" xr:uid="{00000000-0005-0000-0000-0000F5020000}"/>
    <cellStyle name="D_TDI1183 Template 051220 Qc1 Ritesh" xfId="822" xr:uid="{00000000-0005-0000-0000-0000F6020000}"/>
    <cellStyle name="D_TDI1212 M&amp;M Comps 060104 Part 1 Ainul" xfId="823" xr:uid="{00000000-0005-0000-0000-0000F7020000}"/>
    <cellStyle name="D_TDI1212 M&amp;M Comps 060104 Part 1 QC Anish" xfId="824" xr:uid="{00000000-0005-0000-0000-0000F8020000}"/>
    <cellStyle name="D_TDI1212 M&amp;M Comps 060104 vQC Ankur" xfId="825" xr:uid="{00000000-0005-0000-0000-0000F9020000}"/>
    <cellStyle name="D_TDI1212 M&amp;M Comps 060105 Part 1" xfId="826" xr:uid="{00000000-0005-0000-0000-0000FA020000}"/>
    <cellStyle name="D_TDI1212 M&amp;M Comps 060105 Part 1 060121 Pankaj(inludes LionOre)" xfId="827" xr:uid="{00000000-0005-0000-0000-0000FB020000}"/>
    <cellStyle name="D_TDI1212 M&amp;M Comps 060105 Part II (Precious metals &amp; Coal) " xfId="828" xr:uid="{00000000-0005-0000-0000-0000FC020000}"/>
    <cellStyle name="D_TDI1252 M&amp;M Comps 060121 Part 1" xfId="829" xr:uid="{00000000-0005-0000-0000-0000FD020000}"/>
    <cellStyle name="D_TDI1301 M&amp;M Comps 060125 Himanshu" xfId="830" xr:uid="{00000000-0005-0000-0000-0000FE020000}"/>
    <cellStyle name="D_TDI1317 Steel Comps 060130 Rajesh Garg" xfId="831" xr:uid="{00000000-0005-0000-0000-0000FF020000}"/>
    <cellStyle name="D_TDI1317 Steel Comps 060130 v Puneet" xfId="832" xr:uid="{00000000-0005-0000-0000-000000030000}"/>
    <cellStyle name="D_TDI1317 Steel Comps 060201v QC Manish" xfId="833" xr:uid="{00000000-0005-0000-0000-000001030000}"/>
    <cellStyle name="D_TDI1317 Steel Comps 060202 QC Anish" xfId="834" xr:uid="{00000000-0005-0000-0000-000002030000}"/>
    <cellStyle name="D_TDI1317 Steel Comps 060202 QC Consolidated 060206v1" xfId="835" xr:uid="{00000000-0005-0000-0000-000003030000}"/>
    <cellStyle name="D_TDI1317 Steel Comps 060202 QC Consolidated till 060204v1" xfId="836" xr:uid="{00000000-0005-0000-0000-000004030000}"/>
    <cellStyle name="D_TDI1317 Steel Comps 060202 v Ainul" xfId="837" xr:uid="{00000000-0005-0000-0000-000005030000}"/>
    <cellStyle name="D_TDI1317 Steel Comps 060203 vQC Ankur" xfId="838" xr:uid="{00000000-0005-0000-0000-000006030000}"/>
    <cellStyle name="D_TDI1317 Steel Comps Template 060130 Nikunj" xfId="839" xr:uid="{00000000-0005-0000-0000-000007030000}"/>
    <cellStyle name="D_TDI1317 Steel Comps Template 060130 Sachin" xfId="840" xr:uid="{00000000-0005-0000-0000-000008030000}"/>
    <cellStyle name="D_TDI1317 Steel Comps Template 060131 Ashish" xfId="841" xr:uid="{00000000-0005-0000-0000-000009030000}"/>
    <cellStyle name="D_TDI1318 M&amp;M Comps 060204 Aquarius Platinum Mili" xfId="842" xr:uid="{00000000-0005-0000-0000-00000A030000}"/>
    <cellStyle name="D_TDI659 Comps File Generic Media Abhas 050615" xfId="843" xr:uid="{00000000-0005-0000-0000-00000B030000}"/>
    <cellStyle name="Dash" xfId="844" xr:uid="{00000000-0005-0000-0000-00000C030000}"/>
    <cellStyle name="Date" xfId="66" xr:uid="{00000000-0005-0000-0000-00000D030000}"/>
    <cellStyle name="Date - 01 Jan" xfId="33" xr:uid="{00000000-0005-0000-0000-00000E030000}"/>
    <cellStyle name="Date - 01 Jan 01" xfId="34" xr:uid="{00000000-0005-0000-0000-00000F030000}"/>
    <cellStyle name="Date - Jan 01" xfId="35" xr:uid="{00000000-0005-0000-0000-000010030000}"/>
    <cellStyle name="Date 2" xfId="845" xr:uid="{00000000-0005-0000-0000-000011030000}"/>
    <cellStyle name="Date Aligned" xfId="846" xr:uid="{00000000-0005-0000-0000-000012030000}"/>
    <cellStyle name="Date Aligned*" xfId="847" xr:uid="{00000000-0005-0000-0000-000013030000}"/>
    <cellStyle name="Date Aligned_6bny1016" xfId="848" xr:uid="{00000000-0005-0000-0000-000014030000}"/>
    <cellStyle name="Date Short" xfId="849" xr:uid="{00000000-0005-0000-0000-000015030000}"/>
    <cellStyle name="Date_4cny0981.xls Chart 11" xfId="850" xr:uid="{00000000-0005-0000-0000-000016030000}"/>
    <cellStyle name="date2" xfId="851" xr:uid="{00000000-0005-0000-0000-000017030000}"/>
    <cellStyle name="Dates" xfId="852" xr:uid="{00000000-0005-0000-0000-000018030000}"/>
    <cellStyle name="Datum(text)" xfId="853" xr:uid="{00000000-0005-0000-0000-000019030000}"/>
    <cellStyle name="Day-Mon-Yr" xfId="854" xr:uid="{00000000-0005-0000-0000-00001A030000}"/>
    <cellStyle name="days" xfId="855" xr:uid="{00000000-0005-0000-0000-00001B030000}"/>
    <cellStyle name="dd/mm/yy" xfId="856" xr:uid="{00000000-0005-0000-0000-00001C030000}"/>
    <cellStyle name="Decimal Number" xfId="857" xr:uid="{00000000-0005-0000-0000-00001D030000}"/>
    <cellStyle name="Déprotégé" xfId="858" xr:uid="{00000000-0005-0000-0000-00001E030000}"/>
    <cellStyle name="Dezimal [0]_08-00-CGE-OFFERS" xfId="859" xr:uid="{00000000-0005-0000-0000-00001F030000}"/>
    <cellStyle name="Dezimal_ Magirus " xfId="860" xr:uid="{00000000-0005-0000-0000-000020030000}"/>
    <cellStyle name="Dia" xfId="861" xr:uid="{00000000-0005-0000-0000-000021030000}"/>
    <cellStyle name="dollar" xfId="862" xr:uid="{00000000-0005-0000-0000-000022030000}"/>
    <cellStyle name="Dotted Line" xfId="863" xr:uid="{00000000-0005-0000-0000-000023030000}"/>
    <cellStyle name="Double Accounting" xfId="864" xr:uid="{00000000-0005-0000-0000-000024030000}"/>
    <cellStyle name="Duizenden" xfId="865" xr:uid="{00000000-0005-0000-0000-000025030000}"/>
    <cellStyle name="dunkel" xfId="866" xr:uid="{00000000-0005-0000-0000-000026030000}"/>
    <cellStyle name="Empty_Cell" xfId="67" xr:uid="{00000000-0005-0000-0000-000027030000}"/>
    <cellStyle name="Encabez1" xfId="867" xr:uid="{00000000-0005-0000-0000-000028030000}"/>
    <cellStyle name="Encabez2" xfId="868" xr:uid="{00000000-0005-0000-0000-000029030000}"/>
    <cellStyle name="Enter Currency (0)" xfId="869" xr:uid="{00000000-0005-0000-0000-00002A030000}"/>
    <cellStyle name="Enter Currency (2)" xfId="870" xr:uid="{00000000-0005-0000-0000-00002B030000}"/>
    <cellStyle name="Enter Units (0)" xfId="871" xr:uid="{00000000-0005-0000-0000-00002C030000}"/>
    <cellStyle name="Enter Units (1)" xfId="872" xr:uid="{00000000-0005-0000-0000-00002D030000}"/>
    <cellStyle name="Enter Units (2)" xfId="873" xr:uid="{00000000-0005-0000-0000-00002E030000}"/>
    <cellStyle name="Entered" xfId="874" xr:uid="{00000000-0005-0000-0000-00002F030000}"/>
    <cellStyle name="Equity research inputs" xfId="875" xr:uid="{00000000-0005-0000-0000-000030030000}"/>
    <cellStyle name="Euro" xfId="36" xr:uid="{00000000-0005-0000-0000-000031030000}"/>
    <cellStyle name="Euro-" xfId="876" xr:uid="{00000000-0005-0000-0000-000032030000}"/>
    <cellStyle name="Euro_Adam_Comps" xfId="877" xr:uid="{00000000-0005-0000-0000-000033030000}"/>
    <cellStyle name="ex_ratio" xfId="878" xr:uid="{00000000-0005-0000-0000-000034030000}"/>
    <cellStyle name="Excel Built-in Normal" xfId="1356" xr:uid="{00000000-0005-0000-0000-000035030000}"/>
    <cellStyle name="Explanatory Text 2" xfId="879" xr:uid="{00000000-0005-0000-0000-000036030000}"/>
    <cellStyle name="Explanatory Text 3" xfId="880" xr:uid="{00000000-0005-0000-0000-000037030000}"/>
    <cellStyle name="F2" xfId="881" xr:uid="{00000000-0005-0000-0000-000038030000}"/>
    <cellStyle name="F3" xfId="882" xr:uid="{00000000-0005-0000-0000-000039030000}"/>
    <cellStyle name="F4" xfId="883" xr:uid="{00000000-0005-0000-0000-00003A030000}"/>
    <cellStyle name="F5" xfId="884" xr:uid="{00000000-0005-0000-0000-00003B030000}"/>
    <cellStyle name="F6" xfId="885" xr:uid="{00000000-0005-0000-0000-00003C030000}"/>
    <cellStyle name="F7" xfId="886" xr:uid="{00000000-0005-0000-0000-00003D030000}"/>
    <cellStyle name="F8" xfId="887" xr:uid="{00000000-0005-0000-0000-00003E030000}"/>
    <cellStyle name="fact" xfId="888" xr:uid="{00000000-0005-0000-0000-00003F030000}"/>
    <cellStyle name="FDC-Pos" xfId="889" xr:uid="{00000000-0005-0000-0000-000040030000}"/>
    <cellStyle name="FDC-Pos 2" xfId="890" xr:uid="{00000000-0005-0000-0000-000041030000}"/>
    <cellStyle name="Fig" xfId="891" xr:uid="{00000000-0005-0000-0000-000042030000}"/>
    <cellStyle name="Fijo" xfId="892" xr:uid="{00000000-0005-0000-0000-000043030000}"/>
    <cellStyle name="Financiero" xfId="893" xr:uid="{00000000-0005-0000-0000-000044030000}"/>
    <cellStyle name="Fixed" xfId="894" xr:uid="{00000000-0005-0000-0000-000045030000}"/>
    <cellStyle name="Fixed 2" xfId="895" xr:uid="{00000000-0005-0000-0000-000046030000}"/>
    <cellStyle name="Flag" xfId="68" xr:uid="{00000000-0005-0000-0000-000047030000}"/>
    <cellStyle name="Font_Actual" xfId="896" xr:uid="{00000000-0005-0000-0000-000048030000}"/>
    <cellStyle name="Footnote" xfId="897" xr:uid="{00000000-0005-0000-0000-000049030000}"/>
    <cellStyle name="Form_Std" xfId="898" xr:uid="{00000000-0005-0000-0000-00004A030000}"/>
    <cellStyle name="Form-name" xfId="899" xr:uid="{00000000-0005-0000-0000-00004B030000}"/>
    <cellStyle name="Form-name 2" xfId="900" xr:uid="{00000000-0005-0000-0000-00004C030000}"/>
    <cellStyle name="Form-name 2 2" xfId="901" xr:uid="{00000000-0005-0000-0000-00004D030000}"/>
    <cellStyle name="Form-nr" xfId="902" xr:uid="{00000000-0005-0000-0000-00004E030000}"/>
    <cellStyle name="Gilsans" xfId="903" xr:uid="{00000000-0005-0000-0000-00004F030000}"/>
    <cellStyle name="Gilsansl" xfId="904" xr:uid="{00000000-0005-0000-0000-000050030000}"/>
    <cellStyle name="Good 2" xfId="905" xr:uid="{00000000-0005-0000-0000-000051030000}"/>
    <cellStyle name="Good 3" xfId="906" xr:uid="{00000000-0005-0000-0000-000052030000}"/>
    <cellStyle name="Grey" xfId="907" xr:uid="{00000000-0005-0000-0000-000053030000}"/>
    <cellStyle name="GreyOrWhite" xfId="908" xr:uid="{00000000-0005-0000-0000-000054030000}"/>
    <cellStyle name="GroupHeading" xfId="69" xr:uid="{00000000-0005-0000-0000-000055030000}"/>
    <cellStyle name="hard no" xfId="909" xr:uid="{00000000-0005-0000-0000-000056030000}"/>
    <cellStyle name="hard no." xfId="910" xr:uid="{00000000-0005-0000-0000-000057030000}"/>
    <cellStyle name="Hard Percent" xfId="911" xr:uid="{00000000-0005-0000-0000-000058030000}"/>
    <cellStyle name="Head" xfId="912" xr:uid="{00000000-0005-0000-0000-000059030000}"/>
    <cellStyle name="HEADER" xfId="913" xr:uid="{00000000-0005-0000-0000-00005A030000}"/>
    <cellStyle name="Header0" xfId="70" xr:uid="{00000000-0005-0000-0000-00005B030000}"/>
    <cellStyle name="Header1" xfId="71" xr:uid="{00000000-0005-0000-0000-00005C030000}"/>
    <cellStyle name="Header2" xfId="72" xr:uid="{00000000-0005-0000-0000-00005D030000}"/>
    <cellStyle name="Header3" xfId="73" xr:uid="{00000000-0005-0000-0000-00005E030000}"/>
    <cellStyle name="Heading 1 2" xfId="914" xr:uid="{00000000-0005-0000-0000-00005F030000}"/>
    <cellStyle name="Heading 1 3" xfId="915" xr:uid="{00000000-0005-0000-0000-000060030000}"/>
    <cellStyle name="Heading 2 2" xfId="916" xr:uid="{00000000-0005-0000-0000-000061030000}"/>
    <cellStyle name="Heading 2 3" xfId="917" xr:uid="{00000000-0005-0000-0000-000062030000}"/>
    <cellStyle name="Heading 3 2" xfId="918" xr:uid="{00000000-0005-0000-0000-000063030000}"/>
    <cellStyle name="Heading 3 3" xfId="919" xr:uid="{00000000-0005-0000-0000-000064030000}"/>
    <cellStyle name="Heading 4 2" xfId="920" xr:uid="{00000000-0005-0000-0000-000065030000}"/>
    <cellStyle name="Heading 4 3" xfId="921" xr:uid="{00000000-0005-0000-0000-000066030000}"/>
    <cellStyle name="Heading bar" xfId="922" xr:uid="{00000000-0005-0000-0000-000067030000}"/>
    <cellStyle name="Heading page" xfId="923" xr:uid="{00000000-0005-0000-0000-000068030000}"/>
    <cellStyle name="Heading1" xfId="924" xr:uid="{00000000-0005-0000-0000-000069030000}"/>
    <cellStyle name="Heading1 2" xfId="925" xr:uid="{00000000-0005-0000-0000-00006A030000}"/>
    <cellStyle name="Heading2" xfId="926" xr:uid="{00000000-0005-0000-0000-00006B030000}"/>
    <cellStyle name="Heading2 2" xfId="927" xr:uid="{00000000-0005-0000-0000-00006C030000}"/>
    <cellStyle name="Headings" xfId="928" xr:uid="{00000000-0005-0000-0000-00006D030000}"/>
    <cellStyle name="hell" xfId="929" xr:uid="{00000000-0005-0000-0000-00006E030000}"/>
    <cellStyle name="Hidden" xfId="930" xr:uid="{00000000-0005-0000-0000-00006F030000}"/>
    <cellStyle name="Highlight" xfId="931" xr:uid="{00000000-0005-0000-0000-000070030000}"/>
    <cellStyle name="Historical" xfId="37" xr:uid="{00000000-0005-0000-0000-000071030000}"/>
    <cellStyle name="Hyperlink" xfId="1354" builtinId="8"/>
    <cellStyle name="Hyperlink 2" xfId="932" xr:uid="{00000000-0005-0000-0000-000073030000}"/>
    <cellStyle name="Indent" xfId="933" xr:uid="{00000000-0005-0000-0000-000074030000}"/>
    <cellStyle name="Input - required" xfId="38" xr:uid="{00000000-0005-0000-0000-000075030000}"/>
    <cellStyle name="Input - required 2" xfId="39" xr:uid="{00000000-0005-0000-0000-000076030000}"/>
    <cellStyle name="Input - required 2 2" xfId="40" xr:uid="{00000000-0005-0000-0000-000077030000}"/>
    <cellStyle name="Input [yellow]" xfId="934" xr:uid="{00000000-0005-0000-0000-000078030000}"/>
    <cellStyle name="Input 10" xfId="935" xr:uid="{00000000-0005-0000-0000-000079030000}"/>
    <cellStyle name="Input 11" xfId="936" xr:uid="{00000000-0005-0000-0000-00007A030000}"/>
    <cellStyle name="Input 12" xfId="937" xr:uid="{00000000-0005-0000-0000-00007B030000}"/>
    <cellStyle name="Input 2" xfId="938" xr:uid="{00000000-0005-0000-0000-00007C030000}"/>
    <cellStyle name="Input 3" xfId="939" xr:uid="{00000000-0005-0000-0000-00007D030000}"/>
    <cellStyle name="Input 4" xfId="940" xr:uid="{00000000-0005-0000-0000-00007E030000}"/>
    <cellStyle name="Input 5" xfId="941" xr:uid="{00000000-0005-0000-0000-00007F030000}"/>
    <cellStyle name="Input 6" xfId="942" xr:uid="{00000000-0005-0000-0000-000080030000}"/>
    <cellStyle name="Input 7" xfId="943" xr:uid="{00000000-0005-0000-0000-000081030000}"/>
    <cellStyle name="Input 8" xfId="944" xr:uid="{00000000-0005-0000-0000-000082030000}"/>
    <cellStyle name="Input 9" xfId="945" xr:uid="{00000000-0005-0000-0000-000083030000}"/>
    <cellStyle name="Input dates" xfId="946" xr:uid="{00000000-0005-0000-0000-000084030000}"/>
    <cellStyle name="Input multiple" xfId="947" xr:uid="{00000000-0005-0000-0000-000085030000}"/>
    <cellStyle name="Input normal" xfId="948" xr:uid="{00000000-0005-0000-0000-000086030000}"/>
    <cellStyle name="Input percent" xfId="949" xr:uid="{00000000-0005-0000-0000-000087030000}"/>
    <cellStyle name="Input years" xfId="950" xr:uid="{00000000-0005-0000-0000-000088030000}"/>
    <cellStyle name="Input%" xfId="41" xr:uid="{00000000-0005-0000-0000-000089030000}"/>
    <cellStyle name="Input%-1Dec" xfId="74" xr:uid="{00000000-0005-0000-0000-00008A030000}"/>
    <cellStyle name="Input1" xfId="951" xr:uid="{00000000-0005-0000-0000-00008B030000}"/>
    <cellStyle name="InputBlueFont" xfId="952" xr:uid="{00000000-0005-0000-0000-00008C030000}"/>
    <cellStyle name="InputNo-2Dec" xfId="75" xr:uid="{00000000-0005-0000-0000-00008D030000}"/>
    <cellStyle name="InputNo-NoDec" xfId="76" xr:uid="{00000000-0005-0000-0000-00008E030000}"/>
    <cellStyle name="inputs" xfId="953" xr:uid="{00000000-0005-0000-0000-00008F030000}"/>
    <cellStyle name="InSheet" xfId="77" xr:uid="{00000000-0005-0000-0000-000090030000}"/>
    <cellStyle name="Interface" xfId="78" xr:uid="{00000000-0005-0000-0000-000091030000}"/>
    <cellStyle name="Item" xfId="954" xr:uid="{00000000-0005-0000-0000-000092030000}"/>
    <cellStyle name="ItemTypeClass" xfId="955" xr:uid="{00000000-0005-0000-0000-000093030000}"/>
    <cellStyle name="KGName" xfId="956" xr:uid="{00000000-0005-0000-0000-000094030000}"/>
    <cellStyle name="KGName 2" xfId="957" xr:uid="{00000000-0005-0000-0000-000095030000}"/>
    <cellStyle name="KGName 2 2" xfId="958" xr:uid="{00000000-0005-0000-0000-000096030000}"/>
    <cellStyle name="KG-Nr" xfId="959" xr:uid="{00000000-0005-0000-0000-000097030000}"/>
    <cellStyle name="KG-Nr 2" xfId="960" xr:uid="{00000000-0005-0000-0000-000098030000}"/>
    <cellStyle name="Kol.-Titel" xfId="961" xr:uid="{00000000-0005-0000-0000-000099030000}"/>
    <cellStyle name="Kol.-Titel 2" xfId="962" xr:uid="{00000000-0005-0000-0000-00009A030000}"/>
    <cellStyle name="Kol.-Titel 2 2" xfId="963" xr:uid="{00000000-0005-0000-0000-00009B030000}"/>
    <cellStyle name="Komma [0]_Blad1" xfId="964" xr:uid="{00000000-0005-0000-0000-00009C030000}"/>
    <cellStyle name="Komma_Blad1" xfId="965" xr:uid="{00000000-0005-0000-0000-00009D030000}"/>
    <cellStyle name="Left Line" xfId="966" xr:uid="{00000000-0005-0000-0000-00009E030000}"/>
    <cellStyle name="Leftborder" xfId="967" xr:uid="{00000000-0005-0000-0000-00009F030000}"/>
    <cellStyle name="Lien hypertexte" xfId="968" xr:uid="{00000000-0005-0000-0000-0000A0030000}"/>
    <cellStyle name="Lien hypertexte visité_Projet Epices - BP 020604 v3" xfId="969" xr:uid="{00000000-0005-0000-0000-0000A1030000}"/>
    <cellStyle name="Lien hypertexte_Profils Anglais" xfId="970" xr:uid="{00000000-0005-0000-0000-0000A2030000}"/>
    <cellStyle name="ligne_detail" xfId="971" xr:uid="{00000000-0005-0000-0000-0000A3030000}"/>
    <cellStyle name="Line_SubTotal" xfId="79" xr:uid="{00000000-0005-0000-0000-0000A4030000}"/>
    <cellStyle name="Linie" xfId="972" xr:uid="{00000000-0005-0000-0000-0000A5030000}"/>
    <cellStyle name="Linie 2" xfId="973" xr:uid="{00000000-0005-0000-0000-0000A6030000}"/>
    <cellStyle name="Linie 2 2" xfId="974" xr:uid="{00000000-0005-0000-0000-0000A7030000}"/>
    <cellStyle name="Linie-nr" xfId="975" xr:uid="{00000000-0005-0000-0000-0000A8030000}"/>
    <cellStyle name="Linie-nr 2" xfId="976" xr:uid="{00000000-0005-0000-0000-0000A9030000}"/>
    <cellStyle name="Link Currency (0)" xfId="977" xr:uid="{00000000-0005-0000-0000-0000AA030000}"/>
    <cellStyle name="Link Currency (2)" xfId="978" xr:uid="{00000000-0005-0000-0000-0000AB030000}"/>
    <cellStyle name="Link Units (0)" xfId="979" xr:uid="{00000000-0005-0000-0000-0000AC030000}"/>
    <cellStyle name="Link Units (1)" xfId="980" xr:uid="{00000000-0005-0000-0000-0000AD030000}"/>
    <cellStyle name="Link Units (2)" xfId="981" xr:uid="{00000000-0005-0000-0000-0000AE030000}"/>
    <cellStyle name="Linked Cell 2" xfId="982" xr:uid="{00000000-0005-0000-0000-0000AF030000}"/>
    <cellStyle name="Linked Cell 3" xfId="983" xr:uid="{00000000-0005-0000-0000-0000B0030000}"/>
    <cellStyle name="m" xfId="984" xr:uid="{00000000-0005-0000-0000-0000B1030000}"/>
    <cellStyle name="m_JNY model 6-6-2006" xfId="985" xr:uid="{00000000-0005-0000-0000-0000B2030000}"/>
    <cellStyle name="m_MMC trading comp" xfId="986" xr:uid="{00000000-0005-0000-0000-0000B3030000}"/>
    <cellStyle name="m_Project World Series Financials" xfId="987" xr:uid="{00000000-0005-0000-0000-0000B4030000}"/>
    <cellStyle name="m_WACC" xfId="988" xr:uid="{00000000-0005-0000-0000-0000B5030000}"/>
    <cellStyle name="MacroCode" xfId="989" xr:uid="{00000000-0005-0000-0000-0000B6030000}"/>
    <cellStyle name="macroname" xfId="990" xr:uid="{00000000-0005-0000-0000-0000B7030000}"/>
    <cellStyle name="Major item" xfId="991" xr:uid="{00000000-0005-0000-0000-0000B8030000}"/>
    <cellStyle name="Map Distance" xfId="992" xr:uid="{00000000-0005-0000-0000-0000B9030000}"/>
    <cellStyle name="Map Labels" xfId="993" xr:uid="{00000000-0005-0000-0000-0000BA030000}"/>
    <cellStyle name="Map Legend" xfId="994" xr:uid="{00000000-0005-0000-0000-0000BB030000}"/>
    <cellStyle name="Map Title" xfId="995" xr:uid="{00000000-0005-0000-0000-0000BC030000}"/>
    <cellStyle name="MF" xfId="996" xr:uid="{00000000-0005-0000-0000-0000BD030000}"/>
    <cellStyle name="Mike" xfId="997" xr:uid="{00000000-0005-0000-0000-0000BE030000}"/>
    <cellStyle name="Millares [0]_10 AVERIAS MASIVAS + ANT" xfId="998" xr:uid="{00000000-0005-0000-0000-0000BF030000}"/>
    <cellStyle name="Millares_10 AVERIAS MASIVAS + ANT" xfId="999" xr:uid="{00000000-0005-0000-0000-0000C0030000}"/>
    <cellStyle name="Milliers [0]_!!!GO" xfId="1000" xr:uid="{00000000-0005-0000-0000-0000C1030000}"/>
    <cellStyle name="Milliers_!!!GO" xfId="1001" xr:uid="{00000000-0005-0000-0000-0000C2030000}"/>
    <cellStyle name="millions" xfId="1002" xr:uid="{00000000-0005-0000-0000-0000C3030000}"/>
    <cellStyle name="millions ($)" xfId="1003" xr:uid="{00000000-0005-0000-0000-0000C4030000}"/>
    <cellStyle name="millions (no dec.)" xfId="1004" xr:uid="{00000000-0005-0000-0000-0000C5030000}"/>
    <cellStyle name="millions_EutelSat.(2.18.01)" xfId="1005" xr:uid="{00000000-0005-0000-0000-0000C6030000}"/>
    <cellStyle name="Mine" xfId="1006" xr:uid="{00000000-0005-0000-0000-0000C7030000}"/>
    <cellStyle name="mkt.dat" xfId="1007" xr:uid="{00000000-0005-0000-0000-0000C8030000}"/>
    <cellStyle name="mm/dd/yy" xfId="1008" xr:uid="{00000000-0005-0000-0000-0000C9030000}"/>
    <cellStyle name="Model" xfId="1009" xr:uid="{00000000-0005-0000-0000-0000CA030000}"/>
    <cellStyle name="Moneda [0]_10 AVERIAS MASIVAS + ANT" xfId="1010" xr:uid="{00000000-0005-0000-0000-0000CB030000}"/>
    <cellStyle name="Moneda_10 AVERIAS MASIVAS + ANT" xfId="1011" xr:uid="{00000000-0005-0000-0000-0000CC030000}"/>
    <cellStyle name="Monétaire [0]_!!!GO" xfId="1012" xr:uid="{00000000-0005-0000-0000-0000CD030000}"/>
    <cellStyle name="Monétaire_!!!GO" xfId="1013" xr:uid="{00000000-0005-0000-0000-0000CE030000}"/>
    <cellStyle name="Monetario" xfId="1014" xr:uid="{00000000-0005-0000-0000-0000CF030000}"/>
    <cellStyle name="Mon-Yr" xfId="1015" xr:uid="{00000000-0005-0000-0000-0000D0030000}"/>
    <cellStyle name="mult" xfId="1016" xr:uid="{00000000-0005-0000-0000-0000D1030000}"/>
    <cellStyle name="Multiple" xfId="1017" xr:uid="{00000000-0005-0000-0000-0000D2030000}"/>
    <cellStyle name="MultipleBelow" xfId="1018" xr:uid="{00000000-0005-0000-0000-0000D3030000}"/>
    <cellStyle name="Multiples" xfId="1019" xr:uid="{00000000-0005-0000-0000-0000D4030000}"/>
    <cellStyle name="n" xfId="1020" xr:uid="{00000000-0005-0000-0000-0000D5030000}"/>
    <cellStyle name="N/A" xfId="1021" xr:uid="{00000000-0005-0000-0000-0000D6030000}"/>
    <cellStyle name="Names" xfId="1022" xr:uid="{00000000-0005-0000-0000-0000D7030000}"/>
    <cellStyle name="Neutral 2" xfId="1023" xr:uid="{00000000-0005-0000-0000-0000D8030000}"/>
    <cellStyle name="Neutral 3" xfId="1024" xr:uid="{00000000-0005-0000-0000-0000D9030000}"/>
    <cellStyle name="NO" xfId="1025" xr:uid="{00000000-0005-0000-0000-0000DA030000}"/>
    <cellStyle name="no dec" xfId="1026" xr:uid="{00000000-0005-0000-0000-0000DB030000}"/>
    <cellStyle name="NOENTRY" xfId="42" xr:uid="{00000000-0005-0000-0000-0000DC030000}"/>
    <cellStyle name="NOFill" xfId="80" xr:uid="{00000000-0005-0000-0000-0000DD030000}"/>
    <cellStyle name="nomral" xfId="1027" xr:uid="{00000000-0005-0000-0000-0000DE030000}"/>
    <cellStyle name="Nor}al" xfId="1028" xr:uid="{00000000-0005-0000-0000-0000DF030000}"/>
    <cellStyle name="Norm੎੎" xfId="59" xr:uid="{00000000-0005-0000-0000-0000E0030000}"/>
    <cellStyle name="norma" xfId="1029" xr:uid="{00000000-0005-0000-0000-0000E1030000}"/>
    <cellStyle name="normail" xfId="1030" xr:uid="{00000000-0005-0000-0000-0000E2030000}"/>
    <cellStyle name="Normal" xfId="0" builtinId="0"/>
    <cellStyle name="normal'" xfId="1031" xr:uid="{00000000-0005-0000-0000-0000E4030000}"/>
    <cellStyle name="Normal - Style1" xfId="1032" xr:uid="{00000000-0005-0000-0000-0000E5030000}"/>
    <cellStyle name="Normal - Style1 2" xfId="1033" xr:uid="{00000000-0005-0000-0000-0000E6030000}"/>
    <cellStyle name="Normal 10" xfId="1034" xr:uid="{00000000-0005-0000-0000-0000E7030000}"/>
    <cellStyle name="Normal 11" xfId="1035" xr:uid="{00000000-0005-0000-0000-0000E8030000}"/>
    <cellStyle name="Normal 12" xfId="1036" xr:uid="{00000000-0005-0000-0000-0000E9030000}"/>
    <cellStyle name="Normal 13" xfId="1037" xr:uid="{00000000-0005-0000-0000-0000EA030000}"/>
    <cellStyle name="Normal 14" xfId="1038" xr:uid="{00000000-0005-0000-0000-0000EB030000}"/>
    <cellStyle name="Normal 15" xfId="1039" xr:uid="{00000000-0005-0000-0000-0000EC030000}"/>
    <cellStyle name="Normal 16" xfId="1040" xr:uid="{00000000-0005-0000-0000-0000ED030000}"/>
    <cellStyle name="Normal 17" xfId="1041" xr:uid="{00000000-0005-0000-0000-0000EE030000}"/>
    <cellStyle name="Normal 18" xfId="1042" xr:uid="{00000000-0005-0000-0000-0000EF030000}"/>
    <cellStyle name="Normal 19" xfId="1043" xr:uid="{00000000-0005-0000-0000-0000F0030000}"/>
    <cellStyle name="Normal 2" xfId="4" xr:uid="{00000000-0005-0000-0000-0000F1030000}"/>
    <cellStyle name="Normal 2 2" xfId="15" xr:uid="{00000000-0005-0000-0000-0000F2030000}"/>
    <cellStyle name="Normal 2 2 2" xfId="1044" xr:uid="{00000000-0005-0000-0000-0000F3030000}"/>
    <cellStyle name="Normal 2 3" xfId="43" xr:uid="{00000000-0005-0000-0000-0000F4030000}"/>
    <cellStyle name="Normal 2 3 2" xfId="1045" xr:uid="{00000000-0005-0000-0000-0000F5030000}"/>
    <cellStyle name="Normal 2 4" xfId="60" xr:uid="{00000000-0005-0000-0000-0000F6030000}"/>
    <cellStyle name="Normal 2 5" xfId="1359" xr:uid="{00000000-0005-0000-0000-0000F7030000}"/>
    <cellStyle name="Normal 2_Book4" xfId="1046" xr:uid="{00000000-0005-0000-0000-0000F8030000}"/>
    <cellStyle name="Normal 20" xfId="1047" xr:uid="{00000000-0005-0000-0000-0000F9030000}"/>
    <cellStyle name="Normal 21" xfId="1048" xr:uid="{00000000-0005-0000-0000-0000FA030000}"/>
    <cellStyle name="Normal 22" xfId="1049" xr:uid="{00000000-0005-0000-0000-0000FB030000}"/>
    <cellStyle name="Normal 23" xfId="1050" xr:uid="{00000000-0005-0000-0000-0000FC030000}"/>
    <cellStyle name="Normal 24" xfId="1051" xr:uid="{00000000-0005-0000-0000-0000FD030000}"/>
    <cellStyle name="Normal 25" xfId="1052" xr:uid="{00000000-0005-0000-0000-0000FE030000}"/>
    <cellStyle name="Normal 26" xfId="1053" xr:uid="{00000000-0005-0000-0000-0000FF030000}"/>
    <cellStyle name="Normal 26 2" xfId="1054" xr:uid="{00000000-0005-0000-0000-000000040000}"/>
    <cellStyle name="Normal 27" xfId="1055" xr:uid="{00000000-0005-0000-0000-000001040000}"/>
    <cellStyle name="Normal 28" xfId="1056" xr:uid="{00000000-0005-0000-0000-000002040000}"/>
    <cellStyle name="Normal 29" xfId="1057" xr:uid="{00000000-0005-0000-0000-000003040000}"/>
    <cellStyle name="Normal 3" xfId="5" xr:uid="{00000000-0005-0000-0000-000004040000}"/>
    <cellStyle name="Normal 3 2" xfId="17" xr:uid="{00000000-0005-0000-0000-000005040000}"/>
    <cellStyle name="Normal 3 3" xfId="44" xr:uid="{00000000-0005-0000-0000-000006040000}"/>
    <cellStyle name="Normal 30" xfId="1058" xr:uid="{00000000-0005-0000-0000-000007040000}"/>
    <cellStyle name="Normal 31" xfId="1059" xr:uid="{00000000-0005-0000-0000-000008040000}"/>
    <cellStyle name="Normal 32" xfId="1060" xr:uid="{00000000-0005-0000-0000-000009040000}"/>
    <cellStyle name="Normal 33" xfId="1061" xr:uid="{00000000-0005-0000-0000-00000A040000}"/>
    <cellStyle name="Normal 34" xfId="1062" xr:uid="{00000000-0005-0000-0000-00000B040000}"/>
    <cellStyle name="Normal 35" xfId="1063" xr:uid="{00000000-0005-0000-0000-00000C040000}"/>
    <cellStyle name="Normal 36" xfId="1064" xr:uid="{00000000-0005-0000-0000-00000D040000}"/>
    <cellStyle name="Normal 37" xfId="1065" xr:uid="{00000000-0005-0000-0000-00000E040000}"/>
    <cellStyle name="Normal 38" xfId="1066" xr:uid="{00000000-0005-0000-0000-00000F040000}"/>
    <cellStyle name="Normal 39" xfId="1067" xr:uid="{00000000-0005-0000-0000-000010040000}"/>
    <cellStyle name="Normal 4" xfId="12" xr:uid="{00000000-0005-0000-0000-000011040000}"/>
    <cellStyle name="Normal 4 2" xfId="45" xr:uid="{00000000-0005-0000-0000-000012040000}"/>
    <cellStyle name="Normal 4 3" xfId="1357" xr:uid="{00000000-0005-0000-0000-000013040000}"/>
    <cellStyle name="Normal 40" xfId="1068" xr:uid="{00000000-0005-0000-0000-000014040000}"/>
    <cellStyle name="Normal 41" xfId="1069" xr:uid="{00000000-0005-0000-0000-000015040000}"/>
    <cellStyle name="Normal 41 2" xfId="1070" xr:uid="{00000000-0005-0000-0000-000016040000}"/>
    <cellStyle name="Normal 42" xfId="1071" xr:uid="{00000000-0005-0000-0000-000017040000}"/>
    <cellStyle name="Normal 42 2" xfId="1072" xr:uid="{00000000-0005-0000-0000-000018040000}"/>
    <cellStyle name="Normal 43" xfId="1073" xr:uid="{00000000-0005-0000-0000-000019040000}"/>
    <cellStyle name="Normal 44" xfId="1074" xr:uid="{00000000-0005-0000-0000-00001A040000}"/>
    <cellStyle name="Normal 45" xfId="1075" xr:uid="{00000000-0005-0000-0000-00001B040000}"/>
    <cellStyle name="Normal 46" xfId="1076" xr:uid="{00000000-0005-0000-0000-00001C040000}"/>
    <cellStyle name="Normal 47" xfId="1077" xr:uid="{00000000-0005-0000-0000-00001D040000}"/>
    <cellStyle name="Normal 48" xfId="1078" xr:uid="{00000000-0005-0000-0000-00001E040000}"/>
    <cellStyle name="Normal 49" xfId="1079" xr:uid="{00000000-0005-0000-0000-00001F040000}"/>
    <cellStyle name="Normal 5" xfId="20" xr:uid="{00000000-0005-0000-0000-000020040000}"/>
    <cellStyle name="Normal 5 2" xfId="1080" xr:uid="{00000000-0005-0000-0000-000021040000}"/>
    <cellStyle name="Normal 50" xfId="1081" xr:uid="{00000000-0005-0000-0000-000022040000}"/>
    <cellStyle name="Normal 51" xfId="1082" xr:uid="{00000000-0005-0000-0000-000023040000}"/>
    <cellStyle name="Normal 52" xfId="1083" xr:uid="{00000000-0005-0000-0000-000024040000}"/>
    <cellStyle name="Normal 53" xfId="1084" xr:uid="{00000000-0005-0000-0000-000025040000}"/>
    <cellStyle name="Normal 54" xfId="1085" xr:uid="{00000000-0005-0000-0000-000026040000}"/>
    <cellStyle name="Normal 55" xfId="1086" xr:uid="{00000000-0005-0000-0000-000027040000}"/>
    <cellStyle name="Normal 56" xfId="1087" xr:uid="{00000000-0005-0000-0000-000028040000}"/>
    <cellStyle name="Normal 57" xfId="1088" xr:uid="{00000000-0005-0000-0000-000029040000}"/>
    <cellStyle name="Normal 58" xfId="1089" xr:uid="{00000000-0005-0000-0000-00002A040000}"/>
    <cellStyle name="Normal 59" xfId="1090" xr:uid="{00000000-0005-0000-0000-00002B040000}"/>
    <cellStyle name="Normal 6" xfId="46" xr:uid="{00000000-0005-0000-0000-00002C040000}"/>
    <cellStyle name="Normal 60" xfId="1091" xr:uid="{00000000-0005-0000-0000-00002D040000}"/>
    <cellStyle name="Normal 61" xfId="1092" xr:uid="{00000000-0005-0000-0000-00002E040000}"/>
    <cellStyle name="Normal 62" xfId="1093" xr:uid="{00000000-0005-0000-0000-00002F040000}"/>
    <cellStyle name="Normal 63" xfId="1094" xr:uid="{00000000-0005-0000-0000-000030040000}"/>
    <cellStyle name="Normal 64" xfId="1095" xr:uid="{00000000-0005-0000-0000-000031040000}"/>
    <cellStyle name="Normal 65" xfId="1096" xr:uid="{00000000-0005-0000-0000-000032040000}"/>
    <cellStyle name="Normal 66" xfId="1097" xr:uid="{00000000-0005-0000-0000-000033040000}"/>
    <cellStyle name="Normal 67" xfId="1098" xr:uid="{00000000-0005-0000-0000-000034040000}"/>
    <cellStyle name="Normal 68" xfId="1099" xr:uid="{00000000-0005-0000-0000-000035040000}"/>
    <cellStyle name="Normal 69" xfId="1100" xr:uid="{00000000-0005-0000-0000-000036040000}"/>
    <cellStyle name="Normal 7" xfId="58" xr:uid="{00000000-0005-0000-0000-000037040000}"/>
    <cellStyle name="Normal 70" xfId="1101" xr:uid="{00000000-0005-0000-0000-000038040000}"/>
    <cellStyle name="Normal 71" xfId="1102" xr:uid="{00000000-0005-0000-0000-000039040000}"/>
    <cellStyle name="Normal 72" xfId="1358" xr:uid="{00000000-0005-0000-0000-00003A040000}"/>
    <cellStyle name="Normal 8" xfId="1103" xr:uid="{00000000-0005-0000-0000-00003B040000}"/>
    <cellStyle name="Normal 9" xfId="1104" xr:uid="{00000000-0005-0000-0000-00003C040000}"/>
    <cellStyle name="Normal_HK Staff Salary Breakup V2" xfId="6" xr:uid="{00000000-0005-0000-0000-00003D040000}"/>
    <cellStyle name="Normal_HK Staff Salary Breakup V2 2" xfId="1353" xr:uid="{00000000-0005-0000-0000-00003E040000}"/>
    <cellStyle name="normal3" xfId="1105" xr:uid="{00000000-0005-0000-0000-00003F040000}"/>
    <cellStyle name="Note 2" xfId="1106" xr:uid="{00000000-0005-0000-0000-000040040000}"/>
    <cellStyle name="Note 3" xfId="1107" xr:uid="{00000000-0005-0000-0000-000041040000}"/>
    <cellStyle name="Note 4" xfId="1108" xr:uid="{00000000-0005-0000-0000-000042040000}"/>
    <cellStyle name="Notes" xfId="1109" xr:uid="{00000000-0005-0000-0000-000043040000}"/>
    <cellStyle name="nromal" xfId="1110" xr:uid="{00000000-0005-0000-0000-000044040000}"/>
    <cellStyle name="Num_Date" xfId="1111" xr:uid="{00000000-0005-0000-0000-000045040000}"/>
    <cellStyle name="number" xfId="1112" xr:uid="{00000000-0005-0000-0000-000046040000}"/>
    <cellStyle name="Numbers" xfId="1113" xr:uid="{00000000-0005-0000-0000-000047040000}"/>
    <cellStyle name="Numbers - Bold - Italic" xfId="1114" xr:uid="{00000000-0005-0000-0000-000048040000}"/>
    <cellStyle name="Œ…‹æØ‚è [0.00]_!!!GO" xfId="1115" xr:uid="{00000000-0005-0000-0000-000049040000}"/>
    <cellStyle name="Œ…‹æØ‚è_!!!GO" xfId="1116" xr:uid="{00000000-0005-0000-0000-00004A040000}"/>
    <cellStyle name="of" xfId="1117" xr:uid="{00000000-0005-0000-0000-00004B040000}"/>
    <cellStyle name="OffSheet" xfId="81" xr:uid="{00000000-0005-0000-0000-00004C040000}"/>
    <cellStyle name="-Ombrage Jaune" xfId="1118" xr:uid="{00000000-0005-0000-0000-00004D040000}"/>
    <cellStyle name="one dec_ten" xfId="1119" xr:uid="{00000000-0005-0000-0000-00004E040000}"/>
    <cellStyle name="one_dec" xfId="1120" xr:uid="{00000000-0005-0000-0000-00004F040000}"/>
    <cellStyle name="OnOff" xfId="1121" xr:uid="{00000000-0005-0000-0000-000050040000}"/>
    <cellStyle name="Output 2" xfId="1122" xr:uid="{00000000-0005-0000-0000-000051040000}"/>
    <cellStyle name="Output 3" xfId="1123" xr:uid="{00000000-0005-0000-0000-000052040000}"/>
    <cellStyle name="Output Amounts" xfId="1124" xr:uid="{00000000-0005-0000-0000-000053040000}"/>
    <cellStyle name="Output Column Headings" xfId="1125" xr:uid="{00000000-0005-0000-0000-000054040000}"/>
    <cellStyle name="Output Line Items" xfId="1126" xr:uid="{00000000-0005-0000-0000-000055040000}"/>
    <cellStyle name="Output Report Heading" xfId="1127" xr:uid="{00000000-0005-0000-0000-000056040000}"/>
    <cellStyle name="Output Report Title" xfId="1128" xr:uid="{00000000-0005-0000-0000-000057040000}"/>
    <cellStyle name="Output1" xfId="1129" xr:uid="{00000000-0005-0000-0000-000058040000}"/>
    <cellStyle name="p" xfId="1130" xr:uid="{00000000-0005-0000-0000-000059040000}"/>
    <cellStyle name="p_6bny1016" xfId="1131" xr:uid="{00000000-0005-0000-0000-00005A040000}"/>
    <cellStyle name="p_WACC" xfId="1132" xr:uid="{00000000-0005-0000-0000-00005B040000}"/>
    <cellStyle name="Page Heading" xfId="1133" xr:uid="{00000000-0005-0000-0000-00005C040000}"/>
    <cellStyle name="Page Number" xfId="1134" xr:uid="{00000000-0005-0000-0000-00005D040000}"/>
    <cellStyle name="parité" xfId="1135" xr:uid="{00000000-0005-0000-0000-00005E040000}"/>
    <cellStyle name="Pattern_Forecast" xfId="1136" xr:uid="{00000000-0005-0000-0000-00005F040000}"/>
    <cellStyle name="pb_table_format_total" xfId="1137" xr:uid="{00000000-0005-0000-0000-000060040000}"/>
    <cellStyle name="pcent" xfId="1138" xr:uid="{00000000-0005-0000-0000-000061040000}"/>
    <cellStyle name="Per aandeel" xfId="1139" xr:uid="{00000000-0005-0000-0000-000062040000}"/>
    <cellStyle name="per.style" xfId="1140" xr:uid="{00000000-0005-0000-0000-000063040000}"/>
    <cellStyle name="percemt" xfId="1141" xr:uid="{00000000-0005-0000-0000-000064040000}"/>
    <cellStyle name="Percent" xfId="7" builtinId="5"/>
    <cellStyle name="Percent [0]" xfId="1142" xr:uid="{00000000-0005-0000-0000-000066040000}"/>
    <cellStyle name="Percent [00]" xfId="1143" xr:uid="{00000000-0005-0000-0000-000067040000}"/>
    <cellStyle name="Percent [2]" xfId="1144" xr:uid="{00000000-0005-0000-0000-000068040000}"/>
    <cellStyle name="Percent [2] 2" xfId="1145" xr:uid="{00000000-0005-0000-0000-000069040000}"/>
    <cellStyle name="Percent 10" xfId="1146" xr:uid="{00000000-0005-0000-0000-00006A040000}"/>
    <cellStyle name="Percent 11" xfId="1147" xr:uid="{00000000-0005-0000-0000-00006B040000}"/>
    <cellStyle name="Percent 12" xfId="1148" xr:uid="{00000000-0005-0000-0000-00006C040000}"/>
    <cellStyle name="Percent 13" xfId="1149" xr:uid="{00000000-0005-0000-0000-00006D040000}"/>
    <cellStyle name="Percent 14" xfId="1150" xr:uid="{00000000-0005-0000-0000-00006E040000}"/>
    <cellStyle name="Percent 2" xfId="8" xr:uid="{00000000-0005-0000-0000-00006F040000}"/>
    <cellStyle name="Percent 2 2" xfId="9" xr:uid="{00000000-0005-0000-0000-000070040000}"/>
    <cellStyle name="Percent 2 2 2" xfId="47" xr:uid="{00000000-0005-0000-0000-000071040000}"/>
    <cellStyle name="Percent 2 3" xfId="10" xr:uid="{00000000-0005-0000-0000-000072040000}"/>
    <cellStyle name="Percent 3" xfId="48" xr:uid="{00000000-0005-0000-0000-000073040000}"/>
    <cellStyle name="Percent 3 2" xfId="49" xr:uid="{00000000-0005-0000-0000-000074040000}"/>
    <cellStyle name="Percent 4" xfId="50" xr:uid="{00000000-0005-0000-0000-000075040000}"/>
    <cellStyle name="Percent 5" xfId="62" xr:uid="{00000000-0005-0000-0000-000076040000}"/>
    <cellStyle name="Percent 6" xfId="1151" xr:uid="{00000000-0005-0000-0000-000077040000}"/>
    <cellStyle name="Percent 7" xfId="1152" xr:uid="{00000000-0005-0000-0000-000078040000}"/>
    <cellStyle name="Percent 8" xfId="1153" xr:uid="{00000000-0005-0000-0000-000079040000}"/>
    <cellStyle name="Percent 9" xfId="1154" xr:uid="{00000000-0005-0000-0000-00007A040000}"/>
    <cellStyle name="Percent Decimal" xfId="1155" xr:uid="{00000000-0005-0000-0000-00007B040000}"/>
    <cellStyle name="Percentage" xfId="51" xr:uid="{00000000-0005-0000-0000-00007C040000}"/>
    <cellStyle name="PercentChange" xfId="1156" xr:uid="{00000000-0005-0000-0000-00007D040000}"/>
    <cellStyle name="percnet" xfId="1157" xr:uid="{00000000-0005-0000-0000-00007E040000}"/>
    <cellStyle name="Periode" xfId="1158" xr:uid="{00000000-0005-0000-0000-00007F040000}"/>
    <cellStyle name="Periode 2" xfId="1159" xr:uid="{00000000-0005-0000-0000-000080040000}"/>
    <cellStyle name="Porcentaje" xfId="1160" xr:uid="{00000000-0005-0000-0000-000081040000}"/>
    <cellStyle name="Pound" xfId="1161" xr:uid="{00000000-0005-0000-0000-000082040000}"/>
    <cellStyle name="prcie" xfId="1162" xr:uid="{00000000-0005-0000-0000-000083040000}"/>
    <cellStyle name="PrePop Currency (0)" xfId="1163" xr:uid="{00000000-0005-0000-0000-000084040000}"/>
    <cellStyle name="PrePop Currency (2)" xfId="1164" xr:uid="{00000000-0005-0000-0000-000085040000}"/>
    <cellStyle name="PrePop Units (0)" xfId="1165" xr:uid="{00000000-0005-0000-0000-000086040000}"/>
    <cellStyle name="PrePop Units (1)" xfId="1166" xr:uid="{00000000-0005-0000-0000-000087040000}"/>
    <cellStyle name="PrePop Units (2)" xfId="1167" xr:uid="{00000000-0005-0000-0000-000088040000}"/>
    <cellStyle name="Price" xfId="1168" xr:uid="{00000000-0005-0000-0000-000089040000}"/>
    <cellStyle name="Procenten" xfId="1169" xr:uid="{00000000-0005-0000-0000-00008A040000}"/>
    <cellStyle name="Procenten estimate" xfId="1170" xr:uid="{00000000-0005-0000-0000-00008B040000}"/>
    <cellStyle name="Procenten_EMI" xfId="1171" xr:uid="{00000000-0005-0000-0000-00008C040000}"/>
    <cellStyle name="PSChar" xfId="1172" xr:uid="{00000000-0005-0000-0000-00008D040000}"/>
    <cellStyle name="PSDate" xfId="1173" xr:uid="{00000000-0005-0000-0000-00008E040000}"/>
    <cellStyle name="PSDec" xfId="1174" xr:uid="{00000000-0005-0000-0000-00008F040000}"/>
    <cellStyle name="PSHeading" xfId="1175" xr:uid="{00000000-0005-0000-0000-000090040000}"/>
    <cellStyle name="PSInt" xfId="1176" xr:uid="{00000000-0005-0000-0000-000091040000}"/>
    <cellStyle name="PSSpacer" xfId="1177" xr:uid="{00000000-0005-0000-0000-000092040000}"/>
    <cellStyle name="Ratio" xfId="1178" xr:uid="{00000000-0005-0000-0000-000093040000}"/>
    <cellStyle name="Red" xfId="1179" xr:uid="{00000000-0005-0000-0000-000094040000}"/>
    <cellStyle name="Red Text" xfId="1180" xr:uid="{00000000-0005-0000-0000-000095040000}"/>
    <cellStyle name="Region" xfId="1181" xr:uid="{00000000-0005-0000-0000-000096040000}"/>
    <cellStyle name="RevList" xfId="1182" xr:uid="{00000000-0005-0000-0000-000097040000}"/>
    <cellStyle name="RM" xfId="1183" xr:uid="{00000000-0005-0000-0000-000098040000}"/>
    <cellStyle name="rod" xfId="1184" xr:uid="{00000000-0005-0000-0000-000099040000}"/>
    <cellStyle name="Row head" xfId="1185" xr:uid="{00000000-0005-0000-0000-00009A040000}"/>
    <cellStyle name="Row Head bold" xfId="1186" xr:uid="{00000000-0005-0000-0000-00009B040000}"/>
    <cellStyle name="Row title 1" xfId="1187" xr:uid="{00000000-0005-0000-0000-00009C040000}"/>
    <cellStyle name="Row Title 3" xfId="1188" xr:uid="{00000000-0005-0000-0000-00009D040000}"/>
    <cellStyle name="RowHeader" xfId="1189" xr:uid="{00000000-0005-0000-0000-00009E040000}"/>
    <cellStyle name="s" xfId="1190" xr:uid="{00000000-0005-0000-0000-00009F040000}"/>
    <cellStyle name="S%" xfId="1191" xr:uid="{00000000-0005-0000-0000-0000A0040000}"/>
    <cellStyle name="SComment" xfId="1192" xr:uid="{00000000-0005-0000-0000-0000A1040000}"/>
    <cellStyle name="ScripFactor" xfId="1193" xr:uid="{00000000-0005-0000-0000-0000A2040000}"/>
    <cellStyle name="Section head" xfId="1194" xr:uid="{00000000-0005-0000-0000-0000A3040000}"/>
    <cellStyle name="Section_Header" xfId="82" xr:uid="{00000000-0005-0000-0000-0000A4040000}"/>
    <cellStyle name="SectionHeading" xfId="1195" xr:uid="{00000000-0005-0000-0000-0000A5040000}"/>
    <cellStyle name="Seite" xfId="1196" xr:uid="{00000000-0005-0000-0000-0000A6040000}"/>
    <cellStyle name="Seite 2" xfId="1197" xr:uid="{00000000-0005-0000-0000-0000A7040000}"/>
    <cellStyle name="Separador de milhares [0]_Assumption" xfId="1198" xr:uid="{00000000-0005-0000-0000-0000A8040000}"/>
    <cellStyle name="SFig" xfId="1199" xr:uid="{00000000-0005-0000-0000-0000A9040000}"/>
    <cellStyle name="Sg%" xfId="1200" xr:uid="{00000000-0005-0000-0000-0000AA040000}"/>
    <cellStyle name="share" xfId="1201" xr:uid="{00000000-0005-0000-0000-0000AB040000}"/>
    <cellStyle name="Sheet_Header" xfId="83" xr:uid="{00000000-0005-0000-0000-0000AC040000}"/>
    <cellStyle name="SheetHeader1" xfId="84" xr:uid="{00000000-0005-0000-0000-0000AD040000}"/>
    <cellStyle name="SheetSubtitle1" xfId="1202" xr:uid="{00000000-0005-0000-0000-0000AE040000}"/>
    <cellStyle name="SheetSubtitle2" xfId="1203" xr:uid="{00000000-0005-0000-0000-0000AF040000}"/>
    <cellStyle name="SheetSubtitle3" xfId="1204" xr:uid="{00000000-0005-0000-0000-0000B0040000}"/>
    <cellStyle name="SheetSubtitle3a" xfId="1205" xr:uid="{00000000-0005-0000-0000-0000B1040000}"/>
    <cellStyle name="SheetSubtitle4" xfId="1206" xr:uid="{00000000-0005-0000-0000-0000B2040000}"/>
    <cellStyle name="SheetSubtitle4a" xfId="1207" xr:uid="{00000000-0005-0000-0000-0000B3040000}"/>
    <cellStyle name="SheetSubtitle5" xfId="1208" xr:uid="{00000000-0005-0000-0000-0000B4040000}"/>
    <cellStyle name="SheetTitle" xfId="1209" xr:uid="{00000000-0005-0000-0000-0000B5040000}"/>
    <cellStyle name="SI%" xfId="1210" xr:uid="{00000000-0005-0000-0000-0000B6040000}"/>
    <cellStyle name="Single Accounting" xfId="1211" xr:uid="{00000000-0005-0000-0000-0000B7040000}"/>
    <cellStyle name="Sname" xfId="1212" xr:uid="{00000000-0005-0000-0000-0000B8040000}"/>
    <cellStyle name="Source" xfId="1213" xr:uid="{00000000-0005-0000-0000-0000B9040000}"/>
    <cellStyle name="Source date" xfId="1214" xr:uid="{00000000-0005-0000-0000-0000BA040000}"/>
    <cellStyle name="Source_Flyer_DCF_Model_Draft_v58_150507_HG_030807" xfId="1215" xr:uid="{00000000-0005-0000-0000-0000BB040000}"/>
    <cellStyle name="Sous-Titre" xfId="1216" xr:uid="{00000000-0005-0000-0000-0000BC040000}"/>
    <cellStyle name="SPerc" xfId="1217" xr:uid="{00000000-0005-0000-0000-0000BD040000}"/>
    <cellStyle name="Standaard_Blad1" xfId="1218" xr:uid="{00000000-0005-0000-0000-0000BE040000}"/>
    <cellStyle name="Standard_1998" xfId="1219" xr:uid="{00000000-0005-0000-0000-0000BF040000}"/>
    <cellStyle name="Stitle" xfId="1220" xr:uid="{00000000-0005-0000-0000-0000C0040000}"/>
    <cellStyle name="Ston" xfId="1221" xr:uid="{00000000-0005-0000-0000-0000C1040000}"/>
    <cellStyle name="Style 1" xfId="11" xr:uid="{00000000-0005-0000-0000-0000C2040000}"/>
    <cellStyle name="Style 1 2" xfId="1222" xr:uid="{00000000-0005-0000-0000-0000C3040000}"/>
    <cellStyle name="Style 2" xfId="1223" xr:uid="{00000000-0005-0000-0000-0000C4040000}"/>
    <cellStyle name="Style 21" xfId="1224" xr:uid="{00000000-0005-0000-0000-0000C5040000}"/>
    <cellStyle name="Style 22" xfId="1225" xr:uid="{00000000-0005-0000-0000-0000C6040000}"/>
    <cellStyle name="Style 23" xfId="1226" xr:uid="{00000000-0005-0000-0000-0000C7040000}"/>
    <cellStyle name="Style 24" xfId="1227" xr:uid="{00000000-0005-0000-0000-0000C8040000}"/>
    <cellStyle name="Style 25" xfId="1228" xr:uid="{00000000-0005-0000-0000-0000C9040000}"/>
    <cellStyle name="Style 26" xfId="1229" xr:uid="{00000000-0005-0000-0000-0000CA040000}"/>
    <cellStyle name="Style 27" xfId="1230" xr:uid="{00000000-0005-0000-0000-0000CB040000}"/>
    <cellStyle name="Style 28" xfId="1231" xr:uid="{00000000-0005-0000-0000-0000CC040000}"/>
    <cellStyle name="Style 3" xfId="1232" xr:uid="{00000000-0005-0000-0000-0000CD040000}"/>
    <cellStyle name="Style 4" xfId="1233" xr:uid="{00000000-0005-0000-0000-0000CE040000}"/>
    <cellStyle name="Style 5" xfId="1234" xr:uid="{00000000-0005-0000-0000-0000CF040000}"/>
    <cellStyle name="Style 6" xfId="1235" xr:uid="{00000000-0005-0000-0000-0000D0040000}"/>
    <cellStyle name="Style 7" xfId="1236" xr:uid="{00000000-0005-0000-0000-0000D1040000}"/>
    <cellStyle name="style1" xfId="1237" xr:uid="{00000000-0005-0000-0000-0000D2040000}"/>
    <cellStyle name="style2" xfId="1238" xr:uid="{00000000-0005-0000-0000-0000D3040000}"/>
    <cellStyle name="subhead" xfId="1239" xr:uid="{00000000-0005-0000-0000-0000D4040000}"/>
    <cellStyle name="Subtotal" xfId="1240" xr:uid="{00000000-0005-0000-0000-0000D5040000}"/>
    <cellStyle name="subtotals" xfId="1241" xr:uid="{00000000-0005-0000-0000-0000D6040000}"/>
    <cellStyle name="Sulzer" xfId="1242" xr:uid="{00000000-0005-0000-0000-0000D7040000}"/>
    <cellStyle name="Sulzer 2" xfId="1243" xr:uid="{00000000-0005-0000-0000-0000D8040000}"/>
    <cellStyle name="Switch" xfId="1244" xr:uid="{00000000-0005-0000-0000-0000D9040000}"/>
    <cellStyle name="Sx" xfId="1245" xr:uid="{00000000-0005-0000-0000-0000DA040000}"/>
    <cellStyle name="Table Head" xfId="1246" xr:uid="{00000000-0005-0000-0000-0000DB040000}"/>
    <cellStyle name="Table Head Aligned" xfId="1247" xr:uid="{00000000-0005-0000-0000-0000DC040000}"/>
    <cellStyle name="Table Head Blue" xfId="1248" xr:uid="{00000000-0005-0000-0000-0000DD040000}"/>
    <cellStyle name="Table Head Green" xfId="1249" xr:uid="{00000000-0005-0000-0000-0000DE040000}"/>
    <cellStyle name="Table Sub Head" xfId="1250" xr:uid="{00000000-0005-0000-0000-0000DF040000}"/>
    <cellStyle name="Table Title" xfId="1251" xr:uid="{00000000-0005-0000-0000-0000E0040000}"/>
    <cellStyle name="Table Units" xfId="1252" xr:uid="{00000000-0005-0000-0000-0000E1040000}"/>
    <cellStyle name="Table_Heading" xfId="85" xr:uid="{00000000-0005-0000-0000-0000E2040000}"/>
    <cellStyle name="Technical_Input" xfId="86" xr:uid="{00000000-0005-0000-0000-0000E3040000}"/>
    <cellStyle name="-Têtes de colonnes" xfId="1253" xr:uid="{00000000-0005-0000-0000-0000E4040000}"/>
    <cellStyle name="Text Indent A" xfId="1254" xr:uid="{00000000-0005-0000-0000-0000E5040000}"/>
    <cellStyle name="Text Indent B" xfId="1255" xr:uid="{00000000-0005-0000-0000-0000E6040000}"/>
    <cellStyle name="Text Indent C" xfId="1256" xr:uid="{00000000-0005-0000-0000-0000E7040000}"/>
    <cellStyle name="þ´Ì_x0010__x000c__x0010_ à_x000c__x0003_ ß_x0007_ÜÉ _x0007__x0001__x0001_" xfId="1257" xr:uid="{00000000-0005-0000-0000-0000E8040000}"/>
    <cellStyle name="Theirs" xfId="1258" xr:uid="{00000000-0005-0000-0000-0000E9040000}"/>
    <cellStyle name="Times 10" xfId="1259" xr:uid="{00000000-0005-0000-0000-0000EA040000}"/>
    <cellStyle name="Times 12" xfId="1260" xr:uid="{00000000-0005-0000-0000-0000EB040000}"/>
    <cellStyle name="Times New Roman" xfId="1261" xr:uid="{00000000-0005-0000-0000-0000EC040000}"/>
    <cellStyle name="Title 2" xfId="52" xr:uid="{00000000-0005-0000-0000-0000ED040000}"/>
    <cellStyle name="Title 3" xfId="1262" xr:uid="{00000000-0005-0000-0000-0000EE040000}"/>
    <cellStyle name="Titles" xfId="1263" xr:uid="{00000000-0005-0000-0000-0000EF040000}"/>
    <cellStyle name="Titre" xfId="1264" xr:uid="{00000000-0005-0000-0000-0000F0040000}"/>
    <cellStyle name="Tons" xfId="1265" xr:uid="{00000000-0005-0000-0000-0000F1040000}"/>
    <cellStyle name="TopGrey" xfId="1266" xr:uid="{00000000-0005-0000-0000-0000F2040000}"/>
    <cellStyle name="Total 2" xfId="1267" xr:uid="{00000000-0005-0000-0000-0000F3040000}"/>
    <cellStyle name="Total 3" xfId="1268" xr:uid="{00000000-0005-0000-0000-0000F4040000}"/>
    <cellStyle name="Totals" xfId="53" xr:uid="{00000000-0005-0000-0000-0000F5040000}"/>
    <cellStyle name="Totals 2" xfId="54" xr:uid="{00000000-0005-0000-0000-0000F6040000}"/>
    <cellStyle name="Totals 3" xfId="22" xr:uid="{00000000-0005-0000-0000-0000F7040000}"/>
    <cellStyle name="Totals 3 2" xfId="55" xr:uid="{00000000-0005-0000-0000-0000F8040000}"/>
    <cellStyle name="Totals 3 3" xfId="1269" xr:uid="{00000000-0005-0000-0000-0000F9040000}"/>
    <cellStyle name="-Trait bleu Bas" xfId="1270" xr:uid="{00000000-0005-0000-0000-0000FA040000}"/>
    <cellStyle name="Tusental (0)_pldt" xfId="1271" xr:uid="{00000000-0005-0000-0000-0000FB040000}"/>
    <cellStyle name="Tusental_pldt" xfId="1272" xr:uid="{00000000-0005-0000-0000-0000FC040000}"/>
    <cellStyle name="twelv_dollar_no dec_elev" xfId="1273" xr:uid="{00000000-0005-0000-0000-0000FD040000}"/>
    <cellStyle name="twelve_no dec_elev" xfId="1274" xr:uid="{00000000-0005-0000-0000-0000FE040000}"/>
    <cellStyle name="UB/PB/KG" xfId="1275" xr:uid="{00000000-0005-0000-0000-0000FF040000}"/>
    <cellStyle name="UB/PB/KG 2" xfId="1276" xr:uid="{00000000-0005-0000-0000-000000050000}"/>
    <cellStyle name="Under Line" xfId="1277" xr:uid="{00000000-0005-0000-0000-000001050000}"/>
    <cellStyle name="Unit" xfId="87" xr:uid="{00000000-0005-0000-0000-000002050000}"/>
    <cellStyle name="Val_Std" xfId="1278" xr:uid="{00000000-0005-0000-0000-000003050000}"/>
    <cellStyle name="Valuta (0)_pldt" xfId="1279" xr:uid="{00000000-0005-0000-0000-000004050000}"/>
    <cellStyle name="Valuta [0]_Blad1" xfId="1280" xr:uid="{00000000-0005-0000-0000-000005050000}"/>
    <cellStyle name="Valuta_Blad1" xfId="1281" xr:uid="{00000000-0005-0000-0000-000006050000}"/>
    <cellStyle name="Währung [0]_08-00-CGE-OFFERS" xfId="1282" xr:uid="{00000000-0005-0000-0000-000007050000}"/>
    <cellStyle name="Währung_08-00-CGE-OFFERS" xfId="1283" xr:uid="{00000000-0005-0000-0000-000008050000}"/>
    <cellStyle name="Warning Text 2" xfId="1284" xr:uid="{00000000-0005-0000-0000-000009050000}"/>
    <cellStyle name="Warning Text 3" xfId="1285" xr:uid="{00000000-0005-0000-0000-00000A050000}"/>
    <cellStyle name="wild guess" xfId="1286" xr:uid="{00000000-0005-0000-0000-00000B050000}"/>
    <cellStyle name="Wildguess" xfId="1287" xr:uid="{00000000-0005-0000-0000-00000C050000}"/>
    <cellStyle name="x" xfId="56" xr:uid="{00000000-0005-0000-0000-00000D050000}"/>
    <cellStyle name="x [1]" xfId="1288" xr:uid="{00000000-0005-0000-0000-00000E050000}"/>
    <cellStyle name="x_ASTEC4BK" xfId="1289" xr:uid="{00000000-0005-0000-0000-00000F050000}"/>
    <cellStyle name="x_ASTEC4BK_1" xfId="1290" xr:uid="{00000000-0005-0000-0000-000010050000}"/>
    <cellStyle name="x_ASTEC4BK_2" xfId="1291" xr:uid="{00000000-0005-0000-0000-000011050000}"/>
    <cellStyle name="x_ASTEC4BK_2_PENT10BK.XLS Chart 1" xfId="1292" xr:uid="{00000000-0005-0000-0000-000012050000}"/>
    <cellStyle name="x_ASTEC4BK_2_PENT10BK.XLS Chart 1_1" xfId="1293" xr:uid="{00000000-0005-0000-0000-000013050000}"/>
    <cellStyle name="x_ASTEC4BK_2_PENT10BK.XLS Chart 1-1" xfId="1294" xr:uid="{00000000-0005-0000-0000-000014050000}"/>
    <cellStyle name="x_ASTEC4BK_2_PENT10BK.XLS Chart 1-10" xfId="1295" xr:uid="{00000000-0005-0000-0000-000015050000}"/>
    <cellStyle name="x_ASTEC4BK_2_PENT10BK.XLS Chart 1-11" xfId="1296" xr:uid="{00000000-0005-0000-0000-000016050000}"/>
    <cellStyle name="x_ASTEC4BK_2_PENT10BK.XLS Chart 1-2" xfId="1297" xr:uid="{00000000-0005-0000-0000-000017050000}"/>
    <cellStyle name="x_ASTEC4BK_2_PENT10BK.XLS Chart 1-3" xfId="1298" xr:uid="{00000000-0005-0000-0000-000018050000}"/>
    <cellStyle name="x_ASTEC4BK_2_PENT10BK.XLS Chart 1-4" xfId="1299" xr:uid="{00000000-0005-0000-0000-000019050000}"/>
    <cellStyle name="x_ASTEC4BK_2_PENT10BK.XLS Chart 1-5" xfId="1300" xr:uid="{00000000-0005-0000-0000-00001A050000}"/>
    <cellStyle name="x_ASTEC4BK_2_PENT10BK.XLS Chart 1-6" xfId="1301" xr:uid="{00000000-0005-0000-0000-00001B050000}"/>
    <cellStyle name="x_ASTEC4BK_2_PENT10BK.XLS Chart 1-7" xfId="1302" xr:uid="{00000000-0005-0000-0000-00001C050000}"/>
    <cellStyle name="x_ASTEC4BK_2_PENT10BK.XLS Chart 1-8" xfId="1303" xr:uid="{00000000-0005-0000-0000-00001D050000}"/>
    <cellStyle name="x_ASTEC4BK_2_PENT10BK.XLS Chart 1-9" xfId="1304" xr:uid="{00000000-0005-0000-0000-00001E050000}"/>
    <cellStyle name="x_ASTEC4BK_2_PENT10BK.XLS Chart 2" xfId="1305" xr:uid="{00000000-0005-0000-0000-00001F050000}"/>
    <cellStyle name="x_ASTEC4BK_2_PENT10BK.XLS Chart 2-1" xfId="1306" xr:uid="{00000000-0005-0000-0000-000020050000}"/>
    <cellStyle name="x_ASTEC4BK_2_UDI4-BK" xfId="1307" xr:uid="{00000000-0005-0000-0000-000021050000}"/>
    <cellStyle name="x_black5bk.xls Chart 1" xfId="1308" xr:uid="{00000000-0005-0000-0000-000022050000}"/>
    <cellStyle name="x_BLACK5BK.XLS Chart 1-1" xfId="1309" xr:uid="{00000000-0005-0000-0000-000023050000}"/>
    <cellStyle name="x_BLACK5BK.XLS Chart 1-2" xfId="1310" xr:uid="{00000000-0005-0000-0000-000024050000}"/>
    <cellStyle name="x_UDI4-BK.xls Chart 1" xfId="1311" xr:uid="{00000000-0005-0000-0000-000025050000}"/>
    <cellStyle name="x_UDI4-BK.XLS Chart 1_1" xfId="1312" xr:uid="{00000000-0005-0000-0000-000026050000}"/>
    <cellStyle name="x_UDI4-BK.XLS Chart 1_1_PENT10BK.XLS Chart 1" xfId="1313" xr:uid="{00000000-0005-0000-0000-000027050000}"/>
    <cellStyle name="x_UDI4-BK.XLS Chart 1_1_PENT10BK.XLS Chart 1_1" xfId="1314" xr:uid="{00000000-0005-0000-0000-000028050000}"/>
    <cellStyle name="x_UDI4-BK.XLS Chart 1_1_PENT10BK.XLS Chart 1-1" xfId="1315" xr:uid="{00000000-0005-0000-0000-000029050000}"/>
    <cellStyle name="x_UDI4-BK.XLS Chart 1_1_PENT10BK.XLS Chart 1-10" xfId="1316" xr:uid="{00000000-0005-0000-0000-00002A050000}"/>
    <cellStyle name="x_UDI4-BK.XLS Chart 1_1_PENT10BK.XLS Chart 1-11" xfId="1317" xr:uid="{00000000-0005-0000-0000-00002B050000}"/>
    <cellStyle name="x_UDI4-BK.XLS Chart 1_1_PENT10BK.XLS Chart 1-2" xfId="1318" xr:uid="{00000000-0005-0000-0000-00002C050000}"/>
    <cellStyle name="x_UDI4-BK.XLS Chart 1_1_PENT10BK.XLS Chart 1-3" xfId="1319" xr:uid="{00000000-0005-0000-0000-00002D050000}"/>
    <cellStyle name="x_UDI4-BK.XLS Chart 1_1_PENT10BK.XLS Chart 1-4" xfId="1320" xr:uid="{00000000-0005-0000-0000-00002E050000}"/>
    <cellStyle name="x_UDI4-BK.XLS Chart 1_1_PENT10BK.XLS Chart 1-5" xfId="1321" xr:uid="{00000000-0005-0000-0000-00002F050000}"/>
    <cellStyle name="x_UDI4-BK.XLS Chart 1_1_PENT10BK.XLS Chart 1-6" xfId="1322" xr:uid="{00000000-0005-0000-0000-000030050000}"/>
    <cellStyle name="x_UDI4-BK.XLS Chart 1_1_PENT10BK.XLS Chart 1-7" xfId="1323" xr:uid="{00000000-0005-0000-0000-000031050000}"/>
    <cellStyle name="x_UDI4-BK.XLS Chart 1_1_PENT10BK.XLS Chart 1-8" xfId="1324" xr:uid="{00000000-0005-0000-0000-000032050000}"/>
    <cellStyle name="x_UDI4-BK.XLS Chart 1_1_PENT10BK.XLS Chart 1-9" xfId="1325" xr:uid="{00000000-0005-0000-0000-000033050000}"/>
    <cellStyle name="x_UDI4-BK.XLS Chart 1_1_PENT10BK.XLS Chart 2" xfId="1326" xr:uid="{00000000-0005-0000-0000-000034050000}"/>
    <cellStyle name="x_UDI4-BK.XLS Chart 1_1_PENT10BK.XLS Chart 2-1" xfId="1327" xr:uid="{00000000-0005-0000-0000-000035050000}"/>
    <cellStyle name="x_UDI4-BK.XLS Chart 1_1_UDI4-BK" xfId="1328" xr:uid="{00000000-0005-0000-0000-000036050000}"/>
    <cellStyle name="x_UDI4-BK.XLS Chart 1-1" xfId="1329" xr:uid="{00000000-0005-0000-0000-000037050000}"/>
    <cellStyle name="x_UDI4-BK.XLS Chart 1-1_PENT10BK.XLS Chart 1" xfId="1330" xr:uid="{00000000-0005-0000-0000-000038050000}"/>
    <cellStyle name="x_UDI4-BK.XLS Chart 1-1_PENT10BK.XLS Chart 1_1" xfId="1331" xr:uid="{00000000-0005-0000-0000-000039050000}"/>
    <cellStyle name="x_UDI4-BK.XLS Chart 1-1_PENT10BK.XLS Chart 1-1" xfId="1332" xr:uid="{00000000-0005-0000-0000-00003A050000}"/>
    <cellStyle name="x_UDI4-BK.XLS Chart 1-1_PENT10BK.XLS Chart 1-10" xfId="1333" xr:uid="{00000000-0005-0000-0000-00003B050000}"/>
    <cellStyle name="x_UDI4-BK.XLS Chart 1-1_PENT10BK.XLS Chart 1-11" xfId="1334" xr:uid="{00000000-0005-0000-0000-00003C050000}"/>
    <cellStyle name="x_UDI4-BK.XLS Chart 1-1_PENT10BK.XLS Chart 1-2" xfId="1335" xr:uid="{00000000-0005-0000-0000-00003D050000}"/>
    <cellStyle name="x_UDI4-BK.XLS Chart 1-1_PENT10BK.XLS Chart 1-3" xfId="1336" xr:uid="{00000000-0005-0000-0000-00003E050000}"/>
    <cellStyle name="x_UDI4-BK.XLS Chart 1-1_PENT10BK.XLS Chart 1-4" xfId="1337" xr:uid="{00000000-0005-0000-0000-00003F050000}"/>
    <cellStyle name="x_UDI4-BK.XLS Chart 1-1_PENT10BK.XLS Chart 1-5" xfId="1338" xr:uid="{00000000-0005-0000-0000-000040050000}"/>
    <cellStyle name="x_UDI4-BK.XLS Chart 1-1_PENT10BK.XLS Chart 1-6" xfId="1339" xr:uid="{00000000-0005-0000-0000-000041050000}"/>
    <cellStyle name="x_UDI4-BK.XLS Chart 1-1_PENT10BK.XLS Chart 1-7" xfId="1340" xr:uid="{00000000-0005-0000-0000-000042050000}"/>
    <cellStyle name="x_UDI4-BK.XLS Chart 1-1_PENT10BK.XLS Chart 1-8" xfId="1341" xr:uid="{00000000-0005-0000-0000-000043050000}"/>
    <cellStyle name="x_UDI4-BK.XLS Chart 1-1_PENT10BK.XLS Chart 1-9" xfId="1342" xr:uid="{00000000-0005-0000-0000-000044050000}"/>
    <cellStyle name="x_UDI4-BK.XLS Chart 1-1_PENT10BK.XLS Chart 2" xfId="1343" xr:uid="{00000000-0005-0000-0000-000045050000}"/>
    <cellStyle name="x_UDI4-BK.XLS Chart 1-1_PENT10BK.XLS Chart 2-1" xfId="1344" xr:uid="{00000000-0005-0000-0000-000046050000}"/>
    <cellStyle name="x_UDI4-BK.XLS Chart 1-1_UDI4-BK" xfId="1345" xr:uid="{00000000-0005-0000-0000-000047050000}"/>
    <cellStyle name="Xman" xfId="1346" xr:uid="{00000000-0005-0000-0000-000048050000}"/>
    <cellStyle name="xstyle" xfId="1347" xr:uid="{00000000-0005-0000-0000-000049050000}"/>
    <cellStyle name="Year" xfId="57" xr:uid="{00000000-0005-0000-0000-00004A050000}"/>
    <cellStyle name="Year Estimate" xfId="1348" xr:uid="{00000000-0005-0000-0000-00004B050000}"/>
    <cellStyle name="Yellow" xfId="1349" xr:uid="{00000000-0005-0000-0000-00004C050000}"/>
    <cellStyle name="Yen" xfId="1350" xr:uid="{00000000-0005-0000-0000-00004D050000}"/>
    <cellStyle name="yn" xfId="1351" xr:uid="{00000000-0005-0000-0000-00004E050000}"/>
    <cellStyle name="標準_ARCQUOTATIONFORM226" xfId="1352" xr:uid="{00000000-0005-0000-0000-00004F050000}"/>
  </cellStyles>
  <dxfs count="1">
    <dxf>
      <font>
        <condense val="0"/>
        <extend val="0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>
    <mruColors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Home\Max%20Works\Dehradun\Dehradun%20model%20105%20Key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Home\Nitin%20Emaar%20Works\Emaar%20Projects\Naveen-Hospitality\Naveen\Feasibility\EM%20Bypass%20Hotel%20cum%20Retail%20Project(SM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dministrator\AppData\Local\Microsoft\Windows\Temporary%20Internet%20Files\Content.Outlook\SVTL4NTA\Operation%20effeciency\OPERATIONS%20EFFICIENCY%20SEP-1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hish\c\Budget%202001\CostRat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data\Projects%20Cash%20Flow\maldives\Maldives%20Cash%20Flow%20_08%2009%202010_Final%20for%20COD_Revd%20050411%20revised%20as%20per%20Vinay's%20cash%20flow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jagdish.joshi\Desktop\Cost%20Sheet-12-13\UCP-Cost%20Sheet-12-13\SEZ-Jul-13\UDPL\UDPL_TB_290613-12-13-4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Sudhanshu.Vashishtha\AppData\Local\Microsoft\Windows\Temporary%20Internet%20Files\Content.Outlook\XKJYWCSR\Estimated%20CAM%20Charges%20-%20Jasola%20(2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-Sudhanshu%20Vashishtha\Data\Operation\EDM%20Kaushambi\2014-Due%20deligence\CAM\CAM%20Charges-EDM%20Mall-V2-Discuss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Assumptions"/>
      <sheetName val="Report"/>
      <sheetName val="Input"/>
      <sheetName val="PL"/>
      <sheetName val="BS &amp; Cash Flow"/>
      <sheetName val="summary"/>
      <sheetName val="Feasibility"/>
      <sheetName val="ROE"/>
      <sheetName val="Workings"/>
      <sheetName val="Input Capex &amp; Loan"/>
      <sheetName val="Sheet1"/>
      <sheetName val="Scenario"/>
      <sheetName val="Control Sheet"/>
      <sheetName val="Sheet2"/>
      <sheetName val="ARR &amp; Occpcy Assptn."/>
    </sheetNames>
    <sheetDataSet>
      <sheetData sheetId="0"/>
      <sheetData sheetId="1"/>
      <sheetData sheetId="2">
        <row r="4">
          <cell r="L4">
            <v>1</v>
          </cell>
        </row>
        <row r="8">
          <cell r="G8">
            <v>10000</v>
          </cell>
        </row>
        <row r="13">
          <cell r="F13">
            <v>800</v>
          </cell>
        </row>
      </sheetData>
      <sheetData sheetId="3">
        <row r="5">
          <cell r="D5">
            <v>105</v>
          </cell>
        </row>
        <row r="24">
          <cell r="L24">
            <v>1</v>
          </cell>
        </row>
      </sheetData>
      <sheetData sheetId="4">
        <row r="4">
          <cell r="F4">
            <v>105</v>
          </cell>
        </row>
      </sheetData>
      <sheetData sheetId="5">
        <row r="54">
          <cell r="G54">
            <v>0</v>
          </cell>
        </row>
      </sheetData>
      <sheetData sheetId="6"/>
      <sheetData sheetId="7">
        <row r="2">
          <cell r="B2" t="str">
            <v xml:space="preserve">Free Cash Flow 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Assumptions"/>
      <sheetName val="ARR &amp; Occpcy Assptn."/>
      <sheetName val="Report"/>
      <sheetName val="Input"/>
      <sheetName val="PL"/>
      <sheetName val="BS &amp; Cash Flow"/>
      <sheetName val="summary"/>
      <sheetName val="Feasibility &amp; Valuation"/>
      <sheetName val="ROE"/>
      <sheetName val="Workings"/>
      <sheetName val="Input Capex &amp; Loan"/>
      <sheetName val="Sheet1"/>
      <sheetName val="Scenario"/>
      <sheetName val="Control Sheet"/>
    </sheetNames>
    <sheetDataSet>
      <sheetData sheetId="0" refreshError="1"/>
      <sheetData sheetId="1" refreshError="1"/>
      <sheetData sheetId="2" refreshError="1"/>
      <sheetData sheetId="3">
        <row r="4">
          <cell r="L4">
            <v>1</v>
          </cell>
        </row>
        <row r="5">
          <cell r="Q5">
            <v>204.8</v>
          </cell>
        </row>
        <row r="8">
          <cell r="G8">
            <v>9045.3065284347831</v>
          </cell>
          <cell r="X8" t="str">
            <v>Scenarios</v>
          </cell>
        </row>
        <row r="13">
          <cell r="F13">
            <v>600</v>
          </cell>
          <cell r="L13">
            <v>0.02</v>
          </cell>
        </row>
        <row r="14">
          <cell r="L14">
            <v>7.0000000000000007E-2</v>
          </cell>
        </row>
      </sheetData>
      <sheetData sheetId="4">
        <row r="1">
          <cell r="L1">
            <v>3</v>
          </cell>
        </row>
        <row r="5">
          <cell r="D5">
            <v>500</v>
          </cell>
          <cell r="L5">
            <v>97.5</v>
          </cell>
        </row>
        <row r="6">
          <cell r="L6">
            <v>20480</v>
          </cell>
        </row>
        <row r="18">
          <cell r="C18">
            <v>250</v>
          </cell>
        </row>
        <row r="19">
          <cell r="C19">
            <v>57821</v>
          </cell>
        </row>
        <row r="41">
          <cell r="H41">
            <v>3</v>
          </cell>
        </row>
        <row r="47">
          <cell r="L47">
            <v>867.31500000000005</v>
          </cell>
        </row>
      </sheetData>
      <sheetData sheetId="5">
        <row r="3">
          <cell r="C3">
            <v>0</v>
          </cell>
        </row>
      </sheetData>
      <sheetData sheetId="6">
        <row r="26">
          <cell r="G26">
            <v>5075.02045</v>
          </cell>
        </row>
      </sheetData>
      <sheetData sheetId="7"/>
      <sheetData sheetId="8" refreshError="1"/>
      <sheetData sheetId="9" refreshError="1"/>
      <sheetData sheetId="10">
        <row r="10">
          <cell r="F10">
            <v>0</v>
          </cell>
        </row>
      </sheetData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POWER"/>
      <sheetName val="generation report"/>
      <sheetName val="SUPPLY TRACKER"/>
      <sheetName val="PREVENTIVE MAINTENANCE"/>
      <sheetName val="SNAGS"/>
      <sheetName val="COMPLAINT TRACKER"/>
      <sheetName val="Billing Vs Collections"/>
      <sheetName val="AMC TRACKER"/>
      <sheetName val="statutory licences tracker"/>
      <sheetName val="INSURANCE TRACKER"/>
      <sheetName val="FIRE SAFETY"/>
      <sheetName val="Water Consumption Report"/>
      <sheetName val="incident report tracke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s"/>
      <sheetName val="Emp Details"/>
      <sheetName val="Mobiles"/>
      <sheetName val="Calcs"/>
      <sheetName val="Workings"/>
    </sheetNames>
    <sheetDataSet>
      <sheetData sheetId="0"/>
      <sheetData sheetId="1">
        <row r="1">
          <cell r="A1">
            <v>91</v>
          </cell>
          <cell r="B1" t="str">
            <v>WOODEN</v>
          </cell>
          <cell r="C1" t="str">
            <v xml:space="preserve">  K.</v>
          </cell>
          <cell r="E1" t="str">
            <v>M</v>
          </cell>
        </row>
        <row r="2">
          <cell r="A2">
            <v>685</v>
          </cell>
          <cell r="B2" t="str">
            <v>PARSONS</v>
          </cell>
          <cell r="C2" t="str">
            <v xml:space="preserve">  D.</v>
          </cell>
          <cell r="E2" t="str">
            <v>M</v>
          </cell>
          <cell r="F2">
            <v>19.41</v>
          </cell>
          <cell r="G2">
            <v>14</v>
          </cell>
        </row>
        <row r="3">
          <cell r="A3">
            <v>1082</v>
          </cell>
          <cell r="B3" t="str">
            <v>HARDWICK</v>
          </cell>
          <cell r="C3" t="str">
            <v xml:space="preserve">  A.</v>
          </cell>
          <cell r="E3" t="str">
            <v>M</v>
          </cell>
        </row>
        <row r="4">
          <cell r="A4">
            <v>1127</v>
          </cell>
          <cell r="B4" t="str">
            <v>GREEN</v>
          </cell>
          <cell r="C4" t="str">
            <v xml:space="preserve">  B.T</v>
          </cell>
          <cell r="D4">
            <v>203508138</v>
          </cell>
          <cell r="E4" t="str">
            <v>M</v>
          </cell>
        </row>
        <row r="5">
          <cell r="A5">
            <v>10096</v>
          </cell>
          <cell r="B5" t="str">
            <v>PICKERING</v>
          </cell>
          <cell r="C5" t="str">
            <v xml:space="preserve">  J.</v>
          </cell>
          <cell r="E5" t="str">
            <v>M</v>
          </cell>
        </row>
        <row r="6">
          <cell r="A6">
            <v>10139</v>
          </cell>
          <cell r="B6" t="str">
            <v>RILEY</v>
          </cell>
          <cell r="C6" t="str">
            <v xml:space="preserve">  A.</v>
          </cell>
          <cell r="E6" t="str">
            <v>M</v>
          </cell>
        </row>
        <row r="7">
          <cell r="A7">
            <v>10163</v>
          </cell>
          <cell r="B7" t="str">
            <v>ASH</v>
          </cell>
          <cell r="C7" t="str">
            <v xml:space="preserve">  D.E</v>
          </cell>
          <cell r="E7" t="str">
            <v>M</v>
          </cell>
        </row>
        <row r="8">
          <cell r="A8">
            <v>10164</v>
          </cell>
          <cell r="B8" t="str">
            <v>CHARLTON</v>
          </cell>
          <cell r="C8" t="str">
            <v xml:space="preserve">  A.</v>
          </cell>
          <cell r="E8" t="str">
            <v>M</v>
          </cell>
          <cell r="F8">
            <v>21.76</v>
          </cell>
          <cell r="G8">
            <v>17.190000000000001</v>
          </cell>
        </row>
        <row r="9">
          <cell r="A9">
            <v>10165</v>
          </cell>
          <cell r="B9" t="str">
            <v>HAGGARTY</v>
          </cell>
          <cell r="C9" t="str">
            <v xml:space="preserve">  J.</v>
          </cell>
          <cell r="E9" t="str">
            <v>M</v>
          </cell>
          <cell r="F9">
            <v>16.82</v>
          </cell>
          <cell r="G9">
            <v>15.48</v>
          </cell>
        </row>
        <row r="10">
          <cell r="A10">
            <v>10167</v>
          </cell>
          <cell r="B10" t="str">
            <v>JONES</v>
          </cell>
          <cell r="C10" t="str">
            <v xml:space="preserve">  C.</v>
          </cell>
          <cell r="E10" t="str">
            <v>M</v>
          </cell>
        </row>
        <row r="11">
          <cell r="A11">
            <v>10168</v>
          </cell>
          <cell r="B11" t="str">
            <v>TAYLOR</v>
          </cell>
          <cell r="C11" t="str">
            <v xml:space="preserve">  S.L</v>
          </cell>
          <cell r="D11">
            <v>203598137</v>
          </cell>
          <cell r="E11" t="str">
            <v>M</v>
          </cell>
        </row>
        <row r="12">
          <cell r="A12">
            <v>10175</v>
          </cell>
          <cell r="B12" t="str">
            <v>MC GLYNN</v>
          </cell>
          <cell r="C12" t="str">
            <v xml:space="preserve">  R.</v>
          </cell>
          <cell r="E12" t="str">
            <v>M</v>
          </cell>
          <cell r="F12">
            <v>16.91</v>
          </cell>
          <cell r="G12">
            <v>17.04</v>
          </cell>
        </row>
        <row r="13">
          <cell r="A13">
            <v>10179</v>
          </cell>
          <cell r="B13" t="str">
            <v>AUSTEN SMITH</v>
          </cell>
          <cell r="C13" t="str">
            <v xml:space="preserve">  J.</v>
          </cell>
          <cell r="D13">
            <v>203268123</v>
          </cell>
          <cell r="E13" t="str">
            <v>M</v>
          </cell>
        </row>
        <row r="14">
          <cell r="A14">
            <v>10199</v>
          </cell>
          <cell r="B14" t="str">
            <v>FLETCHER</v>
          </cell>
          <cell r="C14" t="str">
            <v xml:space="preserve">  A.</v>
          </cell>
          <cell r="E14" t="str">
            <v>M</v>
          </cell>
          <cell r="F14">
            <v>12.11</v>
          </cell>
          <cell r="G14">
            <v>9.41</v>
          </cell>
        </row>
        <row r="15">
          <cell r="A15">
            <v>10201</v>
          </cell>
          <cell r="B15" t="str">
            <v>BARRETT</v>
          </cell>
          <cell r="C15" t="str">
            <v xml:space="preserve">  R.</v>
          </cell>
          <cell r="D15">
            <v>203598137</v>
          </cell>
          <cell r="E15" t="str">
            <v>M</v>
          </cell>
        </row>
        <row r="16">
          <cell r="A16">
            <v>10202</v>
          </cell>
          <cell r="B16" t="str">
            <v>ANDERSON</v>
          </cell>
          <cell r="C16" t="str">
            <v xml:space="preserve">  A.</v>
          </cell>
          <cell r="E16" t="str">
            <v>M</v>
          </cell>
          <cell r="F16">
            <v>25.66</v>
          </cell>
          <cell r="G16">
            <v>26.05</v>
          </cell>
        </row>
        <row r="17">
          <cell r="A17">
            <v>10208</v>
          </cell>
          <cell r="B17" t="str">
            <v>PILE</v>
          </cell>
          <cell r="C17" t="str">
            <v xml:space="preserve">  G.</v>
          </cell>
          <cell r="D17">
            <v>203508138</v>
          </cell>
          <cell r="E17" t="str">
            <v>M</v>
          </cell>
        </row>
        <row r="18">
          <cell r="A18">
            <v>10222</v>
          </cell>
          <cell r="B18" t="str">
            <v>MAGRATH</v>
          </cell>
          <cell r="C18" t="str">
            <v xml:space="preserve">  D.L</v>
          </cell>
          <cell r="D18">
            <v>203168070</v>
          </cell>
          <cell r="E18" t="str">
            <v>M</v>
          </cell>
        </row>
        <row r="19">
          <cell r="A19">
            <v>10223</v>
          </cell>
          <cell r="B19" t="str">
            <v>POWNALL</v>
          </cell>
          <cell r="C19" t="str">
            <v xml:space="preserve">  B.</v>
          </cell>
          <cell r="E19" t="str">
            <v>M</v>
          </cell>
          <cell r="F19">
            <v>26.25</v>
          </cell>
        </row>
        <row r="20">
          <cell r="A20">
            <v>10231</v>
          </cell>
          <cell r="B20" t="str">
            <v>ATTWELL</v>
          </cell>
          <cell r="C20" t="str">
            <v xml:space="preserve">  V.</v>
          </cell>
          <cell r="D20">
            <v>203598137</v>
          </cell>
          <cell r="E20" t="str">
            <v>M</v>
          </cell>
        </row>
        <row r="21">
          <cell r="A21">
            <v>10241</v>
          </cell>
          <cell r="B21" t="str">
            <v>YORKE</v>
          </cell>
          <cell r="C21" t="str">
            <v xml:space="preserve">  B.</v>
          </cell>
          <cell r="E21" t="str">
            <v>M</v>
          </cell>
          <cell r="F21">
            <v>31.45</v>
          </cell>
        </row>
        <row r="22">
          <cell r="A22">
            <v>10243</v>
          </cell>
          <cell r="B22" t="str">
            <v>MCMURDO</v>
          </cell>
          <cell r="C22" t="str">
            <v xml:space="preserve">  I.G</v>
          </cell>
          <cell r="D22">
            <v>203508138</v>
          </cell>
          <cell r="E22" t="str">
            <v>M</v>
          </cell>
        </row>
        <row r="23">
          <cell r="A23">
            <v>10248</v>
          </cell>
          <cell r="B23" t="str">
            <v>COOPER</v>
          </cell>
          <cell r="C23" t="str">
            <v xml:space="preserve">  T.J</v>
          </cell>
          <cell r="E23" t="str">
            <v>M</v>
          </cell>
          <cell r="F23">
            <v>14.8</v>
          </cell>
          <cell r="G23">
            <v>17.239999999999998</v>
          </cell>
        </row>
        <row r="24">
          <cell r="A24">
            <v>10255</v>
          </cell>
          <cell r="B24" t="str">
            <v>KENDALL</v>
          </cell>
          <cell r="C24" t="str">
            <v xml:space="preserve">  D.</v>
          </cell>
          <cell r="E24" t="str">
            <v>M</v>
          </cell>
          <cell r="F24">
            <v>21.76</v>
          </cell>
          <cell r="G24">
            <v>17.87</v>
          </cell>
        </row>
        <row r="25">
          <cell r="A25">
            <v>10262</v>
          </cell>
          <cell r="B25" t="str">
            <v>PARK</v>
          </cell>
          <cell r="C25" t="str">
            <v xml:space="preserve">  A.</v>
          </cell>
          <cell r="D25">
            <v>203108122</v>
          </cell>
          <cell r="E25" t="str">
            <v>M</v>
          </cell>
        </row>
        <row r="26">
          <cell r="A26">
            <v>10269</v>
          </cell>
          <cell r="B26" t="str">
            <v>MEREDITH</v>
          </cell>
          <cell r="C26" t="str">
            <v xml:space="preserve">  M.</v>
          </cell>
          <cell r="E26" t="str">
            <v>M</v>
          </cell>
        </row>
        <row r="27">
          <cell r="A27">
            <v>10271</v>
          </cell>
          <cell r="B27" t="str">
            <v>NICHOLAS</v>
          </cell>
          <cell r="C27" t="str">
            <v xml:space="preserve">  P.</v>
          </cell>
          <cell r="E27" t="str">
            <v>M</v>
          </cell>
          <cell r="F27">
            <v>19.649999999999999</v>
          </cell>
          <cell r="G27">
            <v>18.09</v>
          </cell>
        </row>
        <row r="28">
          <cell r="A28">
            <v>10273</v>
          </cell>
          <cell r="B28" t="str">
            <v>BURALLE</v>
          </cell>
          <cell r="C28" t="str">
            <v xml:space="preserve">  I.M</v>
          </cell>
          <cell r="E28" t="str">
            <v>M</v>
          </cell>
          <cell r="F28">
            <v>21.71</v>
          </cell>
          <cell r="G28">
            <v>17.079999999999998</v>
          </cell>
        </row>
        <row r="29">
          <cell r="A29">
            <v>10274</v>
          </cell>
          <cell r="B29" t="str">
            <v>BALL</v>
          </cell>
          <cell r="C29" t="str">
            <v xml:space="preserve">  T.R</v>
          </cell>
          <cell r="E29" t="str">
            <v>M</v>
          </cell>
          <cell r="F29">
            <v>10.67</v>
          </cell>
          <cell r="G29">
            <v>12.21</v>
          </cell>
        </row>
        <row r="30">
          <cell r="A30">
            <v>10291</v>
          </cell>
          <cell r="B30" t="str">
            <v>SWINDELLS</v>
          </cell>
          <cell r="C30" t="str">
            <v xml:space="preserve">  S.A</v>
          </cell>
          <cell r="E30" t="str">
            <v>M</v>
          </cell>
        </row>
        <row r="31">
          <cell r="A31">
            <v>10293</v>
          </cell>
          <cell r="B31" t="str">
            <v>MCCRORY</v>
          </cell>
          <cell r="C31" t="str">
            <v xml:space="preserve">  D.</v>
          </cell>
          <cell r="E31" t="str">
            <v>M</v>
          </cell>
          <cell r="F31">
            <v>19.350000000000001</v>
          </cell>
          <cell r="G31">
            <v>14.49</v>
          </cell>
        </row>
        <row r="32">
          <cell r="A32">
            <v>10301</v>
          </cell>
          <cell r="B32" t="str">
            <v>DOWN</v>
          </cell>
          <cell r="C32" t="str">
            <v xml:space="preserve">  J.</v>
          </cell>
          <cell r="E32" t="str">
            <v>W</v>
          </cell>
          <cell r="F32">
            <v>13</v>
          </cell>
          <cell r="G32">
            <v>20</v>
          </cell>
        </row>
        <row r="33">
          <cell r="A33">
            <v>10304</v>
          </cell>
          <cell r="B33" t="str">
            <v>DURRANT</v>
          </cell>
          <cell r="C33" t="str">
            <v xml:space="preserve">  L.</v>
          </cell>
          <cell r="D33">
            <v>993365555</v>
          </cell>
          <cell r="E33" t="str">
            <v>M</v>
          </cell>
        </row>
        <row r="34">
          <cell r="A34">
            <v>10320</v>
          </cell>
          <cell r="B34" t="str">
            <v>SHOESMITH</v>
          </cell>
          <cell r="C34" t="str">
            <v xml:space="preserve">  D.R</v>
          </cell>
          <cell r="E34" t="str">
            <v>M</v>
          </cell>
        </row>
        <row r="35">
          <cell r="A35">
            <v>10327</v>
          </cell>
          <cell r="B35" t="str">
            <v>BROMFIELD</v>
          </cell>
          <cell r="C35" t="str">
            <v xml:space="preserve">  C.</v>
          </cell>
          <cell r="D35">
            <v>203518081</v>
          </cell>
          <cell r="E35" t="str">
            <v>M</v>
          </cell>
        </row>
        <row r="36">
          <cell r="A36">
            <v>10333</v>
          </cell>
          <cell r="B36" t="str">
            <v>PORTER</v>
          </cell>
          <cell r="C36" t="str">
            <v xml:space="preserve">  K.</v>
          </cell>
          <cell r="D36">
            <v>203508138</v>
          </cell>
          <cell r="E36" t="str">
            <v>M</v>
          </cell>
        </row>
        <row r="37">
          <cell r="A37">
            <v>10335</v>
          </cell>
          <cell r="B37" t="str">
            <v>SKINNER</v>
          </cell>
          <cell r="C37" t="str">
            <v xml:space="preserve">  D.</v>
          </cell>
          <cell r="E37" t="str">
            <v>M</v>
          </cell>
          <cell r="F37">
            <v>22.43</v>
          </cell>
          <cell r="G37">
            <v>18.09</v>
          </cell>
        </row>
        <row r="38">
          <cell r="A38">
            <v>10344</v>
          </cell>
          <cell r="B38" t="str">
            <v>LINDSAY</v>
          </cell>
          <cell r="C38" t="str">
            <v xml:space="preserve">  P.H</v>
          </cell>
          <cell r="E38" t="str">
            <v>M</v>
          </cell>
          <cell r="F38">
            <v>13.94</v>
          </cell>
          <cell r="G38">
            <v>16.29</v>
          </cell>
        </row>
        <row r="39">
          <cell r="A39">
            <v>10348</v>
          </cell>
          <cell r="B39" t="str">
            <v>WERNET</v>
          </cell>
          <cell r="C39" t="str">
            <v xml:space="preserve">  I.</v>
          </cell>
          <cell r="E39" t="str">
            <v>M</v>
          </cell>
          <cell r="F39">
            <v>20.96</v>
          </cell>
          <cell r="G39">
            <v>15.66</v>
          </cell>
        </row>
        <row r="40">
          <cell r="A40">
            <v>10355</v>
          </cell>
          <cell r="B40" t="str">
            <v>IVIC</v>
          </cell>
          <cell r="C40" t="str">
            <v xml:space="preserve">  V.</v>
          </cell>
          <cell r="E40" t="str">
            <v>M</v>
          </cell>
        </row>
        <row r="41">
          <cell r="A41">
            <v>10402</v>
          </cell>
          <cell r="B41" t="str">
            <v>EVANS</v>
          </cell>
          <cell r="C41" t="str">
            <v xml:space="preserve">  M.</v>
          </cell>
          <cell r="D41">
            <v>203508138</v>
          </cell>
          <cell r="E41" t="str">
            <v>M</v>
          </cell>
        </row>
        <row r="42">
          <cell r="A42">
            <v>10403</v>
          </cell>
          <cell r="B42" t="str">
            <v>RADFORD</v>
          </cell>
          <cell r="C42" t="str">
            <v xml:space="preserve">  M.E</v>
          </cell>
          <cell r="D42">
            <v>203508138</v>
          </cell>
          <cell r="E42" t="str">
            <v>M</v>
          </cell>
        </row>
        <row r="43">
          <cell r="A43">
            <v>10404</v>
          </cell>
          <cell r="B43" t="str">
            <v>SAUNDERS</v>
          </cell>
          <cell r="C43" t="str">
            <v xml:space="preserve">  E.C</v>
          </cell>
          <cell r="D43">
            <v>203508138</v>
          </cell>
          <cell r="E43" t="str">
            <v>M</v>
          </cell>
        </row>
        <row r="44">
          <cell r="A44">
            <v>10405</v>
          </cell>
          <cell r="B44" t="str">
            <v>BURGHAM</v>
          </cell>
          <cell r="C44" t="str">
            <v xml:space="preserve">  D.</v>
          </cell>
          <cell r="D44">
            <v>203508138</v>
          </cell>
          <cell r="E44" t="str">
            <v>M</v>
          </cell>
        </row>
        <row r="45">
          <cell r="A45">
            <v>10406</v>
          </cell>
          <cell r="B45" t="str">
            <v>WOODLEY</v>
          </cell>
          <cell r="C45" t="str">
            <v xml:space="preserve">  R.E</v>
          </cell>
          <cell r="D45">
            <v>203508138</v>
          </cell>
          <cell r="E45" t="str">
            <v>M</v>
          </cell>
        </row>
        <row r="46">
          <cell r="A46">
            <v>10407</v>
          </cell>
          <cell r="B46" t="str">
            <v>HOWLETT</v>
          </cell>
          <cell r="C46" t="str">
            <v xml:space="preserve">  K.G</v>
          </cell>
          <cell r="D46">
            <v>203508138</v>
          </cell>
          <cell r="E46" t="str">
            <v>M</v>
          </cell>
        </row>
        <row r="47">
          <cell r="A47">
            <v>10408</v>
          </cell>
          <cell r="B47" t="str">
            <v>GRACE</v>
          </cell>
          <cell r="C47" t="str">
            <v xml:space="preserve">  P.F</v>
          </cell>
          <cell r="D47">
            <v>203508138</v>
          </cell>
          <cell r="E47" t="str">
            <v>M</v>
          </cell>
        </row>
        <row r="48">
          <cell r="A48">
            <v>10411</v>
          </cell>
          <cell r="B48" t="str">
            <v>ROBERTSON</v>
          </cell>
          <cell r="C48" t="str">
            <v xml:space="preserve">  I.</v>
          </cell>
          <cell r="E48" t="str">
            <v>M</v>
          </cell>
          <cell r="F48">
            <v>21.6</v>
          </cell>
        </row>
        <row r="49">
          <cell r="A49">
            <v>10413</v>
          </cell>
          <cell r="B49" t="str">
            <v>BROOKS</v>
          </cell>
          <cell r="C49" t="str">
            <v xml:space="preserve">  C.</v>
          </cell>
          <cell r="D49">
            <v>203508138</v>
          </cell>
          <cell r="E49" t="str">
            <v>M</v>
          </cell>
        </row>
        <row r="50">
          <cell r="A50">
            <v>10414</v>
          </cell>
          <cell r="B50" t="str">
            <v>DAVIS</v>
          </cell>
          <cell r="C50" t="str">
            <v xml:space="preserve">  I.</v>
          </cell>
          <cell r="D50">
            <v>203508138</v>
          </cell>
          <cell r="E50" t="str">
            <v>M</v>
          </cell>
        </row>
        <row r="51">
          <cell r="A51">
            <v>10415</v>
          </cell>
          <cell r="B51" t="str">
            <v>KNOX</v>
          </cell>
          <cell r="C51" t="str">
            <v xml:space="preserve">  W.</v>
          </cell>
          <cell r="D51">
            <v>203508139</v>
          </cell>
          <cell r="E51" t="str">
            <v>M</v>
          </cell>
        </row>
        <row r="52">
          <cell r="A52">
            <v>10416</v>
          </cell>
          <cell r="B52" t="str">
            <v>CARTER</v>
          </cell>
          <cell r="C52" t="str">
            <v xml:space="preserve">  M.</v>
          </cell>
          <cell r="D52">
            <v>203508138</v>
          </cell>
          <cell r="E52" t="str">
            <v>M</v>
          </cell>
        </row>
        <row r="53">
          <cell r="A53">
            <v>10417</v>
          </cell>
          <cell r="B53" t="str">
            <v>HESLOP</v>
          </cell>
          <cell r="C53" t="str">
            <v xml:space="preserve">  R.B</v>
          </cell>
          <cell r="D53">
            <v>203508138</v>
          </cell>
          <cell r="E53" t="str">
            <v>M</v>
          </cell>
        </row>
        <row r="54">
          <cell r="A54">
            <v>10418</v>
          </cell>
          <cell r="B54" t="str">
            <v>CRAIG</v>
          </cell>
          <cell r="C54" t="str">
            <v xml:space="preserve">  P.</v>
          </cell>
          <cell r="D54">
            <v>203508138</v>
          </cell>
          <cell r="E54" t="str">
            <v>M</v>
          </cell>
        </row>
        <row r="55">
          <cell r="A55">
            <v>10420</v>
          </cell>
          <cell r="B55" t="str">
            <v>DUNNING</v>
          </cell>
          <cell r="C55" t="str">
            <v xml:space="preserve">  G.L</v>
          </cell>
          <cell r="D55">
            <v>203508138</v>
          </cell>
          <cell r="E55" t="str">
            <v>M</v>
          </cell>
        </row>
        <row r="56">
          <cell r="A56">
            <v>10421</v>
          </cell>
          <cell r="B56" t="str">
            <v>CRESSWELL</v>
          </cell>
          <cell r="C56" t="str">
            <v xml:space="preserve">  E.</v>
          </cell>
          <cell r="D56">
            <v>203508138</v>
          </cell>
          <cell r="E56" t="str">
            <v>M</v>
          </cell>
        </row>
        <row r="57">
          <cell r="A57">
            <v>10422</v>
          </cell>
          <cell r="B57" t="str">
            <v>MIDDLETON</v>
          </cell>
          <cell r="C57" t="str">
            <v xml:space="preserve">  P.A</v>
          </cell>
          <cell r="D57">
            <v>203508138</v>
          </cell>
          <cell r="E57" t="str">
            <v>M</v>
          </cell>
        </row>
        <row r="58">
          <cell r="A58">
            <v>10423</v>
          </cell>
          <cell r="B58" t="str">
            <v>PHILLIPS</v>
          </cell>
          <cell r="C58" t="str">
            <v xml:space="preserve">  V.</v>
          </cell>
          <cell r="D58">
            <v>203508138</v>
          </cell>
          <cell r="E58" t="str">
            <v>M</v>
          </cell>
        </row>
        <row r="59">
          <cell r="A59">
            <v>10424</v>
          </cell>
          <cell r="B59" t="str">
            <v>PETTET</v>
          </cell>
          <cell r="C59" t="str">
            <v xml:space="preserve">  T.</v>
          </cell>
          <cell r="D59">
            <v>203508138</v>
          </cell>
          <cell r="E59" t="str">
            <v>M</v>
          </cell>
        </row>
        <row r="60">
          <cell r="A60">
            <v>10425</v>
          </cell>
          <cell r="B60" t="str">
            <v>PARKER</v>
          </cell>
          <cell r="C60" t="str">
            <v xml:space="preserve">  T.</v>
          </cell>
          <cell r="D60">
            <v>203508139</v>
          </cell>
          <cell r="E60" t="str">
            <v>M</v>
          </cell>
        </row>
        <row r="61">
          <cell r="A61">
            <v>10426</v>
          </cell>
          <cell r="B61" t="str">
            <v>WOOLMAN</v>
          </cell>
          <cell r="C61" t="str">
            <v xml:space="preserve">  M.</v>
          </cell>
          <cell r="D61">
            <v>203508138</v>
          </cell>
          <cell r="E61" t="str">
            <v>M</v>
          </cell>
        </row>
        <row r="62">
          <cell r="A62">
            <v>10428</v>
          </cell>
          <cell r="B62" t="str">
            <v>WISE</v>
          </cell>
          <cell r="C62" t="str">
            <v xml:space="preserve">  A.J</v>
          </cell>
          <cell r="D62">
            <v>203508138</v>
          </cell>
          <cell r="E62" t="str">
            <v>M</v>
          </cell>
        </row>
        <row r="63">
          <cell r="A63">
            <v>10430</v>
          </cell>
          <cell r="B63" t="str">
            <v>FISHER</v>
          </cell>
          <cell r="C63" t="str">
            <v xml:space="preserve">  N.</v>
          </cell>
          <cell r="D63">
            <v>203508138</v>
          </cell>
          <cell r="E63" t="str">
            <v>M</v>
          </cell>
        </row>
        <row r="64">
          <cell r="A64">
            <v>10431</v>
          </cell>
          <cell r="B64" t="str">
            <v>SCADDEN</v>
          </cell>
          <cell r="C64" t="str">
            <v xml:space="preserve">  R.</v>
          </cell>
          <cell r="D64">
            <v>203508138</v>
          </cell>
          <cell r="E64" t="str">
            <v>M</v>
          </cell>
        </row>
        <row r="65">
          <cell r="A65">
            <v>10432</v>
          </cell>
          <cell r="B65" t="str">
            <v>REAVILL</v>
          </cell>
          <cell r="C65" t="str">
            <v xml:space="preserve">  S.</v>
          </cell>
          <cell r="D65">
            <v>203508138</v>
          </cell>
          <cell r="E65" t="str">
            <v>M</v>
          </cell>
        </row>
        <row r="66">
          <cell r="A66">
            <v>10433</v>
          </cell>
          <cell r="B66" t="str">
            <v>THOMPSON</v>
          </cell>
          <cell r="C66" t="str">
            <v xml:space="preserve">  D.</v>
          </cell>
          <cell r="D66">
            <v>203508138</v>
          </cell>
          <cell r="E66" t="str">
            <v>M</v>
          </cell>
        </row>
        <row r="67">
          <cell r="A67">
            <v>10438</v>
          </cell>
          <cell r="B67" t="str">
            <v>CHAMBERLAIN</v>
          </cell>
          <cell r="C67" t="str">
            <v xml:space="preserve">  R.</v>
          </cell>
          <cell r="D67">
            <v>203508138</v>
          </cell>
          <cell r="E67" t="str">
            <v>M</v>
          </cell>
        </row>
        <row r="68">
          <cell r="A68">
            <v>10439</v>
          </cell>
          <cell r="B68" t="str">
            <v>WARREN</v>
          </cell>
          <cell r="C68" t="str">
            <v xml:space="preserve">  J.R</v>
          </cell>
          <cell r="D68">
            <v>203508138</v>
          </cell>
          <cell r="E68" t="str">
            <v>M</v>
          </cell>
        </row>
        <row r="69">
          <cell r="A69">
            <v>10446</v>
          </cell>
          <cell r="B69" t="str">
            <v>CLARIDGE</v>
          </cell>
          <cell r="C69" t="str">
            <v xml:space="preserve">  D.</v>
          </cell>
          <cell r="E69" t="str">
            <v>M</v>
          </cell>
        </row>
        <row r="70">
          <cell r="A70">
            <v>10447</v>
          </cell>
          <cell r="B70" t="str">
            <v>ROWBOTHAM</v>
          </cell>
          <cell r="C70" t="str">
            <v xml:space="preserve">  D.</v>
          </cell>
          <cell r="E70" t="str">
            <v>M</v>
          </cell>
        </row>
        <row r="71">
          <cell r="A71">
            <v>10466</v>
          </cell>
          <cell r="B71" t="str">
            <v>MCKAY</v>
          </cell>
          <cell r="C71" t="str">
            <v xml:space="preserve">  S.S</v>
          </cell>
          <cell r="D71">
            <v>203108122</v>
          </cell>
          <cell r="E71" t="str">
            <v>M</v>
          </cell>
        </row>
        <row r="72">
          <cell r="A72">
            <v>10471</v>
          </cell>
          <cell r="B72" t="str">
            <v>FINLAYSON</v>
          </cell>
          <cell r="C72" t="str">
            <v xml:space="preserve">  A.</v>
          </cell>
          <cell r="E72" t="str">
            <v>M</v>
          </cell>
          <cell r="F72">
            <v>17.78</v>
          </cell>
          <cell r="G72">
            <v>16.739999999999998</v>
          </cell>
        </row>
        <row r="73">
          <cell r="A73">
            <v>10472</v>
          </cell>
          <cell r="B73" t="str">
            <v>SPICER</v>
          </cell>
          <cell r="C73" t="str">
            <v xml:space="preserve">  C.</v>
          </cell>
          <cell r="D73">
            <v>203508138</v>
          </cell>
          <cell r="E73" t="str">
            <v>M</v>
          </cell>
        </row>
        <row r="74">
          <cell r="A74">
            <v>10473</v>
          </cell>
          <cell r="B74" t="str">
            <v>STOPPES</v>
          </cell>
          <cell r="C74" t="str">
            <v xml:space="preserve">  M.E</v>
          </cell>
          <cell r="D74">
            <v>203598137</v>
          </cell>
          <cell r="E74" t="str">
            <v>M</v>
          </cell>
        </row>
        <row r="75">
          <cell r="A75">
            <v>10479</v>
          </cell>
          <cell r="B75" t="str">
            <v>CURLEY</v>
          </cell>
          <cell r="C75" t="str">
            <v xml:space="preserve">  A.</v>
          </cell>
          <cell r="D75">
            <v>203508138</v>
          </cell>
          <cell r="E75" t="str">
            <v>M</v>
          </cell>
        </row>
        <row r="76">
          <cell r="A76">
            <v>10480</v>
          </cell>
          <cell r="B76" t="str">
            <v>FOSTER</v>
          </cell>
          <cell r="C76" t="str">
            <v xml:space="preserve">  W.H</v>
          </cell>
          <cell r="E76" t="str">
            <v>M</v>
          </cell>
          <cell r="F76">
            <v>20.23</v>
          </cell>
          <cell r="G76">
            <v>19.34</v>
          </cell>
        </row>
        <row r="77">
          <cell r="A77">
            <v>10497</v>
          </cell>
          <cell r="B77" t="str">
            <v>DANCE</v>
          </cell>
          <cell r="C77" t="str">
            <v xml:space="preserve">  A.</v>
          </cell>
          <cell r="E77" t="str">
            <v>M</v>
          </cell>
        </row>
        <row r="78">
          <cell r="A78">
            <v>10498</v>
          </cell>
          <cell r="B78" t="str">
            <v>BROWN</v>
          </cell>
          <cell r="C78" t="str">
            <v xml:space="preserve">  D.</v>
          </cell>
          <cell r="E78" t="str">
            <v>M</v>
          </cell>
        </row>
        <row r="79">
          <cell r="A79">
            <v>10549</v>
          </cell>
          <cell r="B79" t="str">
            <v>FLETT</v>
          </cell>
          <cell r="C79" t="str">
            <v xml:space="preserve">  J.</v>
          </cell>
          <cell r="D79">
            <v>203598137</v>
          </cell>
          <cell r="E79" t="str">
            <v>W</v>
          </cell>
        </row>
        <row r="80">
          <cell r="A80">
            <v>10553</v>
          </cell>
          <cell r="B80" t="str">
            <v>MCLAUGHLIN</v>
          </cell>
          <cell r="C80" t="str">
            <v xml:space="preserve">  N.</v>
          </cell>
          <cell r="D80">
            <v>993518250</v>
          </cell>
          <cell r="E80" t="str">
            <v>M</v>
          </cell>
        </row>
        <row r="81">
          <cell r="A81">
            <v>10563</v>
          </cell>
          <cell r="B81" t="str">
            <v>HAMILTON</v>
          </cell>
          <cell r="C81" t="str">
            <v xml:space="preserve">  C.</v>
          </cell>
          <cell r="E81" t="str">
            <v>M</v>
          </cell>
          <cell r="F81">
            <v>21.43</v>
          </cell>
          <cell r="G81">
            <v>22.59</v>
          </cell>
        </row>
        <row r="82">
          <cell r="A82">
            <v>10572</v>
          </cell>
          <cell r="B82" t="str">
            <v>BREEN</v>
          </cell>
          <cell r="C82" t="str">
            <v xml:space="preserve">  J.</v>
          </cell>
          <cell r="D82">
            <v>203508138</v>
          </cell>
          <cell r="E82" t="str">
            <v>M</v>
          </cell>
        </row>
        <row r="83">
          <cell r="A83">
            <v>10581</v>
          </cell>
          <cell r="B83" t="str">
            <v>PARSONS</v>
          </cell>
          <cell r="C83" t="str">
            <v xml:space="preserve">  A.</v>
          </cell>
          <cell r="E83" t="str">
            <v>M</v>
          </cell>
          <cell r="F83">
            <v>16.88</v>
          </cell>
          <cell r="G83">
            <v>14.49</v>
          </cell>
        </row>
        <row r="84">
          <cell r="A84">
            <v>11589</v>
          </cell>
          <cell r="B84" t="str">
            <v>PRIESTMAN</v>
          </cell>
          <cell r="C84" t="str">
            <v xml:space="preserve">  A.</v>
          </cell>
          <cell r="D84">
            <v>993248126</v>
          </cell>
          <cell r="E84" t="str">
            <v>M</v>
          </cell>
        </row>
        <row r="85">
          <cell r="A85">
            <v>10591</v>
          </cell>
          <cell r="B85" t="str">
            <v>RICHARDSON</v>
          </cell>
          <cell r="C85" t="str">
            <v xml:space="preserve">  C.A</v>
          </cell>
          <cell r="E85" t="str">
            <v>M</v>
          </cell>
        </row>
        <row r="86">
          <cell r="A86">
            <v>10592</v>
          </cell>
          <cell r="B86" t="str">
            <v>PLUCK</v>
          </cell>
          <cell r="C86" t="str">
            <v xml:space="preserve">  V.E</v>
          </cell>
          <cell r="E86" t="str">
            <v>M</v>
          </cell>
        </row>
        <row r="87">
          <cell r="A87">
            <v>10593</v>
          </cell>
          <cell r="B87" t="str">
            <v>LINDSAY</v>
          </cell>
          <cell r="C87" t="str">
            <v xml:space="preserve">  P.</v>
          </cell>
          <cell r="E87" t="str">
            <v>M</v>
          </cell>
        </row>
        <row r="88">
          <cell r="A88">
            <v>10597</v>
          </cell>
          <cell r="B88" t="str">
            <v>SUTTON</v>
          </cell>
          <cell r="C88" t="str">
            <v xml:space="preserve">  M.A</v>
          </cell>
          <cell r="D88">
            <v>993248126</v>
          </cell>
          <cell r="E88" t="str">
            <v>M</v>
          </cell>
        </row>
        <row r="89">
          <cell r="A89">
            <v>10598</v>
          </cell>
          <cell r="B89" t="str">
            <v>SMALL</v>
          </cell>
          <cell r="C89" t="str">
            <v xml:space="preserve">  J.</v>
          </cell>
          <cell r="E89" t="str">
            <v>M</v>
          </cell>
        </row>
        <row r="90">
          <cell r="A90">
            <v>10600</v>
          </cell>
          <cell r="B90" t="str">
            <v>ABBOTT</v>
          </cell>
          <cell r="C90" t="str">
            <v xml:space="preserve">  M.</v>
          </cell>
          <cell r="E90" t="str">
            <v>M</v>
          </cell>
          <cell r="F90">
            <v>20.27</v>
          </cell>
          <cell r="G90">
            <v>16.32</v>
          </cell>
        </row>
        <row r="91">
          <cell r="A91">
            <v>10610</v>
          </cell>
          <cell r="B91" t="str">
            <v>STEVENSON</v>
          </cell>
          <cell r="C91" t="str">
            <v xml:space="preserve">  G.</v>
          </cell>
          <cell r="D91">
            <v>203168070</v>
          </cell>
          <cell r="E91" t="str">
            <v>M</v>
          </cell>
        </row>
        <row r="92">
          <cell r="A92">
            <v>10612</v>
          </cell>
          <cell r="B92" t="str">
            <v>BURNINGHAM</v>
          </cell>
          <cell r="C92" t="str">
            <v xml:space="preserve">  D.</v>
          </cell>
          <cell r="E92" t="str">
            <v>M</v>
          </cell>
          <cell r="F92">
            <v>17.010000000000002</v>
          </cell>
          <cell r="G92">
            <v>20.34</v>
          </cell>
        </row>
        <row r="93">
          <cell r="A93">
            <v>10628</v>
          </cell>
          <cell r="B93" t="str">
            <v>HAIGH</v>
          </cell>
          <cell r="C93" t="str">
            <v xml:space="preserve">  L.</v>
          </cell>
          <cell r="D93">
            <v>203598137</v>
          </cell>
          <cell r="E93" t="str">
            <v>M</v>
          </cell>
        </row>
        <row r="94">
          <cell r="A94">
            <v>10629</v>
          </cell>
          <cell r="B94" t="str">
            <v>YOUD</v>
          </cell>
          <cell r="C94" t="str">
            <v xml:space="preserve">  G.</v>
          </cell>
          <cell r="E94" t="str">
            <v>M</v>
          </cell>
        </row>
        <row r="95">
          <cell r="A95">
            <v>10633</v>
          </cell>
          <cell r="B95" t="str">
            <v>MCLAUCHLAN</v>
          </cell>
          <cell r="C95" t="str">
            <v xml:space="preserve">  G.</v>
          </cell>
          <cell r="E95" t="str">
            <v>M</v>
          </cell>
          <cell r="F95">
            <v>20.2</v>
          </cell>
          <cell r="G95">
            <v>18.86</v>
          </cell>
        </row>
        <row r="96">
          <cell r="A96">
            <v>10634</v>
          </cell>
          <cell r="B96" t="str">
            <v>ROGERS</v>
          </cell>
          <cell r="C96" t="str">
            <v xml:space="preserve">  M.G</v>
          </cell>
          <cell r="E96" t="str">
            <v>M</v>
          </cell>
        </row>
        <row r="97">
          <cell r="A97">
            <v>10656</v>
          </cell>
          <cell r="B97" t="str">
            <v>BRYAN</v>
          </cell>
          <cell r="C97" t="str">
            <v xml:space="preserve">  S.</v>
          </cell>
          <cell r="E97" t="str">
            <v>M</v>
          </cell>
          <cell r="F97">
            <v>18.260000000000002</v>
          </cell>
          <cell r="G97">
            <v>16.309999999999999</v>
          </cell>
        </row>
        <row r="98">
          <cell r="A98">
            <v>10658</v>
          </cell>
          <cell r="B98" t="str">
            <v>STRANGWOOD</v>
          </cell>
          <cell r="C98" t="str">
            <v xml:space="preserve">  P.</v>
          </cell>
          <cell r="E98" t="str">
            <v>M</v>
          </cell>
          <cell r="F98">
            <v>22.28</v>
          </cell>
          <cell r="G98">
            <v>17.43</v>
          </cell>
        </row>
        <row r="99">
          <cell r="A99">
            <v>10671</v>
          </cell>
          <cell r="B99" t="str">
            <v>LEWIS</v>
          </cell>
          <cell r="C99" t="str">
            <v xml:space="preserve">  M.</v>
          </cell>
          <cell r="E99" t="str">
            <v>M</v>
          </cell>
          <cell r="F99">
            <v>18.010000000000002</v>
          </cell>
          <cell r="G99">
            <v>20.100000000000001</v>
          </cell>
        </row>
        <row r="100">
          <cell r="A100">
            <v>10672</v>
          </cell>
          <cell r="B100" t="str">
            <v>PANKHURST</v>
          </cell>
          <cell r="C100" t="str">
            <v xml:space="preserve">  S.</v>
          </cell>
          <cell r="D100">
            <v>203598137</v>
          </cell>
          <cell r="E100" t="str">
            <v>M</v>
          </cell>
        </row>
        <row r="101">
          <cell r="A101">
            <v>10677</v>
          </cell>
          <cell r="B101" t="str">
            <v>KEMBLE</v>
          </cell>
          <cell r="C101" t="str">
            <v xml:space="preserve">  J.</v>
          </cell>
          <cell r="D101">
            <v>203508138</v>
          </cell>
          <cell r="E101" t="str">
            <v>M</v>
          </cell>
        </row>
        <row r="102">
          <cell r="A102">
            <v>10679</v>
          </cell>
          <cell r="B102" t="str">
            <v>GRIEVE</v>
          </cell>
          <cell r="C102" t="str">
            <v xml:space="preserve">  T.</v>
          </cell>
          <cell r="D102">
            <v>203508139</v>
          </cell>
          <cell r="E102" t="str">
            <v>M</v>
          </cell>
        </row>
        <row r="103">
          <cell r="A103">
            <v>10681</v>
          </cell>
          <cell r="B103" t="str">
            <v>OLSZAK</v>
          </cell>
          <cell r="C103" t="str">
            <v xml:space="preserve">  J.</v>
          </cell>
          <cell r="D103">
            <v>203508138</v>
          </cell>
          <cell r="E103" t="str">
            <v>M</v>
          </cell>
        </row>
        <row r="104">
          <cell r="A104">
            <v>10682</v>
          </cell>
          <cell r="B104" t="str">
            <v>COOPER</v>
          </cell>
          <cell r="C104" t="str">
            <v xml:space="preserve">  G.</v>
          </cell>
          <cell r="D104">
            <v>203508138</v>
          </cell>
          <cell r="E104" t="str">
            <v>M</v>
          </cell>
        </row>
        <row r="105">
          <cell r="A105">
            <v>10684</v>
          </cell>
          <cell r="B105" t="str">
            <v>LEE</v>
          </cell>
          <cell r="C105" t="str">
            <v xml:space="preserve">  J.</v>
          </cell>
          <cell r="D105">
            <v>203508139</v>
          </cell>
          <cell r="E105" t="str">
            <v>M</v>
          </cell>
        </row>
        <row r="106">
          <cell r="A106">
            <v>10686</v>
          </cell>
          <cell r="B106" t="str">
            <v>BRONSON</v>
          </cell>
          <cell r="C106" t="str">
            <v xml:space="preserve">  P.</v>
          </cell>
          <cell r="D106">
            <v>203508138</v>
          </cell>
          <cell r="E106" t="str">
            <v>M</v>
          </cell>
        </row>
        <row r="107">
          <cell r="A107">
            <v>10701</v>
          </cell>
          <cell r="B107" t="str">
            <v>THORPE</v>
          </cell>
          <cell r="C107" t="str">
            <v xml:space="preserve">  G.</v>
          </cell>
          <cell r="D107">
            <v>203508138</v>
          </cell>
          <cell r="E107" t="str">
            <v>M</v>
          </cell>
        </row>
        <row r="108">
          <cell r="A108">
            <v>10702</v>
          </cell>
          <cell r="B108" t="str">
            <v>HARRINGTON</v>
          </cell>
          <cell r="C108" t="str">
            <v xml:space="preserve">  T.</v>
          </cell>
          <cell r="D108">
            <v>203508138</v>
          </cell>
          <cell r="E108" t="str">
            <v>M</v>
          </cell>
        </row>
        <row r="109">
          <cell r="A109">
            <v>10703</v>
          </cell>
          <cell r="B109" t="str">
            <v>LEE</v>
          </cell>
          <cell r="C109" t="str">
            <v xml:space="preserve">  F.</v>
          </cell>
          <cell r="D109">
            <v>203508138</v>
          </cell>
          <cell r="E109" t="str">
            <v>M</v>
          </cell>
        </row>
        <row r="110">
          <cell r="A110">
            <v>10717</v>
          </cell>
          <cell r="B110" t="str">
            <v>PATES</v>
          </cell>
          <cell r="C110" t="str">
            <v xml:space="preserve">  L.</v>
          </cell>
          <cell r="E110" t="str">
            <v>W</v>
          </cell>
          <cell r="F110">
            <v>13.88</v>
          </cell>
          <cell r="G110">
            <v>27.27</v>
          </cell>
        </row>
        <row r="111">
          <cell r="A111">
            <v>10719</v>
          </cell>
          <cell r="B111" t="str">
            <v>SALES</v>
          </cell>
          <cell r="C111" t="str">
            <v xml:space="preserve">  G.</v>
          </cell>
          <cell r="E111" t="str">
            <v>M</v>
          </cell>
          <cell r="F111">
            <v>13.46</v>
          </cell>
          <cell r="G111">
            <v>15.16</v>
          </cell>
        </row>
        <row r="112">
          <cell r="A112">
            <v>10724</v>
          </cell>
          <cell r="B112" t="str">
            <v>FREEMAN</v>
          </cell>
          <cell r="C112" t="str">
            <v xml:space="preserve">  S.</v>
          </cell>
          <cell r="D112">
            <v>203598137</v>
          </cell>
          <cell r="E112" t="str">
            <v>M</v>
          </cell>
        </row>
        <row r="113">
          <cell r="A113">
            <v>10742</v>
          </cell>
          <cell r="B113" t="str">
            <v>BUTLER</v>
          </cell>
          <cell r="C113" t="str">
            <v xml:space="preserve">  S.T</v>
          </cell>
          <cell r="E113" t="str">
            <v>M</v>
          </cell>
        </row>
        <row r="114">
          <cell r="A114">
            <v>10758</v>
          </cell>
          <cell r="B114" t="str">
            <v>MARMION</v>
          </cell>
          <cell r="C114" t="str">
            <v xml:space="preserve">  D.</v>
          </cell>
          <cell r="E114" t="str">
            <v>M</v>
          </cell>
          <cell r="F114">
            <v>21.58</v>
          </cell>
          <cell r="G114">
            <v>29.19</v>
          </cell>
        </row>
        <row r="115">
          <cell r="A115">
            <v>10765</v>
          </cell>
          <cell r="B115" t="str">
            <v>WALKER</v>
          </cell>
          <cell r="C115" t="str">
            <v xml:space="preserve">  J.</v>
          </cell>
          <cell r="E115" t="str">
            <v>M</v>
          </cell>
          <cell r="F115">
            <v>23.93</v>
          </cell>
        </row>
        <row r="116">
          <cell r="A116">
            <v>10767</v>
          </cell>
          <cell r="B116" t="str">
            <v>MARTIN</v>
          </cell>
          <cell r="C116" t="str">
            <v xml:space="preserve">  A.</v>
          </cell>
          <cell r="E116" t="str">
            <v>M</v>
          </cell>
          <cell r="F116">
            <v>15.64</v>
          </cell>
          <cell r="G116">
            <v>22.85</v>
          </cell>
        </row>
        <row r="117">
          <cell r="A117">
            <v>10780</v>
          </cell>
          <cell r="B117" t="str">
            <v>FEENEY</v>
          </cell>
          <cell r="C117" t="str">
            <v xml:space="preserve">  R.</v>
          </cell>
          <cell r="E117" t="str">
            <v>M</v>
          </cell>
        </row>
        <row r="118">
          <cell r="A118">
            <v>10783</v>
          </cell>
          <cell r="B118" t="str">
            <v>ADAMSON</v>
          </cell>
          <cell r="C118" t="str">
            <v xml:space="preserve">  P.</v>
          </cell>
          <cell r="E118" t="str">
            <v>M</v>
          </cell>
          <cell r="F118">
            <v>16.34</v>
          </cell>
          <cell r="G118">
            <v>14.85</v>
          </cell>
        </row>
        <row r="119">
          <cell r="A119">
            <v>10786</v>
          </cell>
          <cell r="B119" t="str">
            <v>DOHERTY</v>
          </cell>
          <cell r="C119" t="str">
            <v xml:space="preserve">  J.</v>
          </cell>
          <cell r="E119" t="str">
            <v>M</v>
          </cell>
        </row>
        <row r="120">
          <cell r="A120">
            <v>10788</v>
          </cell>
          <cell r="B120" t="str">
            <v>BRIDGES</v>
          </cell>
          <cell r="C120" t="str">
            <v xml:space="preserve">  R.</v>
          </cell>
          <cell r="E120" t="str">
            <v>M</v>
          </cell>
          <cell r="F120">
            <v>24.38</v>
          </cell>
          <cell r="G120">
            <v>24.99</v>
          </cell>
        </row>
        <row r="121">
          <cell r="A121">
            <v>10789</v>
          </cell>
          <cell r="B121" t="str">
            <v>LOBEDAN</v>
          </cell>
          <cell r="C121" t="str">
            <v xml:space="preserve">  L.</v>
          </cell>
          <cell r="E121" t="str">
            <v>M</v>
          </cell>
          <cell r="F121">
            <v>21.25</v>
          </cell>
          <cell r="G121">
            <v>16.79</v>
          </cell>
        </row>
        <row r="122">
          <cell r="A122">
            <v>10790</v>
          </cell>
          <cell r="B122" t="str">
            <v>ALCANTARA SUAREZ</v>
          </cell>
          <cell r="C122" t="str">
            <v xml:space="preserve">  M.</v>
          </cell>
          <cell r="E122" t="str">
            <v>M</v>
          </cell>
          <cell r="F122">
            <v>10.96</v>
          </cell>
          <cell r="G122">
            <v>11.69</v>
          </cell>
        </row>
        <row r="123">
          <cell r="A123">
            <v>10800</v>
          </cell>
          <cell r="B123" t="str">
            <v>CARSON</v>
          </cell>
          <cell r="C123" t="str">
            <v xml:space="preserve">  N.</v>
          </cell>
          <cell r="E123" t="str">
            <v>M</v>
          </cell>
          <cell r="F123">
            <v>19.84</v>
          </cell>
          <cell r="G123">
            <v>18.96</v>
          </cell>
        </row>
        <row r="124">
          <cell r="A124">
            <v>10801</v>
          </cell>
          <cell r="B124" t="str">
            <v>DART</v>
          </cell>
          <cell r="C124" t="str">
            <v xml:space="preserve">  A.</v>
          </cell>
          <cell r="D124">
            <v>203598137</v>
          </cell>
          <cell r="E124" t="str">
            <v>M</v>
          </cell>
        </row>
        <row r="125">
          <cell r="A125">
            <v>10804</v>
          </cell>
          <cell r="B125" t="str">
            <v>BARSTOW</v>
          </cell>
          <cell r="C125" t="str">
            <v xml:space="preserve">  I.</v>
          </cell>
          <cell r="E125" t="str">
            <v>M</v>
          </cell>
        </row>
        <row r="126">
          <cell r="A126">
            <v>10805</v>
          </cell>
          <cell r="B126" t="str">
            <v>COUNSEL</v>
          </cell>
          <cell r="C126" t="str">
            <v xml:space="preserve">  W.</v>
          </cell>
          <cell r="E126" t="str">
            <v>M</v>
          </cell>
        </row>
        <row r="127">
          <cell r="A127">
            <v>10812</v>
          </cell>
          <cell r="B127" t="str">
            <v>GALLACHER</v>
          </cell>
          <cell r="C127" t="str">
            <v xml:space="preserve">  K.</v>
          </cell>
          <cell r="E127" t="str">
            <v>M</v>
          </cell>
        </row>
        <row r="128">
          <cell r="A128">
            <v>10822</v>
          </cell>
          <cell r="B128" t="str">
            <v>CARTWRIGHT</v>
          </cell>
          <cell r="C128" t="str">
            <v xml:space="preserve">  S.</v>
          </cell>
          <cell r="E128" t="str">
            <v>M</v>
          </cell>
          <cell r="F128">
            <v>12.82</v>
          </cell>
          <cell r="G128">
            <v>10.39</v>
          </cell>
        </row>
        <row r="129">
          <cell r="A129">
            <v>10824</v>
          </cell>
          <cell r="B129" t="str">
            <v>COYLE</v>
          </cell>
          <cell r="C129" t="str">
            <v xml:space="preserve">  F.</v>
          </cell>
          <cell r="D129">
            <v>203168070</v>
          </cell>
          <cell r="E129" t="str">
            <v>M</v>
          </cell>
        </row>
        <row r="130">
          <cell r="A130">
            <v>10825</v>
          </cell>
          <cell r="B130" t="str">
            <v>SMITH</v>
          </cell>
          <cell r="C130" t="str">
            <v xml:space="preserve">  W.</v>
          </cell>
          <cell r="E130" t="str">
            <v>M</v>
          </cell>
          <cell r="F130">
            <v>17.2</v>
          </cell>
          <cell r="G130">
            <v>12.96</v>
          </cell>
        </row>
        <row r="131">
          <cell r="A131">
            <v>10834</v>
          </cell>
          <cell r="B131" t="str">
            <v>RAMSKILL</v>
          </cell>
          <cell r="C131" t="str">
            <v xml:space="preserve">  G.</v>
          </cell>
          <cell r="E131" t="str">
            <v>M</v>
          </cell>
          <cell r="F131">
            <v>8.34</v>
          </cell>
          <cell r="G131">
            <v>6.63</v>
          </cell>
        </row>
        <row r="132">
          <cell r="A132">
            <v>10835</v>
          </cell>
          <cell r="B132" t="str">
            <v>MCPAUL</v>
          </cell>
          <cell r="C132" t="str">
            <v xml:space="preserve">  A.</v>
          </cell>
          <cell r="E132" t="str">
            <v>M</v>
          </cell>
        </row>
        <row r="133">
          <cell r="A133">
            <v>10837</v>
          </cell>
          <cell r="B133" t="str">
            <v>CLIFTON</v>
          </cell>
          <cell r="C133" t="str">
            <v xml:space="preserve">  D.</v>
          </cell>
          <cell r="E133" t="str">
            <v>M</v>
          </cell>
          <cell r="F133">
            <v>21.03</v>
          </cell>
          <cell r="G133">
            <v>18.09</v>
          </cell>
        </row>
        <row r="134">
          <cell r="A134">
            <v>10840</v>
          </cell>
          <cell r="B134" t="str">
            <v>PENMAN</v>
          </cell>
          <cell r="C134" t="str">
            <v xml:space="preserve">  A.</v>
          </cell>
          <cell r="E134" t="str">
            <v>M</v>
          </cell>
          <cell r="F134">
            <v>8.0500000000000007</v>
          </cell>
          <cell r="G134">
            <v>10.35</v>
          </cell>
        </row>
        <row r="135">
          <cell r="A135">
            <v>10843</v>
          </cell>
          <cell r="B135" t="str">
            <v>MCMILLAN</v>
          </cell>
          <cell r="C135" t="str">
            <v xml:space="preserve">  F.</v>
          </cell>
          <cell r="E135" t="str">
            <v>M</v>
          </cell>
          <cell r="F135">
            <v>20.54</v>
          </cell>
        </row>
        <row r="136">
          <cell r="A136">
            <v>10847</v>
          </cell>
          <cell r="B136" t="str">
            <v>SHARMA</v>
          </cell>
          <cell r="C136" t="str">
            <v xml:space="preserve">  R.</v>
          </cell>
          <cell r="E136" t="str">
            <v>M</v>
          </cell>
        </row>
        <row r="137">
          <cell r="A137">
            <v>10853</v>
          </cell>
          <cell r="B137" t="str">
            <v>JAY</v>
          </cell>
          <cell r="C137" t="str">
            <v xml:space="preserve">  R.</v>
          </cell>
          <cell r="E137" t="str">
            <v>M</v>
          </cell>
          <cell r="F137">
            <v>21.93</v>
          </cell>
          <cell r="G137">
            <v>27.31</v>
          </cell>
        </row>
        <row r="138">
          <cell r="A138">
            <v>10858</v>
          </cell>
          <cell r="B138" t="str">
            <v>RIXEN</v>
          </cell>
          <cell r="C138" t="str">
            <v xml:space="preserve">  R.</v>
          </cell>
          <cell r="D138">
            <v>203598137</v>
          </cell>
          <cell r="E138" t="str">
            <v>M</v>
          </cell>
        </row>
        <row r="139">
          <cell r="A139">
            <v>10863</v>
          </cell>
          <cell r="B139" t="str">
            <v>HALL</v>
          </cell>
          <cell r="C139" t="str">
            <v xml:space="preserve">  P.</v>
          </cell>
          <cell r="E139" t="str">
            <v>M</v>
          </cell>
          <cell r="F139">
            <v>29.88</v>
          </cell>
        </row>
        <row r="140">
          <cell r="A140">
            <v>10864</v>
          </cell>
          <cell r="B140" t="str">
            <v>MONAGHAN</v>
          </cell>
          <cell r="C140" t="str">
            <v xml:space="preserve">  J.</v>
          </cell>
          <cell r="E140" t="str">
            <v>M</v>
          </cell>
          <cell r="F140">
            <v>21.06</v>
          </cell>
          <cell r="G140">
            <v>16.79</v>
          </cell>
        </row>
        <row r="141">
          <cell r="A141">
            <v>10866</v>
          </cell>
          <cell r="B141" t="str">
            <v>ROONEY</v>
          </cell>
          <cell r="C141" t="str">
            <v xml:space="preserve">  D.</v>
          </cell>
          <cell r="D141">
            <v>203168070</v>
          </cell>
          <cell r="E141" t="str">
            <v>M</v>
          </cell>
        </row>
        <row r="142">
          <cell r="A142">
            <v>10888</v>
          </cell>
          <cell r="B142" t="str">
            <v>BILLIMORIA</v>
          </cell>
          <cell r="C142" t="str">
            <v xml:space="preserve">  M.</v>
          </cell>
          <cell r="E142" t="str">
            <v>M</v>
          </cell>
          <cell r="F142">
            <v>13.64</v>
          </cell>
          <cell r="G142">
            <v>15.68</v>
          </cell>
        </row>
        <row r="143">
          <cell r="A143">
            <v>10891</v>
          </cell>
          <cell r="B143" t="str">
            <v>STEPHENS</v>
          </cell>
          <cell r="C143" t="str">
            <v xml:space="preserve">  L.</v>
          </cell>
          <cell r="E143" t="str">
            <v>M</v>
          </cell>
          <cell r="F143">
            <v>18</v>
          </cell>
          <cell r="G143">
            <v>15.85</v>
          </cell>
        </row>
        <row r="144">
          <cell r="A144">
            <v>10906</v>
          </cell>
          <cell r="B144" t="str">
            <v>MAY</v>
          </cell>
          <cell r="C144" t="str">
            <v xml:space="preserve">  R.</v>
          </cell>
          <cell r="D144">
            <v>203508138</v>
          </cell>
          <cell r="E144" t="str">
            <v>M</v>
          </cell>
        </row>
        <row r="145">
          <cell r="A145">
            <v>10911</v>
          </cell>
          <cell r="B145" t="str">
            <v>PATIENCE</v>
          </cell>
          <cell r="C145" t="str">
            <v xml:space="preserve">  I.</v>
          </cell>
          <cell r="E145" t="str">
            <v>M</v>
          </cell>
        </row>
        <row r="146">
          <cell r="A146">
            <v>10912</v>
          </cell>
          <cell r="B146" t="str">
            <v>CUMMINGS</v>
          </cell>
          <cell r="C146" t="str">
            <v xml:space="preserve">  J.T</v>
          </cell>
          <cell r="E146" t="str">
            <v>M</v>
          </cell>
        </row>
        <row r="147">
          <cell r="A147">
            <v>10914</v>
          </cell>
          <cell r="B147" t="str">
            <v>GEDDES</v>
          </cell>
          <cell r="C147" t="str">
            <v xml:space="preserve">  J.</v>
          </cell>
          <cell r="E147" t="str">
            <v>M</v>
          </cell>
          <cell r="F147">
            <v>20.23</v>
          </cell>
          <cell r="G147">
            <v>25.38</v>
          </cell>
        </row>
        <row r="148">
          <cell r="A148">
            <v>10915</v>
          </cell>
          <cell r="B148" t="str">
            <v>SUMMERVILLE</v>
          </cell>
          <cell r="C148" t="str">
            <v xml:space="preserve">  N.</v>
          </cell>
          <cell r="E148" t="str">
            <v>M</v>
          </cell>
          <cell r="F148">
            <v>11.18</v>
          </cell>
          <cell r="G148">
            <v>15.23</v>
          </cell>
        </row>
        <row r="149">
          <cell r="A149">
            <v>10922</v>
          </cell>
          <cell r="B149" t="str">
            <v>CANE</v>
          </cell>
          <cell r="C149" t="str">
            <v xml:space="preserve">  G.</v>
          </cell>
          <cell r="E149" t="str">
            <v>M</v>
          </cell>
          <cell r="F149">
            <v>24.45</v>
          </cell>
          <cell r="G149">
            <v>20.79</v>
          </cell>
        </row>
        <row r="150">
          <cell r="A150">
            <v>10923</v>
          </cell>
          <cell r="B150" t="str">
            <v>NORTON</v>
          </cell>
          <cell r="C150" t="str">
            <v xml:space="preserve">  C.</v>
          </cell>
          <cell r="D150">
            <v>203518081</v>
          </cell>
          <cell r="E150" t="str">
            <v>M</v>
          </cell>
        </row>
        <row r="151">
          <cell r="A151">
            <v>10927</v>
          </cell>
          <cell r="B151" t="str">
            <v>GILMOUR</v>
          </cell>
          <cell r="C151" t="str">
            <v xml:space="preserve">  N.</v>
          </cell>
          <cell r="E151" t="str">
            <v>M</v>
          </cell>
          <cell r="F151">
            <v>18.760000000000002</v>
          </cell>
          <cell r="G151">
            <v>29.19</v>
          </cell>
        </row>
        <row r="152">
          <cell r="A152">
            <v>10928</v>
          </cell>
          <cell r="B152" t="str">
            <v>ROBERTS</v>
          </cell>
          <cell r="C152" t="str">
            <v xml:space="preserve">  C.</v>
          </cell>
          <cell r="E152" t="str">
            <v>M</v>
          </cell>
          <cell r="F152">
            <v>17.670000000000002</v>
          </cell>
          <cell r="G152">
            <v>13.59</v>
          </cell>
        </row>
        <row r="153">
          <cell r="A153">
            <v>10946</v>
          </cell>
          <cell r="B153" t="str">
            <v>WILCOCK</v>
          </cell>
          <cell r="C153" t="str">
            <v xml:space="preserve">  M.</v>
          </cell>
          <cell r="E153" t="str">
            <v>M</v>
          </cell>
        </row>
        <row r="154">
          <cell r="A154">
            <v>10947</v>
          </cell>
          <cell r="B154" t="str">
            <v>PURDUE</v>
          </cell>
          <cell r="C154" t="str">
            <v xml:space="preserve">  L.</v>
          </cell>
          <cell r="E154" t="str">
            <v>M</v>
          </cell>
          <cell r="F154">
            <v>12.2</v>
          </cell>
          <cell r="G154">
            <v>17.13</v>
          </cell>
        </row>
        <row r="155">
          <cell r="A155">
            <v>10959</v>
          </cell>
          <cell r="B155" t="str">
            <v>FACEY</v>
          </cell>
          <cell r="C155" t="str">
            <v xml:space="preserve">  K.</v>
          </cell>
          <cell r="E155" t="str">
            <v>M</v>
          </cell>
          <cell r="F155">
            <v>21.27</v>
          </cell>
          <cell r="G155">
            <v>16.079999999999998</v>
          </cell>
        </row>
        <row r="156">
          <cell r="A156">
            <v>10967</v>
          </cell>
          <cell r="B156" t="str">
            <v>BARTON</v>
          </cell>
          <cell r="C156" t="str">
            <v xml:space="preserve">  A.</v>
          </cell>
          <cell r="E156" t="str">
            <v>M</v>
          </cell>
        </row>
        <row r="157">
          <cell r="A157">
            <v>10973</v>
          </cell>
          <cell r="B157" t="str">
            <v>STEVENSON</v>
          </cell>
          <cell r="C157" t="str">
            <v xml:space="preserve">  R.</v>
          </cell>
          <cell r="E157" t="str">
            <v>M</v>
          </cell>
          <cell r="F157">
            <v>14.77</v>
          </cell>
          <cell r="G157">
            <v>17.190000000000001</v>
          </cell>
        </row>
        <row r="158">
          <cell r="A158">
            <v>10975</v>
          </cell>
          <cell r="B158" t="str">
            <v>BALL</v>
          </cell>
          <cell r="C158" t="str">
            <v xml:space="preserve">  K.</v>
          </cell>
          <cell r="E158" t="str">
            <v>M</v>
          </cell>
          <cell r="F158">
            <v>19.12</v>
          </cell>
          <cell r="G158">
            <v>15.53</v>
          </cell>
        </row>
        <row r="159">
          <cell r="A159">
            <v>10977</v>
          </cell>
          <cell r="B159" t="str">
            <v>HUJAN</v>
          </cell>
          <cell r="C159" t="str">
            <v xml:space="preserve">  P.</v>
          </cell>
          <cell r="E159" t="str">
            <v>M</v>
          </cell>
        </row>
        <row r="160">
          <cell r="A160">
            <v>10979</v>
          </cell>
          <cell r="B160" t="str">
            <v>BUTLER</v>
          </cell>
          <cell r="C160" t="str">
            <v xml:space="preserve">  P.</v>
          </cell>
          <cell r="E160" t="str">
            <v>M</v>
          </cell>
        </row>
        <row r="161">
          <cell r="A161">
            <v>10991</v>
          </cell>
          <cell r="B161" t="str">
            <v>EDGEWORTH</v>
          </cell>
          <cell r="C161" t="str">
            <v xml:space="preserve">  P.</v>
          </cell>
          <cell r="D161">
            <v>203598137</v>
          </cell>
          <cell r="E161" t="str">
            <v>M</v>
          </cell>
        </row>
        <row r="162">
          <cell r="A162">
            <v>10992</v>
          </cell>
          <cell r="B162" t="str">
            <v>GRIFFIN</v>
          </cell>
          <cell r="C162" t="str">
            <v xml:space="preserve">  D.</v>
          </cell>
          <cell r="E162" t="str">
            <v>M</v>
          </cell>
          <cell r="F162">
            <v>18.13</v>
          </cell>
          <cell r="G162">
            <v>21.69</v>
          </cell>
        </row>
        <row r="163">
          <cell r="A163">
            <v>10994</v>
          </cell>
          <cell r="B163" t="str">
            <v>TOMASSO</v>
          </cell>
          <cell r="C163" t="str">
            <v xml:space="preserve">  A.</v>
          </cell>
          <cell r="E163" t="str">
            <v>M</v>
          </cell>
          <cell r="F163">
            <v>12.16</v>
          </cell>
          <cell r="G163">
            <v>13.54</v>
          </cell>
        </row>
        <row r="164">
          <cell r="A164">
            <v>11095</v>
          </cell>
          <cell r="B164" t="str">
            <v>ELAM</v>
          </cell>
          <cell r="C164" t="str">
            <v xml:space="preserve">  C.</v>
          </cell>
          <cell r="E164" t="str">
            <v>M</v>
          </cell>
          <cell r="F164">
            <v>19</v>
          </cell>
          <cell r="G164">
            <v>26.02</v>
          </cell>
        </row>
        <row r="165">
          <cell r="A165">
            <v>11096</v>
          </cell>
          <cell r="B165" t="str">
            <v>BABBRA</v>
          </cell>
          <cell r="C165" t="str">
            <v xml:space="preserve">  S.</v>
          </cell>
          <cell r="E165" t="str">
            <v>M</v>
          </cell>
          <cell r="F165">
            <v>16.78</v>
          </cell>
          <cell r="G165">
            <v>19.89</v>
          </cell>
        </row>
        <row r="166">
          <cell r="A166">
            <v>11097</v>
          </cell>
          <cell r="B166" t="str">
            <v>LEE</v>
          </cell>
          <cell r="C166" t="str">
            <v xml:space="preserve">  R.</v>
          </cell>
          <cell r="E166" t="str">
            <v>M</v>
          </cell>
          <cell r="F166">
            <v>19.350000000000001</v>
          </cell>
          <cell r="G166">
            <v>14.49</v>
          </cell>
        </row>
        <row r="167">
          <cell r="A167">
            <v>11100</v>
          </cell>
          <cell r="B167" t="str">
            <v>JUNCAR</v>
          </cell>
          <cell r="C167" t="str">
            <v xml:space="preserve">  P.</v>
          </cell>
          <cell r="D167">
            <v>993248126</v>
          </cell>
          <cell r="E167" t="str">
            <v>M</v>
          </cell>
        </row>
        <row r="168">
          <cell r="A168">
            <v>11101</v>
          </cell>
          <cell r="B168" t="str">
            <v>EAGAN</v>
          </cell>
          <cell r="C168" t="str">
            <v xml:space="preserve">  J.</v>
          </cell>
          <cell r="D168">
            <v>993248126</v>
          </cell>
          <cell r="E168" t="str">
            <v>M</v>
          </cell>
        </row>
        <row r="169">
          <cell r="A169">
            <v>11102</v>
          </cell>
          <cell r="B169" t="str">
            <v>CHAPMAN</v>
          </cell>
          <cell r="C169" t="str">
            <v xml:space="preserve">  G.</v>
          </cell>
          <cell r="D169">
            <v>993248126</v>
          </cell>
          <cell r="E169" t="str">
            <v>M</v>
          </cell>
        </row>
        <row r="170">
          <cell r="A170">
            <v>11103</v>
          </cell>
          <cell r="B170" t="str">
            <v>DALEY</v>
          </cell>
          <cell r="C170" t="str">
            <v xml:space="preserve">  G.</v>
          </cell>
          <cell r="D170">
            <v>993248126</v>
          </cell>
          <cell r="E170" t="str">
            <v>M</v>
          </cell>
        </row>
        <row r="171">
          <cell r="A171">
            <v>11105</v>
          </cell>
          <cell r="B171" t="str">
            <v>RAWLINS</v>
          </cell>
          <cell r="C171" t="str">
            <v xml:space="preserve">  M.R</v>
          </cell>
          <cell r="E171" t="str">
            <v>M</v>
          </cell>
        </row>
        <row r="172">
          <cell r="A172">
            <v>11109</v>
          </cell>
          <cell r="B172" t="str">
            <v>LEWIS</v>
          </cell>
          <cell r="C172" t="str">
            <v xml:space="preserve">  C.</v>
          </cell>
          <cell r="D172">
            <v>203598137</v>
          </cell>
          <cell r="E172" t="str">
            <v>M</v>
          </cell>
        </row>
        <row r="173">
          <cell r="A173">
            <v>11180</v>
          </cell>
          <cell r="B173" t="str">
            <v>HEANEY</v>
          </cell>
          <cell r="C173" t="str">
            <v xml:space="preserve">  C.</v>
          </cell>
          <cell r="D173">
            <v>203168070</v>
          </cell>
          <cell r="E173" t="str">
            <v>M</v>
          </cell>
        </row>
        <row r="174">
          <cell r="A174">
            <v>11181</v>
          </cell>
          <cell r="B174" t="str">
            <v>CLEMENTS</v>
          </cell>
          <cell r="C174" t="str">
            <v xml:space="preserve">  R.</v>
          </cell>
          <cell r="D174">
            <v>203508138</v>
          </cell>
          <cell r="E174" t="str">
            <v>M</v>
          </cell>
        </row>
        <row r="175">
          <cell r="A175">
            <v>11182</v>
          </cell>
          <cell r="B175" t="str">
            <v>WESTCOMBE</v>
          </cell>
          <cell r="C175" t="str">
            <v xml:space="preserve">  G.</v>
          </cell>
          <cell r="E175" t="str">
            <v>M</v>
          </cell>
          <cell r="F175">
            <v>12.35</v>
          </cell>
          <cell r="G175">
            <v>14.46</v>
          </cell>
        </row>
        <row r="176">
          <cell r="A176">
            <v>11204</v>
          </cell>
          <cell r="B176" t="str">
            <v>WINFIELD</v>
          </cell>
          <cell r="C176" t="str">
            <v xml:space="preserve">  K.</v>
          </cell>
          <cell r="D176">
            <v>993248126</v>
          </cell>
          <cell r="E176" t="str">
            <v>M</v>
          </cell>
        </row>
        <row r="177">
          <cell r="A177">
            <v>11210</v>
          </cell>
          <cell r="B177" t="str">
            <v>CARMICHAEL</v>
          </cell>
          <cell r="C177" t="str">
            <v xml:space="preserve">  C.</v>
          </cell>
          <cell r="D177">
            <v>203168070</v>
          </cell>
          <cell r="E177" t="str">
            <v>M</v>
          </cell>
        </row>
        <row r="178">
          <cell r="A178">
            <v>11211</v>
          </cell>
          <cell r="B178" t="str">
            <v>PAGE</v>
          </cell>
          <cell r="C178" t="str">
            <v xml:space="preserve">  C.</v>
          </cell>
          <cell r="E178" t="str">
            <v>M</v>
          </cell>
        </row>
        <row r="179">
          <cell r="A179">
            <v>11238</v>
          </cell>
          <cell r="B179" t="str">
            <v>KEIGHLEY</v>
          </cell>
          <cell r="C179" t="str">
            <v xml:space="preserve">  A.T</v>
          </cell>
          <cell r="E179" t="str">
            <v>M</v>
          </cell>
        </row>
        <row r="180">
          <cell r="A180">
            <v>11249</v>
          </cell>
          <cell r="B180" t="str">
            <v>VINCENT</v>
          </cell>
          <cell r="C180" t="str">
            <v xml:space="preserve">  B.</v>
          </cell>
          <cell r="E180" t="str">
            <v>M</v>
          </cell>
          <cell r="F180">
            <v>10.52</v>
          </cell>
          <cell r="G180">
            <v>12.01</v>
          </cell>
        </row>
        <row r="181">
          <cell r="A181">
            <v>11254</v>
          </cell>
          <cell r="B181" t="str">
            <v>MARSHALL</v>
          </cell>
          <cell r="C181" t="str">
            <v xml:space="preserve">  D.</v>
          </cell>
          <cell r="E181" t="str">
            <v>M</v>
          </cell>
          <cell r="F181">
            <v>14.47</v>
          </cell>
          <cell r="G181">
            <v>16.78</v>
          </cell>
        </row>
        <row r="182">
          <cell r="A182">
            <v>11272</v>
          </cell>
          <cell r="B182" t="str">
            <v>KEMBLE</v>
          </cell>
          <cell r="C182" t="str">
            <v xml:space="preserve">  R.</v>
          </cell>
          <cell r="D182">
            <v>203508138</v>
          </cell>
          <cell r="E182" t="str">
            <v>M</v>
          </cell>
        </row>
        <row r="183">
          <cell r="A183">
            <v>11275</v>
          </cell>
          <cell r="B183" t="str">
            <v>GOLDING</v>
          </cell>
          <cell r="C183" t="str">
            <v xml:space="preserve">  D.</v>
          </cell>
          <cell r="E183" t="str">
            <v>M</v>
          </cell>
          <cell r="F183">
            <v>24.22</v>
          </cell>
        </row>
        <row r="184">
          <cell r="A184">
            <v>11285</v>
          </cell>
          <cell r="B184" t="str">
            <v>BATEMAN</v>
          </cell>
          <cell r="C184" t="str">
            <v xml:space="preserve">  P.</v>
          </cell>
          <cell r="E184" t="str">
            <v>M</v>
          </cell>
        </row>
        <row r="185">
          <cell r="A185">
            <v>11287</v>
          </cell>
          <cell r="B185" t="str">
            <v>THOMAS</v>
          </cell>
          <cell r="C185" t="str">
            <v xml:space="preserve">  E.</v>
          </cell>
          <cell r="E185" t="str">
            <v>M</v>
          </cell>
          <cell r="F185">
            <v>18.23</v>
          </cell>
          <cell r="G185">
            <v>16.16</v>
          </cell>
        </row>
        <row r="186">
          <cell r="A186">
            <v>11288</v>
          </cell>
          <cell r="B186" t="str">
            <v>DANYLIW</v>
          </cell>
          <cell r="C186" t="str">
            <v xml:space="preserve">  S.</v>
          </cell>
          <cell r="E186" t="str">
            <v>M</v>
          </cell>
          <cell r="F186">
            <v>13.51</v>
          </cell>
          <cell r="G186">
            <v>14.96</v>
          </cell>
        </row>
        <row r="187">
          <cell r="A187">
            <v>11289</v>
          </cell>
          <cell r="B187" t="str">
            <v>STRANG</v>
          </cell>
          <cell r="C187" t="str">
            <v xml:space="preserve">  T.</v>
          </cell>
          <cell r="E187" t="str">
            <v>M</v>
          </cell>
        </row>
        <row r="188">
          <cell r="A188">
            <v>11290</v>
          </cell>
          <cell r="B188" t="str">
            <v>JEWELL</v>
          </cell>
          <cell r="C188" t="str">
            <v xml:space="preserve">  D.</v>
          </cell>
          <cell r="D188">
            <v>203508138</v>
          </cell>
          <cell r="E188" t="str">
            <v>M</v>
          </cell>
        </row>
        <row r="189">
          <cell r="A189">
            <v>11306</v>
          </cell>
          <cell r="B189" t="str">
            <v>RICHARDS</v>
          </cell>
          <cell r="C189" t="str">
            <v xml:space="preserve">  D.</v>
          </cell>
          <cell r="E189" t="str">
            <v>M</v>
          </cell>
          <cell r="F189">
            <v>17.02</v>
          </cell>
          <cell r="G189">
            <v>17.2</v>
          </cell>
        </row>
        <row r="190">
          <cell r="A190">
            <v>11338</v>
          </cell>
          <cell r="B190" t="str">
            <v>INFANTE</v>
          </cell>
          <cell r="C190" t="str">
            <v xml:space="preserve">  L.</v>
          </cell>
          <cell r="E190" t="str">
            <v>M</v>
          </cell>
          <cell r="F190">
            <v>13.86</v>
          </cell>
        </row>
        <row r="191">
          <cell r="A191">
            <v>11339</v>
          </cell>
          <cell r="B191" t="str">
            <v>CANTLIE</v>
          </cell>
          <cell r="C191" t="str">
            <v xml:space="preserve">  J.</v>
          </cell>
          <cell r="E191" t="str">
            <v>M</v>
          </cell>
          <cell r="F191">
            <v>11.83</v>
          </cell>
          <cell r="G191">
            <v>13.26</v>
          </cell>
        </row>
        <row r="192">
          <cell r="A192">
            <v>11340</v>
          </cell>
          <cell r="B192" t="str">
            <v>HEARD</v>
          </cell>
          <cell r="C192" t="str">
            <v xml:space="preserve">  K.</v>
          </cell>
          <cell r="D192">
            <v>203598137</v>
          </cell>
          <cell r="E192" t="str">
            <v>M</v>
          </cell>
        </row>
        <row r="193">
          <cell r="A193">
            <v>11360</v>
          </cell>
          <cell r="B193" t="str">
            <v>WELSH</v>
          </cell>
          <cell r="C193" t="str">
            <v xml:space="preserve">  R.</v>
          </cell>
          <cell r="D193">
            <v>203508138</v>
          </cell>
          <cell r="E193" t="str">
            <v>M</v>
          </cell>
        </row>
        <row r="194">
          <cell r="A194">
            <v>11361</v>
          </cell>
          <cell r="B194" t="str">
            <v>PARRY</v>
          </cell>
          <cell r="C194" t="str">
            <v xml:space="preserve">  L.</v>
          </cell>
          <cell r="D194">
            <v>993365555</v>
          </cell>
          <cell r="E194" t="str">
            <v>M</v>
          </cell>
        </row>
        <row r="195">
          <cell r="A195">
            <v>11365</v>
          </cell>
          <cell r="B195" t="str">
            <v>GEORGE</v>
          </cell>
          <cell r="C195" t="str">
            <v xml:space="preserve">  R.</v>
          </cell>
          <cell r="D195">
            <v>203508138</v>
          </cell>
          <cell r="E195" t="str">
            <v>M</v>
          </cell>
        </row>
        <row r="196">
          <cell r="A196">
            <v>11366</v>
          </cell>
          <cell r="B196" t="str">
            <v>HADLEY</v>
          </cell>
          <cell r="C196" t="str">
            <v xml:space="preserve">  P.</v>
          </cell>
          <cell r="D196">
            <v>203508138</v>
          </cell>
          <cell r="E196" t="str">
            <v>M</v>
          </cell>
        </row>
        <row r="197">
          <cell r="A197">
            <v>11371</v>
          </cell>
          <cell r="B197" t="str">
            <v>MINIHAM</v>
          </cell>
          <cell r="C197" t="str">
            <v xml:space="preserve">  R.</v>
          </cell>
          <cell r="E197" t="str">
            <v>M</v>
          </cell>
          <cell r="F197">
            <v>18.420000000000002</v>
          </cell>
          <cell r="G197">
            <v>14.6</v>
          </cell>
        </row>
        <row r="198">
          <cell r="A198">
            <v>11380</v>
          </cell>
          <cell r="B198" t="str">
            <v>SMITH</v>
          </cell>
          <cell r="C198" t="str">
            <v xml:space="preserve">  I.</v>
          </cell>
          <cell r="D198">
            <v>203508138</v>
          </cell>
          <cell r="E198" t="str">
            <v>M</v>
          </cell>
        </row>
        <row r="199">
          <cell r="A199">
            <v>11381</v>
          </cell>
          <cell r="B199" t="str">
            <v>MASON</v>
          </cell>
          <cell r="C199" t="str">
            <v xml:space="preserve">  R.</v>
          </cell>
          <cell r="E199" t="str">
            <v>M</v>
          </cell>
          <cell r="F199">
            <v>15.63</v>
          </cell>
          <cell r="G199">
            <v>18.02</v>
          </cell>
        </row>
        <row r="200">
          <cell r="A200">
            <v>11383</v>
          </cell>
          <cell r="B200" t="str">
            <v>JACKSON</v>
          </cell>
          <cell r="C200" t="str">
            <v xml:space="preserve">  R.</v>
          </cell>
          <cell r="E200" t="str">
            <v>M</v>
          </cell>
          <cell r="F200">
            <v>21.94</v>
          </cell>
          <cell r="G200">
            <v>17.420000000000002</v>
          </cell>
        </row>
        <row r="201">
          <cell r="A201">
            <v>11385</v>
          </cell>
          <cell r="B201" t="str">
            <v>TARKANYI</v>
          </cell>
          <cell r="C201" t="str">
            <v xml:space="preserve">  J.</v>
          </cell>
          <cell r="E201" t="str">
            <v>M</v>
          </cell>
        </row>
        <row r="202">
          <cell r="A202">
            <v>11386</v>
          </cell>
          <cell r="B202" t="str">
            <v>FRENCH</v>
          </cell>
          <cell r="C202" t="str">
            <v xml:space="preserve">  S.</v>
          </cell>
          <cell r="E202" t="str">
            <v>M</v>
          </cell>
          <cell r="F202">
            <v>18.670000000000002</v>
          </cell>
          <cell r="G202">
            <v>14.94</v>
          </cell>
        </row>
        <row r="203">
          <cell r="A203">
            <v>11387</v>
          </cell>
          <cell r="B203" t="str">
            <v>JOHNS</v>
          </cell>
          <cell r="C203" t="str">
            <v xml:space="preserve">  R.</v>
          </cell>
          <cell r="E203" t="str">
            <v>M</v>
          </cell>
          <cell r="F203">
            <v>18.66</v>
          </cell>
          <cell r="G203">
            <v>14.92</v>
          </cell>
        </row>
        <row r="204">
          <cell r="A204">
            <v>11388</v>
          </cell>
          <cell r="B204" t="str">
            <v>MARSDEN</v>
          </cell>
          <cell r="C204" t="str">
            <v xml:space="preserve">  R.</v>
          </cell>
          <cell r="E204" t="str">
            <v>M</v>
          </cell>
          <cell r="F204">
            <v>11.76</v>
          </cell>
          <cell r="G204">
            <v>13.66</v>
          </cell>
        </row>
        <row r="205">
          <cell r="A205">
            <v>11396</v>
          </cell>
          <cell r="B205" t="str">
            <v>MCWHINNIE</v>
          </cell>
          <cell r="C205" t="str">
            <v xml:space="preserve">  A.</v>
          </cell>
          <cell r="E205" t="str">
            <v>M</v>
          </cell>
          <cell r="F205">
            <v>15.55</v>
          </cell>
          <cell r="G205">
            <v>9.4600000000000009</v>
          </cell>
        </row>
        <row r="206">
          <cell r="A206">
            <v>11399</v>
          </cell>
          <cell r="B206" t="str">
            <v>REAY</v>
          </cell>
          <cell r="C206" t="str">
            <v xml:space="preserve">  S.</v>
          </cell>
          <cell r="E206" t="str">
            <v>M</v>
          </cell>
        </row>
        <row r="207">
          <cell r="A207">
            <v>11400</v>
          </cell>
          <cell r="B207" t="str">
            <v>WILLIAMS</v>
          </cell>
          <cell r="C207" t="str">
            <v xml:space="preserve">  B.</v>
          </cell>
          <cell r="E207" t="str">
            <v>M</v>
          </cell>
          <cell r="F207">
            <v>18.52</v>
          </cell>
          <cell r="G207">
            <v>24.12</v>
          </cell>
        </row>
        <row r="208">
          <cell r="A208">
            <v>11407</v>
          </cell>
          <cell r="B208" t="str">
            <v>WOODLEY</v>
          </cell>
          <cell r="C208" t="str">
            <v xml:space="preserve">  P.</v>
          </cell>
          <cell r="E208" t="str">
            <v>M</v>
          </cell>
          <cell r="F208">
            <v>20.76</v>
          </cell>
          <cell r="G208">
            <v>15.39</v>
          </cell>
        </row>
        <row r="209">
          <cell r="A209">
            <v>11414</v>
          </cell>
          <cell r="B209" t="str">
            <v>HIBBITT</v>
          </cell>
          <cell r="C209" t="str">
            <v xml:space="preserve">  N.</v>
          </cell>
          <cell r="E209" t="str">
            <v>M</v>
          </cell>
          <cell r="F209">
            <v>13.74</v>
          </cell>
          <cell r="G209">
            <v>11.21</v>
          </cell>
        </row>
        <row r="210">
          <cell r="A210">
            <v>11418</v>
          </cell>
          <cell r="B210" t="str">
            <v>CRAVEN</v>
          </cell>
          <cell r="C210" t="str">
            <v xml:space="preserve">  R.</v>
          </cell>
          <cell r="E210" t="str">
            <v>M</v>
          </cell>
        </row>
        <row r="211">
          <cell r="A211">
            <v>11419</v>
          </cell>
          <cell r="B211" t="str">
            <v>LEWIS</v>
          </cell>
          <cell r="C211" t="str">
            <v xml:space="preserve">  G.</v>
          </cell>
          <cell r="D211">
            <v>203508138</v>
          </cell>
          <cell r="E211" t="str">
            <v>M</v>
          </cell>
        </row>
        <row r="212">
          <cell r="A212">
            <v>11433</v>
          </cell>
          <cell r="B212" t="str">
            <v>TEMPLE</v>
          </cell>
          <cell r="C212" t="str">
            <v xml:space="preserve">  K.</v>
          </cell>
          <cell r="E212" t="str">
            <v>M</v>
          </cell>
          <cell r="F212">
            <v>21.1</v>
          </cell>
          <cell r="G212">
            <v>15.85</v>
          </cell>
        </row>
        <row r="213">
          <cell r="A213">
            <v>11436</v>
          </cell>
          <cell r="B213" t="str">
            <v>JENNINGS</v>
          </cell>
          <cell r="C213" t="str">
            <v xml:space="preserve">  A.</v>
          </cell>
          <cell r="D213">
            <v>203598137</v>
          </cell>
          <cell r="E213" t="str">
            <v>M</v>
          </cell>
        </row>
        <row r="214">
          <cell r="A214">
            <v>11446</v>
          </cell>
          <cell r="B214" t="str">
            <v>BOND</v>
          </cell>
          <cell r="C214" t="str">
            <v xml:space="preserve">  R.M</v>
          </cell>
          <cell r="E214" t="str">
            <v>M</v>
          </cell>
        </row>
        <row r="215">
          <cell r="A215">
            <v>11447</v>
          </cell>
          <cell r="B215" t="str">
            <v>HARWOOD</v>
          </cell>
          <cell r="C215" t="str">
            <v xml:space="preserve">  S.</v>
          </cell>
          <cell r="E215" t="str">
            <v>M</v>
          </cell>
        </row>
        <row r="216">
          <cell r="A216">
            <v>11453</v>
          </cell>
          <cell r="B216" t="str">
            <v>ELLIS</v>
          </cell>
          <cell r="C216" t="str">
            <v xml:space="preserve">  S.</v>
          </cell>
          <cell r="D216">
            <v>203598137</v>
          </cell>
          <cell r="E216" t="str">
            <v>M</v>
          </cell>
        </row>
        <row r="217">
          <cell r="A217">
            <v>11454</v>
          </cell>
          <cell r="B217" t="str">
            <v>BILSON</v>
          </cell>
          <cell r="C217" t="str">
            <v xml:space="preserve">  G.</v>
          </cell>
          <cell r="D217">
            <v>203508138</v>
          </cell>
          <cell r="E217" t="str">
            <v>M</v>
          </cell>
        </row>
        <row r="218">
          <cell r="A218">
            <v>11456</v>
          </cell>
          <cell r="B218" t="str">
            <v>EMERSON</v>
          </cell>
          <cell r="C218" t="str">
            <v xml:space="preserve">  G.</v>
          </cell>
          <cell r="E218" t="str">
            <v>M</v>
          </cell>
          <cell r="F218">
            <v>20.36</v>
          </cell>
          <cell r="G218">
            <v>15.73</v>
          </cell>
        </row>
        <row r="219">
          <cell r="A219">
            <v>11457</v>
          </cell>
          <cell r="B219" t="str">
            <v>DAVIS</v>
          </cell>
          <cell r="C219" t="str">
            <v xml:space="preserve">  S.</v>
          </cell>
          <cell r="E219" t="str">
            <v>M</v>
          </cell>
          <cell r="F219">
            <v>22.48</v>
          </cell>
          <cell r="G219">
            <v>18.09</v>
          </cell>
        </row>
        <row r="220">
          <cell r="A220">
            <v>11459</v>
          </cell>
          <cell r="B220" t="str">
            <v>INGLIS</v>
          </cell>
          <cell r="C220" t="str">
            <v xml:space="preserve">  I.</v>
          </cell>
          <cell r="E220" t="str">
            <v>M</v>
          </cell>
          <cell r="F220">
            <v>15.74</v>
          </cell>
          <cell r="G220">
            <v>11.02</v>
          </cell>
        </row>
        <row r="221">
          <cell r="A221">
            <v>11462</v>
          </cell>
          <cell r="B221" t="str">
            <v>REEVES</v>
          </cell>
          <cell r="C221" t="str">
            <v xml:space="preserve">  G.</v>
          </cell>
          <cell r="E221" t="str">
            <v>M</v>
          </cell>
          <cell r="F221">
            <v>19.2</v>
          </cell>
          <cell r="G221">
            <v>23.13</v>
          </cell>
        </row>
        <row r="222">
          <cell r="A222">
            <v>11483</v>
          </cell>
          <cell r="B222" t="str">
            <v>WHITE</v>
          </cell>
          <cell r="C222" t="str">
            <v xml:space="preserve">  S.</v>
          </cell>
          <cell r="E222" t="str">
            <v>M</v>
          </cell>
        </row>
        <row r="223">
          <cell r="A223">
            <v>11484</v>
          </cell>
          <cell r="B223" t="str">
            <v>MULALLY</v>
          </cell>
          <cell r="C223" t="str">
            <v xml:space="preserve">  P.M</v>
          </cell>
          <cell r="E223" t="str">
            <v>M</v>
          </cell>
        </row>
        <row r="224">
          <cell r="A224">
            <v>11485</v>
          </cell>
          <cell r="B224" t="str">
            <v>BALL</v>
          </cell>
          <cell r="C224" t="str">
            <v xml:space="preserve">  G.M</v>
          </cell>
          <cell r="E224" t="str">
            <v>M</v>
          </cell>
          <cell r="F224">
            <v>8.3800000000000008</v>
          </cell>
          <cell r="G224">
            <v>9.11</v>
          </cell>
        </row>
        <row r="225">
          <cell r="A225">
            <v>11489</v>
          </cell>
          <cell r="B225" t="str">
            <v>WHITE</v>
          </cell>
          <cell r="C225" t="str">
            <v xml:space="preserve">  P.J</v>
          </cell>
          <cell r="E225" t="str">
            <v>M</v>
          </cell>
          <cell r="F225">
            <v>12.37</v>
          </cell>
          <cell r="G225">
            <v>14.49</v>
          </cell>
        </row>
        <row r="226">
          <cell r="A226">
            <v>11492</v>
          </cell>
          <cell r="B226" t="str">
            <v>TROTMAN</v>
          </cell>
          <cell r="C226" t="str">
            <v xml:space="preserve">  C.G</v>
          </cell>
          <cell r="D226">
            <v>203218200</v>
          </cell>
          <cell r="E226" t="str">
            <v>M</v>
          </cell>
        </row>
        <row r="227">
          <cell r="A227">
            <v>11493</v>
          </cell>
          <cell r="B227" t="str">
            <v>HUGHES</v>
          </cell>
          <cell r="C227" t="str">
            <v xml:space="preserve">  R.J</v>
          </cell>
          <cell r="E227" t="str">
            <v>M</v>
          </cell>
          <cell r="F227">
            <v>12.21</v>
          </cell>
          <cell r="G227">
            <v>9.5500000000000007</v>
          </cell>
        </row>
        <row r="228">
          <cell r="A228">
            <v>11514</v>
          </cell>
          <cell r="B228" t="str">
            <v>POOLE</v>
          </cell>
          <cell r="C228" t="str">
            <v xml:space="preserve">  A.</v>
          </cell>
          <cell r="D228">
            <v>203508138</v>
          </cell>
          <cell r="E228" t="str">
            <v>M</v>
          </cell>
        </row>
        <row r="229">
          <cell r="A229">
            <v>11518</v>
          </cell>
          <cell r="B229" t="str">
            <v>CRONIN</v>
          </cell>
          <cell r="C229" t="str">
            <v xml:space="preserve">  D.</v>
          </cell>
          <cell r="E229" t="str">
            <v>M</v>
          </cell>
          <cell r="F229">
            <v>15.15</v>
          </cell>
          <cell r="G229">
            <v>17.7</v>
          </cell>
        </row>
        <row r="230">
          <cell r="A230">
            <v>11519</v>
          </cell>
          <cell r="B230" t="str">
            <v>MANNING</v>
          </cell>
          <cell r="C230" t="str">
            <v xml:space="preserve">  P.B</v>
          </cell>
          <cell r="E230" t="str">
            <v>M</v>
          </cell>
        </row>
        <row r="231">
          <cell r="A231">
            <v>11522</v>
          </cell>
          <cell r="B231" t="str">
            <v>WOODWARD</v>
          </cell>
          <cell r="C231" t="str">
            <v xml:space="preserve">  S.</v>
          </cell>
          <cell r="E231" t="str">
            <v>M</v>
          </cell>
        </row>
        <row r="232">
          <cell r="A232">
            <v>11528</v>
          </cell>
          <cell r="B232" t="str">
            <v>RIDDLESTONE</v>
          </cell>
          <cell r="C232" t="str">
            <v xml:space="preserve">  R.</v>
          </cell>
          <cell r="D232">
            <v>203598137</v>
          </cell>
          <cell r="E232" t="str">
            <v>M</v>
          </cell>
        </row>
        <row r="233">
          <cell r="A233">
            <v>11529</v>
          </cell>
          <cell r="B233" t="str">
            <v>SAMAVATI</v>
          </cell>
          <cell r="C233" t="str">
            <v xml:space="preserve">  S.</v>
          </cell>
          <cell r="E233" t="str">
            <v>M</v>
          </cell>
          <cell r="F233">
            <v>11.38</v>
          </cell>
          <cell r="G233">
            <v>12.69</v>
          </cell>
        </row>
        <row r="234">
          <cell r="A234">
            <v>11537</v>
          </cell>
          <cell r="B234" t="str">
            <v>ANGELL</v>
          </cell>
          <cell r="C234" t="str">
            <v xml:space="preserve">  S.M</v>
          </cell>
          <cell r="E234" t="str">
            <v>M</v>
          </cell>
        </row>
        <row r="235">
          <cell r="A235">
            <v>11542</v>
          </cell>
          <cell r="B235" t="str">
            <v>MCWEENEY</v>
          </cell>
          <cell r="C235" t="str">
            <v xml:space="preserve">  S.</v>
          </cell>
          <cell r="D235">
            <v>203598137</v>
          </cell>
          <cell r="E235" t="str">
            <v>M</v>
          </cell>
        </row>
        <row r="236">
          <cell r="A236">
            <v>11543</v>
          </cell>
          <cell r="B236" t="str">
            <v>GILL</v>
          </cell>
          <cell r="C236" t="str">
            <v xml:space="preserve">  P.</v>
          </cell>
          <cell r="E236" t="str">
            <v>M</v>
          </cell>
          <cell r="F236">
            <v>19.78</v>
          </cell>
          <cell r="G236">
            <v>14.49</v>
          </cell>
        </row>
        <row r="237">
          <cell r="A237">
            <v>11549</v>
          </cell>
          <cell r="B237" t="str">
            <v>LANE</v>
          </cell>
          <cell r="C237" t="str">
            <v xml:space="preserve">  K.</v>
          </cell>
          <cell r="D237">
            <v>203598137</v>
          </cell>
          <cell r="E237" t="str">
            <v>M</v>
          </cell>
        </row>
        <row r="238">
          <cell r="A238">
            <v>11551</v>
          </cell>
          <cell r="B238" t="str">
            <v>MCCORMICK</v>
          </cell>
          <cell r="C238" t="str">
            <v xml:space="preserve">  J.</v>
          </cell>
          <cell r="D238">
            <v>203218200</v>
          </cell>
          <cell r="E238" t="str">
            <v>M</v>
          </cell>
        </row>
        <row r="239">
          <cell r="A239">
            <v>11553</v>
          </cell>
          <cell r="B239" t="str">
            <v>MORRIS</v>
          </cell>
          <cell r="C239" t="str">
            <v xml:space="preserve">  C.</v>
          </cell>
          <cell r="E239" t="str">
            <v>M</v>
          </cell>
          <cell r="F239">
            <v>21.64</v>
          </cell>
          <cell r="G239">
            <v>15.84</v>
          </cell>
        </row>
        <row r="240">
          <cell r="A240">
            <v>11555</v>
          </cell>
          <cell r="B240" t="str">
            <v>MARTINELLI</v>
          </cell>
          <cell r="C240" t="str">
            <v xml:space="preserve">  A.</v>
          </cell>
          <cell r="D240">
            <v>203508138</v>
          </cell>
          <cell r="E240" t="str">
            <v>M</v>
          </cell>
        </row>
        <row r="241">
          <cell r="A241">
            <v>11570</v>
          </cell>
          <cell r="B241" t="str">
            <v>BURNITT</v>
          </cell>
          <cell r="C241" t="str">
            <v xml:space="preserve">  A.</v>
          </cell>
          <cell r="D241">
            <v>203218200</v>
          </cell>
          <cell r="E241" t="str">
            <v>M</v>
          </cell>
        </row>
        <row r="242">
          <cell r="A242">
            <v>11571</v>
          </cell>
          <cell r="B242" t="str">
            <v>BOYNTON</v>
          </cell>
          <cell r="C242" t="str">
            <v xml:space="preserve">  N.</v>
          </cell>
          <cell r="D242">
            <v>203218200</v>
          </cell>
          <cell r="E242" t="str">
            <v>M</v>
          </cell>
        </row>
        <row r="243">
          <cell r="A243">
            <v>11573</v>
          </cell>
          <cell r="B243" t="str">
            <v>CALLAN</v>
          </cell>
          <cell r="C243" t="str">
            <v xml:space="preserve">  L.</v>
          </cell>
          <cell r="D243">
            <v>203218200</v>
          </cell>
          <cell r="E243" t="str">
            <v>M</v>
          </cell>
        </row>
        <row r="244">
          <cell r="A244">
            <v>11575</v>
          </cell>
          <cell r="B244" t="str">
            <v>FOSTER</v>
          </cell>
          <cell r="C244" t="str">
            <v xml:space="preserve">  P.</v>
          </cell>
          <cell r="D244">
            <v>203218200</v>
          </cell>
          <cell r="E244" t="str">
            <v>M</v>
          </cell>
        </row>
        <row r="245">
          <cell r="A245">
            <v>11576</v>
          </cell>
          <cell r="B245" t="str">
            <v>GARLAND</v>
          </cell>
          <cell r="C245" t="str">
            <v xml:space="preserve">  A.</v>
          </cell>
          <cell r="D245">
            <v>203218200</v>
          </cell>
          <cell r="E245" t="str">
            <v>M</v>
          </cell>
        </row>
        <row r="246">
          <cell r="A246">
            <v>11577</v>
          </cell>
          <cell r="B246" t="str">
            <v>GLEADOW</v>
          </cell>
          <cell r="C246" t="str">
            <v xml:space="preserve">  I.</v>
          </cell>
          <cell r="D246">
            <v>203218200</v>
          </cell>
          <cell r="E246" t="str">
            <v>M</v>
          </cell>
        </row>
        <row r="247">
          <cell r="A247">
            <v>11578</v>
          </cell>
          <cell r="B247" t="str">
            <v>GRIFFIN</v>
          </cell>
          <cell r="C247" t="str">
            <v xml:space="preserve">  S.</v>
          </cell>
          <cell r="D247">
            <v>203218200</v>
          </cell>
          <cell r="E247" t="str">
            <v>M</v>
          </cell>
        </row>
        <row r="248">
          <cell r="A248">
            <v>11581</v>
          </cell>
          <cell r="B248" t="str">
            <v>HUSSEY</v>
          </cell>
          <cell r="C248" t="str">
            <v xml:space="preserve">  D.</v>
          </cell>
          <cell r="D248">
            <v>203218200</v>
          </cell>
          <cell r="E248" t="str">
            <v>M</v>
          </cell>
        </row>
        <row r="249">
          <cell r="A249">
            <v>11585</v>
          </cell>
          <cell r="B249" t="str">
            <v>IRONMONGER</v>
          </cell>
          <cell r="C249" t="str">
            <v xml:space="preserve">  L.</v>
          </cell>
          <cell r="D249">
            <v>203218200</v>
          </cell>
          <cell r="E249" t="str">
            <v>M</v>
          </cell>
        </row>
        <row r="250">
          <cell r="A250">
            <v>11586</v>
          </cell>
          <cell r="B250" t="str">
            <v>MAXWELL</v>
          </cell>
          <cell r="C250" t="str">
            <v xml:space="preserve">  G.</v>
          </cell>
          <cell r="D250">
            <v>203218200</v>
          </cell>
          <cell r="E250" t="str">
            <v>M</v>
          </cell>
        </row>
        <row r="251">
          <cell r="A251">
            <v>11587</v>
          </cell>
          <cell r="B251" t="str">
            <v>MOULD</v>
          </cell>
          <cell r="C251" t="str">
            <v xml:space="preserve">  J.</v>
          </cell>
          <cell r="D251">
            <v>203218200</v>
          </cell>
          <cell r="E251" t="str">
            <v>M</v>
          </cell>
        </row>
        <row r="252">
          <cell r="A252">
            <v>11588</v>
          </cell>
          <cell r="B252" t="str">
            <v>PALMER</v>
          </cell>
          <cell r="C252" t="str">
            <v xml:space="preserve">  E.</v>
          </cell>
          <cell r="D252">
            <v>203218200</v>
          </cell>
          <cell r="E252" t="str">
            <v>M</v>
          </cell>
        </row>
        <row r="253">
          <cell r="A253">
            <v>11590</v>
          </cell>
          <cell r="B253" t="str">
            <v>PUGH</v>
          </cell>
          <cell r="C253" t="str">
            <v xml:space="preserve">  R.</v>
          </cell>
          <cell r="D253">
            <v>203218200</v>
          </cell>
          <cell r="E253" t="str">
            <v>M</v>
          </cell>
        </row>
        <row r="254">
          <cell r="A254">
            <v>11591</v>
          </cell>
          <cell r="B254" t="str">
            <v>ROE</v>
          </cell>
          <cell r="C254" t="str">
            <v xml:space="preserve">  D.</v>
          </cell>
          <cell r="D254">
            <v>993248126</v>
          </cell>
          <cell r="E254" t="str">
            <v>M</v>
          </cell>
        </row>
        <row r="255">
          <cell r="A255">
            <v>11592</v>
          </cell>
          <cell r="B255" t="str">
            <v>DENMAN</v>
          </cell>
          <cell r="C255" t="str">
            <v xml:space="preserve">  J.</v>
          </cell>
          <cell r="D255">
            <v>203218200</v>
          </cell>
          <cell r="E255" t="str">
            <v>M</v>
          </cell>
        </row>
        <row r="256">
          <cell r="A256">
            <v>11593</v>
          </cell>
          <cell r="B256" t="str">
            <v>DRAPER</v>
          </cell>
          <cell r="C256" t="str">
            <v xml:space="preserve">  D.</v>
          </cell>
          <cell r="D256">
            <v>203218200</v>
          </cell>
          <cell r="E256" t="str">
            <v>M</v>
          </cell>
        </row>
        <row r="257">
          <cell r="A257">
            <v>11595</v>
          </cell>
          <cell r="B257" t="str">
            <v>MYERS</v>
          </cell>
          <cell r="C257" t="str">
            <v xml:space="preserve">  D.</v>
          </cell>
          <cell r="D257">
            <v>203218200</v>
          </cell>
          <cell r="E257" t="str">
            <v>M</v>
          </cell>
        </row>
        <row r="258">
          <cell r="A258">
            <v>11596</v>
          </cell>
          <cell r="B258" t="str">
            <v>SUMPTON</v>
          </cell>
          <cell r="C258" t="str">
            <v xml:space="preserve">  I.</v>
          </cell>
          <cell r="D258">
            <v>203218200</v>
          </cell>
          <cell r="E258" t="str">
            <v>M</v>
          </cell>
        </row>
        <row r="259">
          <cell r="A259">
            <v>11597</v>
          </cell>
          <cell r="B259" t="str">
            <v>BURNS</v>
          </cell>
          <cell r="C259" t="str">
            <v xml:space="preserve">  A.</v>
          </cell>
          <cell r="D259">
            <v>203218200</v>
          </cell>
          <cell r="E259" t="str">
            <v>M</v>
          </cell>
        </row>
        <row r="260">
          <cell r="A260">
            <v>11598</v>
          </cell>
          <cell r="B260" t="str">
            <v>WATSON</v>
          </cell>
          <cell r="C260" t="str">
            <v xml:space="preserve">  J.</v>
          </cell>
          <cell r="D260">
            <v>203218200</v>
          </cell>
          <cell r="E260" t="str">
            <v>M</v>
          </cell>
        </row>
        <row r="261">
          <cell r="A261">
            <v>11600</v>
          </cell>
          <cell r="B261" t="str">
            <v>GIBSON</v>
          </cell>
          <cell r="C261" t="str">
            <v xml:space="preserve">  G.</v>
          </cell>
          <cell r="E261" t="str">
            <v>M</v>
          </cell>
        </row>
        <row r="262">
          <cell r="A262">
            <v>11603</v>
          </cell>
          <cell r="B262" t="str">
            <v>DICKINSON</v>
          </cell>
          <cell r="C262" t="str">
            <v xml:space="preserve">  A.</v>
          </cell>
          <cell r="D262">
            <v>203218200</v>
          </cell>
          <cell r="E262" t="str">
            <v>M</v>
          </cell>
        </row>
        <row r="263">
          <cell r="A263">
            <v>11604</v>
          </cell>
          <cell r="B263" t="str">
            <v>LAWRENCE</v>
          </cell>
          <cell r="C263" t="str">
            <v xml:space="preserve">  N.</v>
          </cell>
          <cell r="E263" t="str">
            <v>M</v>
          </cell>
        </row>
        <row r="264">
          <cell r="A264">
            <v>11611</v>
          </cell>
          <cell r="B264" t="str">
            <v>STONE</v>
          </cell>
          <cell r="C264" t="str">
            <v xml:space="preserve">  J.</v>
          </cell>
          <cell r="D264">
            <v>203598137</v>
          </cell>
          <cell r="E264" t="str">
            <v>M</v>
          </cell>
        </row>
        <row r="265">
          <cell r="A265">
            <v>11614</v>
          </cell>
          <cell r="B265" t="str">
            <v>FLEMING</v>
          </cell>
          <cell r="C265" t="str">
            <v xml:space="preserve">  J.</v>
          </cell>
          <cell r="E265" t="str">
            <v>M</v>
          </cell>
          <cell r="F265">
            <v>16.55</v>
          </cell>
          <cell r="G265">
            <v>14.67</v>
          </cell>
        </row>
        <row r="266">
          <cell r="A266">
            <v>11616</v>
          </cell>
          <cell r="B266" t="str">
            <v>HURD</v>
          </cell>
          <cell r="C266" t="str">
            <v xml:space="preserve">  C.</v>
          </cell>
          <cell r="D266">
            <v>203218200</v>
          </cell>
          <cell r="E266" t="str">
            <v>M</v>
          </cell>
        </row>
        <row r="267">
          <cell r="A267">
            <v>11617</v>
          </cell>
          <cell r="B267" t="str">
            <v>LEACH</v>
          </cell>
          <cell r="C267" t="str">
            <v xml:space="preserve">  A.</v>
          </cell>
          <cell r="D267">
            <v>203218200</v>
          </cell>
          <cell r="E267" t="str">
            <v>M</v>
          </cell>
        </row>
        <row r="268">
          <cell r="A268">
            <v>11618</v>
          </cell>
          <cell r="B268" t="str">
            <v>MENDHAM</v>
          </cell>
          <cell r="C268" t="str">
            <v xml:space="preserve">  J.</v>
          </cell>
          <cell r="D268">
            <v>203218200</v>
          </cell>
          <cell r="E268" t="str">
            <v>M</v>
          </cell>
        </row>
        <row r="269">
          <cell r="A269">
            <v>11619</v>
          </cell>
          <cell r="B269" t="str">
            <v>ONSLOW</v>
          </cell>
          <cell r="C269" t="str">
            <v xml:space="preserve">  A.</v>
          </cell>
          <cell r="D269">
            <v>203218200</v>
          </cell>
          <cell r="E269" t="str">
            <v>M</v>
          </cell>
        </row>
        <row r="270">
          <cell r="A270">
            <v>11620</v>
          </cell>
          <cell r="B270" t="str">
            <v>RHODES</v>
          </cell>
          <cell r="C270" t="str">
            <v xml:space="preserve">  K.</v>
          </cell>
          <cell r="D270">
            <v>203218200</v>
          </cell>
          <cell r="E270" t="str">
            <v>M</v>
          </cell>
        </row>
        <row r="271">
          <cell r="A271">
            <v>11621</v>
          </cell>
          <cell r="B271" t="str">
            <v>STANNARD</v>
          </cell>
          <cell r="C271" t="str">
            <v xml:space="preserve">  K.</v>
          </cell>
          <cell r="D271">
            <v>203218200</v>
          </cell>
          <cell r="E271" t="str">
            <v>M</v>
          </cell>
        </row>
        <row r="272">
          <cell r="A272">
            <v>11622</v>
          </cell>
          <cell r="B272" t="str">
            <v>KENNEDY</v>
          </cell>
          <cell r="C272" t="str">
            <v xml:space="preserve">  P.</v>
          </cell>
          <cell r="D272">
            <v>203218200</v>
          </cell>
          <cell r="E272" t="str">
            <v>M</v>
          </cell>
        </row>
        <row r="273">
          <cell r="A273">
            <v>11623</v>
          </cell>
          <cell r="B273" t="str">
            <v>WOODWARD</v>
          </cell>
          <cell r="C273" t="str">
            <v xml:space="preserve">  S.</v>
          </cell>
          <cell r="D273">
            <v>203218200</v>
          </cell>
          <cell r="E273" t="str">
            <v>M</v>
          </cell>
        </row>
        <row r="274">
          <cell r="A274">
            <v>11624</v>
          </cell>
          <cell r="B274" t="str">
            <v>WATTS</v>
          </cell>
          <cell r="C274" t="str">
            <v xml:space="preserve">  I.</v>
          </cell>
          <cell r="E274" t="str">
            <v>M</v>
          </cell>
          <cell r="F274">
            <v>13.58</v>
          </cell>
          <cell r="G274">
            <v>16.11</v>
          </cell>
        </row>
        <row r="275">
          <cell r="A275">
            <v>11625</v>
          </cell>
          <cell r="B275" t="str">
            <v>BRACHER</v>
          </cell>
          <cell r="C275" t="str">
            <v xml:space="preserve">  R.</v>
          </cell>
          <cell r="E275" t="str">
            <v>M</v>
          </cell>
          <cell r="F275">
            <v>13.05</v>
          </cell>
          <cell r="G275">
            <v>15.39</v>
          </cell>
        </row>
        <row r="276">
          <cell r="A276">
            <v>11626</v>
          </cell>
          <cell r="B276" t="str">
            <v>PUGH</v>
          </cell>
          <cell r="C276" t="str">
            <v xml:space="preserve">  D.</v>
          </cell>
          <cell r="E276" t="str">
            <v>M</v>
          </cell>
          <cell r="F276">
            <v>17.82</v>
          </cell>
          <cell r="G276">
            <v>16.11</v>
          </cell>
        </row>
        <row r="277">
          <cell r="A277">
            <v>11635</v>
          </cell>
          <cell r="B277" t="str">
            <v>O'MALLEY</v>
          </cell>
          <cell r="C277" t="str">
            <v xml:space="preserve">  P.D</v>
          </cell>
          <cell r="E277" t="str">
            <v>M</v>
          </cell>
        </row>
        <row r="278">
          <cell r="A278">
            <v>11636</v>
          </cell>
          <cell r="B278" t="str">
            <v>SMITH</v>
          </cell>
          <cell r="C278" t="str">
            <v xml:space="preserve">  P.</v>
          </cell>
          <cell r="E278" t="str">
            <v>M</v>
          </cell>
          <cell r="F278">
            <v>21.43</v>
          </cell>
          <cell r="G278">
            <v>16.29</v>
          </cell>
        </row>
        <row r="279">
          <cell r="A279">
            <v>11637</v>
          </cell>
          <cell r="B279" t="str">
            <v>DEVER</v>
          </cell>
          <cell r="C279" t="str">
            <v xml:space="preserve">  J.</v>
          </cell>
          <cell r="E279" t="str">
            <v>M</v>
          </cell>
          <cell r="F279">
            <v>20.76</v>
          </cell>
          <cell r="G279">
            <v>31.73</v>
          </cell>
        </row>
        <row r="280">
          <cell r="A280">
            <v>11639</v>
          </cell>
          <cell r="B280" t="str">
            <v>IMPEY</v>
          </cell>
          <cell r="C280" t="str">
            <v xml:space="preserve">  B.</v>
          </cell>
          <cell r="E280" t="str">
            <v>M</v>
          </cell>
          <cell r="F280">
            <v>12.08</v>
          </cell>
          <cell r="G280">
            <v>13.59</v>
          </cell>
        </row>
        <row r="281">
          <cell r="A281">
            <v>11646</v>
          </cell>
          <cell r="B281" t="str">
            <v>FLETCHER</v>
          </cell>
          <cell r="C281" t="str">
            <v xml:space="preserve">  P.</v>
          </cell>
          <cell r="E281" t="str">
            <v>M</v>
          </cell>
          <cell r="F281">
            <v>17.46</v>
          </cell>
          <cell r="G281">
            <v>20.79</v>
          </cell>
        </row>
        <row r="282">
          <cell r="A282">
            <v>11647</v>
          </cell>
          <cell r="B282" t="str">
            <v>ABRAHAMS</v>
          </cell>
          <cell r="C282" t="str">
            <v xml:space="preserve">  C.</v>
          </cell>
          <cell r="E282" t="str">
            <v>M</v>
          </cell>
        </row>
        <row r="283">
          <cell r="A283">
            <v>11650</v>
          </cell>
          <cell r="B283" t="str">
            <v>BARRETT</v>
          </cell>
          <cell r="C283" t="str">
            <v xml:space="preserve">  M.</v>
          </cell>
          <cell r="E283" t="str">
            <v>M</v>
          </cell>
        </row>
        <row r="284">
          <cell r="A284">
            <v>11659</v>
          </cell>
          <cell r="B284" t="str">
            <v>LAWRIE</v>
          </cell>
          <cell r="C284" t="str">
            <v xml:space="preserve">  M.</v>
          </cell>
          <cell r="E284" t="str">
            <v>M</v>
          </cell>
        </row>
        <row r="285">
          <cell r="A285">
            <v>11660</v>
          </cell>
          <cell r="B285" t="str">
            <v>WALSH</v>
          </cell>
          <cell r="C285" t="str">
            <v xml:space="preserve">  S.</v>
          </cell>
          <cell r="E285" t="str">
            <v>M</v>
          </cell>
        </row>
        <row r="286">
          <cell r="A286">
            <v>11661</v>
          </cell>
          <cell r="B286" t="str">
            <v>RICKWOOD</v>
          </cell>
          <cell r="C286" t="str">
            <v xml:space="preserve">  J.</v>
          </cell>
          <cell r="E286" t="str">
            <v>M</v>
          </cell>
          <cell r="F286">
            <v>12.61</v>
          </cell>
          <cell r="G286">
            <v>14.31</v>
          </cell>
        </row>
        <row r="287">
          <cell r="A287">
            <v>11662</v>
          </cell>
          <cell r="B287" t="str">
            <v>HUGGETT</v>
          </cell>
          <cell r="C287" t="str">
            <v xml:space="preserve">  B.</v>
          </cell>
          <cell r="D287">
            <v>993228129</v>
          </cell>
          <cell r="E287" t="str">
            <v>M</v>
          </cell>
        </row>
        <row r="288">
          <cell r="A288">
            <v>11663</v>
          </cell>
          <cell r="B288" t="str">
            <v>JONES</v>
          </cell>
          <cell r="C288" t="str">
            <v xml:space="preserve">  K.</v>
          </cell>
          <cell r="E288" t="str">
            <v>M</v>
          </cell>
          <cell r="F288">
            <v>11.41</v>
          </cell>
          <cell r="G288">
            <v>13.19</v>
          </cell>
        </row>
        <row r="289">
          <cell r="A289">
            <v>11670</v>
          </cell>
          <cell r="B289" t="str">
            <v>WRIGHT</v>
          </cell>
          <cell r="C289" t="str">
            <v xml:space="preserve">  P.</v>
          </cell>
          <cell r="E289" t="str">
            <v>M</v>
          </cell>
          <cell r="F289">
            <v>19.18</v>
          </cell>
          <cell r="G289">
            <v>15.62</v>
          </cell>
        </row>
        <row r="290">
          <cell r="A290">
            <v>11671</v>
          </cell>
          <cell r="B290" t="str">
            <v>FALLON JNR</v>
          </cell>
          <cell r="C290" t="str">
            <v xml:space="preserve">  T.</v>
          </cell>
          <cell r="E290" t="str">
            <v>W</v>
          </cell>
          <cell r="F290">
            <v>14.95</v>
          </cell>
        </row>
        <row r="291">
          <cell r="A291">
            <v>11673</v>
          </cell>
          <cell r="B291" t="str">
            <v>GALE</v>
          </cell>
          <cell r="C291" t="str">
            <v xml:space="preserve">  M.</v>
          </cell>
          <cell r="E291" t="str">
            <v>M</v>
          </cell>
          <cell r="F291">
            <v>12.78</v>
          </cell>
          <cell r="G291">
            <v>14.66</v>
          </cell>
        </row>
        <row r="292">
          <cell r="A292">
            <v>11674</v>
          </cell>
          <cell r="B292" t="str">
            <v>WOODWARD</v>
          </cell>
          <cell r="C292" t="str">
            <v xml:space="preserve">  I.</v>
          </cell>
          <cell r="E292" t="str">
            <v>M</v>
          </cell>
        </row>
        <row r="293">
          <cell r="A293">
            <v>11680</v>
          </cell>
          <cell r="B293" t="str">
            <v>WOOLASS</v>
          </cell>
          <cell r="C293" t="str">
            <v xml:space="preserve">  S.</v>
          </cell>
          <cell r="D293">
            <v>203218200</v>
          </cell>
          <cell r="E293" t="str">
            <v>M</v>
          </cell>
        </row>
        <row r="294">
          <cell r="A294">
            <v>11681</v>
          </cell>
          <cell r="B294" t="str">
            <v>KOSHIAS</v>
          </cell>
          <cell r="C294" t="str">
            <v xml:space="preserve">  P.</v>
          </cell>
          <cell r="E294" t="str">
            <v>M</v>
          </cell>
          <cell r="F294">
            <v>12.75</v>
          </cell>
          <cell r="G294">
            <v>14.49</v>
          </cell>
        </row>
        <row r="295">
          <cell r="A295">
            <v>11684</v>
          </cell>
          <cell r="B295" t="str">
            <v>MORAN</v>
          </cell>
          <cell r="C295" t="str">
            <v xml:space="preserve">  S.</v>
          </cell>
          <cell r="E295" t="str">
            <v>M</v>
          </cell>
        </row>
        <row r="296">
          <cell r="A296">
            <v>11685</v>
          </cell>
          <cell r="B296" t="str">
            <v>GILVEY</v>
          </cell>
          <cell r="C296" t="str">
            <v xml:space="preserve">  S.</v>
          </cell>
          <cell r="E296" t="str">
            <v>M</v>
          </cell>
        </row>
        <row r="297">
          <cell r="A297">
            <v>11686</v>
          </cell>
          <cell r="B297" t="str">
            <v>PATTON</v>
          </cell>
          <cell r="C297" t="str">
            <v xml:space="preserve">  A.</v>
          </cell>
          <cell r="E297" t="str">
            <v>M</v>
          </cell>
        </row>
        <row r="298">
          <cell r="A298">
            <v>11696</v>
          </cell>
          <cell r="B298" t="str">
            <v>HENDRICKS</v>
          </cell>
          <cell r="C298" t="str">
            <v xml:space="preserve">  A.</v>
          </cell>
          <cell r="E298" t="str">
            <v>M</v>
          </cell>
          <cell r="F298">
            <v>22.79</v>
          </cell>
          <cell r="G298">
            <v>18.09</v>
          </cell>
        </row>
        <row r="299">
          <cell r="A299">
            <v>11697</v>
          </cell>
          <cell r="B299" t="str">
            <v>MCDEVITT</v>
          </cell>
          <cell r="C299" t="str">
            <v xml:space="preserve">  P.</v>
          </cell>
          <cell r="D299">
            <v>203598137</v>
          </cell>
          <cell r="E299" t="str">
            <v>M</v>
          </cell>
        </row>
        <row r="300">
          <cell r="A300">
            <v>11699</v>
          </cell>
          <cell r="B300" t="str">
            <v>GIBBS</v>
          </cell>
          <cell r="C300" t="str">
            <v xml:space="preserve">  M.</v>
          </cell>
          <cell r="D300">
            <v>203218200</v>
          </cell>
          <cell r="E300" t="str">
            <v>M</v>
          </cell>
        </row>
        <row r="301">
          <cell r="A301">
            <v>11700</v>
          </cell>
          <cell r="B301" t="str">
            <v>BIRTCHNELL</v>
          </cell>
          <cell r="C301" t="str">
            <v xml:space="preserve">  A.</v>
          </cell>
          <cell r="E301" t="str">
            <v>M</v>
          </cell>
          <cell r="F301">
            <v>12.75</v>
          </cell>
          <cell r="G301">
            <v>14.49</v>
          </cell>
        </row>
        <row r="302">
          <cell r="A302">
            <v>11701</v>
          </cell>
          <cell r="B302" t="str">
            <v>BARNES</v>
          </cell>
          <cell r="C302" t="str">
            <v xml:space="preserve">  P.</v>
          </cell>
          <cell r="E302" t="str">
            <v>M</v>
          </cell>
          <cell r="F302">
            <v>11.09</v>
          </cell>
          <cell r="G302">
            <v>12.1</v>
          </cell>
        </row>
        <row r="303">
          <cell r="A303">
            <v>11702</v>
          </cell>
          <cell r="B303" t="str">
            <v>CAMPBELL</v>
          </cell>
          <cell r="C303" t="str">
            <v xml:space="preserve">  C.</v>
          </cell>
          <cell r="E303" t="str">
            <v>M</v>
          </cell>
          <cell r="F303">
            <v>15.55</v>
          </cell>
          <cell r="G303">
            <v>18.07</v>
          </cell>
        </row>
        <row r="304">
          <cell r="A304">
            <v>11707</v>
          </cell>
          <cell r="B304" t="str">
            <v>PARSONS</v>
          </cell>
          <cell r="C304" t="str">
            <v xml:space="preserve">  G.</v>
          </cell>
          <cell r="E304" t="str">
            <v>M</v>
          </cell>
          <cell r="F304">
            <v>18.670000000000002</v>
          </cell>
          <cell r="G304">
            <v>14.94</v>
          </cell>
        </row>
        <row r="305">
          <cell r="A305">
            <v>11708</v>
          </cell>
          <cell r="B305" t="str">
            <v>BUTLER</v>
          </cell>
          <cell r="C305" t="str">
            <v xml:space="preserve">  D.</v>
          </cell>
          <cell r="E305" t="str">
            <v>M</v>
          </cell>
        </row>
        <row r="306">
          <cell r="A306">
            <v>11712</v>
          </cell>
          <cell r="B306" t="str">
            <v>GILL</v>
          </cell>
          <cell r="C306" t="str">
            <v xml:space="preserve">  M.</v>
          </cell>
          <cell r="E306" t="str">
            <v>M</v>
          </cell>
          <cell r="F306">
            <v>13.08</v>
          </cell>
          <cell r="G306">
            <v>14.94</v>
          </cell>
        </row>
        <row r="307">
          <cell r="A307">
            <v>11715</v>
          </cell>
          <cell r="B307" t="str">
            <v>MOGFORD</v>
          </cell>
          <cell r="C307" t="str">
            <v xml:space="preserve">  A.</v>
          </cell>
          <cell r="E307" t="str">
            <v>M</v>
          </cell>
          <cell r="F307">
            <v>12.68</v>
          </cell>
          <cell r="G307">
            <v>14.13</v>
          </cell>
        </row>
        <row r="308">
          <cell r="A308">
            <v>11716</v>
          </cell>
          <cell r="B308" t="str">
            <v>SQUIRES</v>
          </cell>
          <cell r="C308" t="str">
            <v xml:space="preserve">  P.</v>
          </cell>
          <cell r="D308">
            <v>203218200</v>
          </cell>
          <cell r="E308" t="str">
            <v>M</v>
          </cell>
        </row>
        <row r="309">
          <cell r="A309">
            <v>11717</v>
          </cell>
          <cell r="B309" t="str">
            <v>VAIL</v>
          </cell>
          <cell r="C309" t="str">
            <v xml:space="preserve">  G.W</v>
          </cell>
          <cell r="E309" t="str">
            <v>M</v>
          </cell>
        </row>
        <row r="310">
          <cell r="A310">
            <v>11718</v>
          </cell>
          <cell r="B310" t="str">
            <v>CUCUCCIO</v>
          </cell>
          <cell r="C310" t="str">
            <v xml:space="preserve">  M.</v>
          </cell>
          <cell r="E310" t="str">
            <v>M</v>
          </cell>
          <cell r="F310">
            <v>18.690000000000001</v>
          </cell>
          <cell r="G310">
            <v>18.8</v>
          </cell>
        </row>
        <row r="311">
          <cell r="A311">
            <v>11720</v>
          </cell>
          <cell r="B311" t="str">
            <v>JACKSON</v>
          </cell>
          <cell r="C311" t="str">
            <v xml:space="preserve">  G.</v>
          </cell>
          <cell r="D311">
            <v>203218200</v>
          </cell>
          <cell r="E311" t="str">
            <v>M</v>
          </cell>
        </row>
        <row r="312">
          <cell r="A312">
            <v>11721</v>
          </cell>
          <cell r="B312" t="str">
            <v>LANKHUYZEN</v>
          </cell>
          <cell r="C312" t="str">
            <v xml:space="preserve">  M.</v>
          </cell>
          <cell r="E312" t="str">
            <v>M</v>
          </cell>
          <cell r="F312">
            <v>24.58</v>
          </cell>
          <cell r="G312">
            <v>20.45</v>
          </cell>
        </row>
        <row r="313">
          <cell r="A313">
            <v>11728</v>
          </cell>
          <cell r="B313" t="str">
            <v>JUKES</v>
          </cell>
          <cell r="C313" t="str">
            <v xml:space="preserve">  R.</v>
          </cell>
          <cell r="E313" t="str">
            <v>M</v>
          </cell>
          <cell r="F313">
            <v>23.02</v>
          </cell>
          <cell r="G313">
            <v>29.83</v>
          </cell>
        </row>
        <row r="314">
          <cell r="A314">
            <v>11736</v>
          </cell>
          <cell r="B314" t="str">
            <v>BREWSTER</v>
          </cell>
          <cell r="C314" t="str">
            <v xml:space="preserve">  M.</v>
          </cell>
          <cell r="E314" t="str">
            <v>M</v>
          </cell>
          <cell r="F314">
            <v>18.43</v>
          </cell>
          <cell r="G314">
            <v>22.59</v>
          </cell>
        </row>
        <row r="315">
          <cell r="A315">
            <v>11737</v>
          </cell>
          <cell r="B315" t="str">
            <v>STUART</v>
          </cell>
          <cell r="C315" t="str">
            <v xml:space="preserve">  N.</v>
          </cell>
          <cell r="E315" t="str">
            <v>M</v>
          </cell>
        </row>
        <row r="316">
          <cell r="A316">
            <v>11738</v>
          </cell>
          <cell r="B316" t="str">
            <v>LLOYD</v>
          </cell>
          <cell r="C316" t="str">
            <v xml:space="preserve">  D.</v>
          </cell>
          <cell r="E316" t="str">
            <v>M</v>
          </cell>
        </row>
        <row r="317">
          <cell r="A317">
            <v>11739</v>
          </cell>
          <cell r="B317" t="str">
            <v>HOWE</v>
          </cell>
          <cell r="C317" t="str">
            <v xml:space="preserve">  S.</v>
          </cell>
          <cell r="E317" t="str">
            <v>M</v>
          </cell>
        </row>
        <row r="318">
          <cell r="A318">
            <v>11740</v>
          </cell>
          <cell r="B318" t="str">
            <v>SIDDALL</v>
          </cell>
          <cell r="C318" t="str">
            <v xml:space="preserve">  S.</v>
          </cell>
          <cell r="D318">
            <v>203508138</v>
          </cell>
          <cell r="E318" t="str">
            <v>M</v>
          </cell>
        </row>
        <row r="319">
          <cell r="A319">
            <v>11741</v>
          </cell>
          <cell r="B319" t="str">
            <v>HUNT</v>
          </cell>
          <cell r="C319" t="str">
            <v xml:space="preserve">  A.</v>
          </cell>
          <cell r="D319">
            <v>203508138</v>
          </cell>
          <cell r="E319" t="str">
            <v>M</v>
          </cell>
        </row>
        <row r="320">
          <cell r="A320">
            <v>11742</v>
          </cell>
          <cell r="B320" t="str">
            <v>GRANGER</v>
          </cell>
          <cell r="C320" t="str">
            <v xml:space="preserve">  C.</v>
          </cell>
          <cell r="E320" t="str">
            <v>M</v>
          </cell>
        </row>
        <row r="321">
          <cell r="A321">
            <v>11745</v>
          </cell>
          <cell r="B321" t="str">
            <v>CAMPBELL</v>
          </cell>
          <cell r="C321" t="str">
            <v xml:space="preserve">  R.S</v>
          </cell>
          <cell r="E321" t="str">
            <v>M</v>
          </cell>
          <cell r="F321">
            <v>16.21</v>
          </cell>
          <cell r="G321">
            <v>10.29</v>
          </cell>
        </row>
        <row r="322">
          <cell r="A322">
            <v>11749</v>
          </cell>
          <cell r="B322" t="str">
            <v>GRANT</v>
          </cell>
          <cell r="C322" t="str">
            <v xml:space="preserve">  K.</v>
          </cell>
          <cell r="E322" t="str">
            <v>M</v>
          </cell>
          <cell r="F322">
            <v>20.68</v>
          </cell>
          <cell r="G322">
            <v>15.84</v>
          </cell>
        </row>
        <row r="323">
          <cell r="A323">
            <v>11750</v>
          </cell>
          <cell r="B323" t="str">
            <v>WILDE</v>
          </cell>
          <cell r="C323" t="str">
            <v xml:space="preserve">  C.</v>
          </cell>
          <cell r="E323" t="str">
            <v>M</v>
          </cell>
          <cell r="F323">
            <v>19.3</v>
          </cell>
          <cell r="G323">
            <v>18.09</v>
          </cell>
        </row>
        <row r="324">
          <cell r="A324">
            <v>11751</v>
          </cell>
          <cell r="B324" t="str">
            <v>BREWSTER</v>
          </cell>
          <cell r="C324" t="str">
            <v xml:space="preserve">  J.</v>
          </cell>
          <cell r="E324" t="str">
            <v>M</v>
          </cell>
          <cell r="F324">
            <v>16.07</v>
          </cell>
          <cell r="G324">
            <v>18.989999999999998</v>
          </cell>
        </row>
        <row r="325">
          <cell r="A325">
            <v>11756</v>
          </cell>
          <cell r="B325" t="str">
            <v>TONGE</v>
          </cell>
          <cell r="C325" t="str">
            <v xml:space="preserve">  P.</v>
          </cell>
          <cell r="E325" t="str">
            <v>M</v>
          </cell>
        </row>
        <row r="326">
          <cell r="A326">
            <v>11760</v>
          </cell>
          <cell r="B326" t="str">
            <v>HALL</v>
          </cell>
          <cell r="C326" t="str">
            <v xml:space="preserve">  J.L</v>
          </cell>
          <cell r="E326" t="str">
            <v>W</v>
          </cell>
          <cell r="F326">
            <v>16.600000000000001</v>
          </cell>
        </row>
        <row r="327">
          <cell r="A327">
            <v>11761</v>
          </cell>
          <cell r="B327" t="str">
            <v>LARKIN</v>
          </cell>
          <cell r="C327" t="str">
            <v xml:space="preserve">  E.</v>
          </cell>
          <cell r="E327" t="str">
            <v>M</v>
          </cell>
          <cell r="F327">
            <v>14.93</v>
          </cell>
          <cell r="G327">
            <v>17.420000000000002</v>
          </cell>
        </row>
        <row r="328">
          <cell r="A328">
            <v>11762</v>
          </cell>
          <cell r="B328" t="str">
            <v>MORRISON</v>
          </cell>
          <cell r="C328" t="str">
            <v xml:space="preserve">  G.</v>
          </cell>
          <cell r="E328" t="str">
            <v>M</v>
          </cell>
          <cell r="F328">
            <v>15.78</v>
          </cell>
          <cell r="G328">
            <v>14.94</v>
          </cell>
        </row>
        <row r="329">
          <cell r="A329">
            <v>11763</v>
          </cell>
          <cell r="B329" t="str">
            <v>METZ</v>
          </cell>
          <cell r="C329" t="str">
            <v xml:space="preserve">  P.</v>
          </cell>
          <cell r="E329" t="str">
            <v>M</v>
          </cell>
          <cell r="F329">
            <v>15.4</v>
          </cell>
          <cell r="G329">
            <v>18.09</v>
          </cell>
        </row>
        <row r="330">
          <cell r="A330">
            <v>11764</v>
          </cell>
          <cell r="B330" t="str">
            <v>STEWART</v>
          </cell>
          <cell r="C330" t="str">
            <v xml:space="preserve">  P.</v>
          </cell>
          <cell r="D330">
            <v>203108122</v>
          </cell>
          <cell r="E330" t="str">
            <v>M</v>
          </cell>
        </row>
        <row r="331">
          <cell r="A331">
            <v>11767</v>
          </cell>
          <cell r="B331" t="str">
            <v>JENNINGS</v>
          </cell>
          <cell r="C331" t="str">
            <v xml:space="preserve">  G.</v>
          </cell>
          <cell r="D331">
            <v>203108122</v>
          </cell>
          <cell r="E331" t="str">
            <v>M</v>
          </cell>
        </row>
        <row r="332">
          <cell r="A332">
            <v>11768</v>
          </cell>
          <cell r="B332" t="str">
            <v>GRAY</v>
          </cell>
          <cell r="C332" t="str">
            <v xml:space="preserve">  G.</v>
          </cell>
          <cell r="D332">
            <v>203108122</v>
          </cell>
          <cell r="E332" t="str">
            <v>M</v>
          </cell>
        </row>
        <row r="333">
          <cell r="A333">
            <v>11769</v>
          </cell>
          <cell r="B333" t="str">
            <v>WHITTAKER</v>
          </cell>
          <cell r="C333" t="str">
            <v xml:space="preserve">  R.</v>
          </cell>
          <cell r="E333" t="str">
            <v>M</v>
          </cell>
          <cell r="F333">
            <v>11.09</v>
          </cell>
          <cell r="G333">
            <v>12.1</v>
          </cell>
        </row>
        <row r="334">
          <cell r="A334">
            <v>11772</v>
          </cell>
          <cell r="B334" t="str">
            <v>BURDEN</v>
          </cell>
          <cell r="C334" t="str">
            <v xml:space="preserve">  D.</v>
          </cell>
          <cell r="E334" t="str">
            <v>M</v>
          </cell>
        </row>
        <row r="335">
          <cell r="A335">
            <v>11775</v>
          </cell>
          <cell r="B335" t="str">
            <v>MITCHELL</v>
          </cell>
          <cell r="C335" t="str">
            <v xml:space="preserve">  P.</v>
          </cell>
          <cell r="D335">
            <v>203598137</v>
          </cell>
          <cell r="E335" t="str">
            <v>M</v>
          </cell>
        </row>
        <row r="336">
          <cell r="A336">
            <v>11776</v>
          </cell>
          <cell r="B336" t="str">
            <v>HARRISON</v>
          </cell>
          <cell r="C336" t="str">
            <v xml:space="preserve">  D.</v>
          </cell>
          <cell r="D336">
            <v>203508138</v>
          </cell>
          <cell r="E336" t="str">
            <v>M</v>
          </cell>
        </row>
        <row r="337">
          <cell r="A337">
            <v>11780</v>
          </cell>
          <cell r="B337" t="str">
            <v>FERRETT</v>
          </cell>
          <cell r="C337" t="str">
            <v xml:space="preserve">  N.</v>
          </cell>
          <cell r="D337">
            <v>203508138</v>
          </cell>
          <cell r="E337" t="str">
            <v>M</v>
          </cell>
        </row>
        <row r="338">
          <cell r="A338">
            <v>11781</v>
          </cell>
          <cell r="B338" t="str">
            <v>NEWMAN</v>
          </cell>
          <cell r="C338" t="str">
            <v xml:space="preserve">  M.</v>
          </cell>
          <cell r="E338" t="str">
            <v>M</v>
          </cell>
          <cell r="F338">
            <v>13.38</v>
          </cell>
          <cell r="G338">
            <v>15.84</v>
          </cell>
        </row>
        <row r="339">
          <cell r="A339">
            <v>11782</v>
          </cell>
          <cell r="B339" t="str">
            <v>GROVES</v>
          </cell>
          <cell r="C339" t="str">
            <v xml:space="preserve">  S.</v>
          </cell>
          <cell r="E339" t="str">
            <v>W</v>
          </cell>
        </row>
        <row r="340">
          <cell r="A340">
            <v>11783</v>
          </cell>
          <cell r="B340" t="str">
            <v>HUNTER</v>
          </cell>
          <cell r="C340" t="str">
            <v xml:space="preserve">  K.</v>
          </cell>
          <cell r="E340" t="str">
            <v>M</v>
          </cell>
          <cell r="F340">
            <v>12.26</v>
          </cell>
          <cell r="G340">
            <v>15.09</v>
          </cell>
        </row>
        <row r="341">
          <cell r="A341">
            <v>11784</v>
          </cell>
          <cell r="B341" t="str">
            <v>LLOYD</v>
          </cell>
          <cell r="C341" t="str">
            <v xml:space="preserve">  N.</v>
          </cell>
          <cell r="E341" t="str">
            <v>M</v>
          </cell>
        </row>
        <row r="342">
          <cell r="A342">
            <v>11799</v>
          </cell>
          <cell r="B342" t="str">
            <v>TURNER</v>
          </cell>
          <cell r="C342" t="str">
            <v xml:space="preserve">  C.</v>
          </cell>
          <cell r="E342" t="str">
            <v>M</v>
          </cell>
          <cell r="F342">
            <v>15.04</v>
          </cell>
          <cell r="G342">
            <v>17.190000000000001</v>
          </cell>
        </row>
        <row r="343">
          <cell r="A343">
            <v>11806</v>
          </cell>
          <cell r="B343" t="str">
            <v>MARTIN</v>
          </cell>
          <cell r="C343" t="str">
            <v xml:space="preserve">  E.</v>
          </cell>
          <cell r="D343">
            <v>203598137</v>
          </cell>
          <cell r="E343" t="str">
            <v>M</v>
          </cell>
        </row>
        <row r="344">
          <cell r="A344">
            <v>11808</v>
          </cell>
          <cell r="B344" t="str">
            <v>GILHAM</v>
          </cell>
          <cell r="C344" t="str">
            <v xml:space="preserve">  P.</v>
          </cell>
          <cell r="E344" t="str">
            <v>M</v>
          </cell>
          <cell r="F344">
            <v>23.1</v>
          </cell>
          <cell r="G344">
            <v>18.54</v>
          </cell>
        </row>
        <row r="345">
          <cell r="A345">
            <v>11817</v>
          </cell>
          <cell r="B345" t="str">
            <v>DICKERSON</v>
          </cell>
          <cell r="C345" t="str">
            <v xml:space="preserve">  M.</v>
          </cell>
          <cell r="D345">
            <v>203508138</v>
          </cell>
          <cell r="E345" t="str">
            <v>M</v>
          </cell>
        </row>
        <row r="346">
          <cell r="A346">
            <v>11818</v>
          </cell>
          <cell r="B346" t="str">
            <v>MATTHEW</v>
          </cell>
          <cell r="C346" t="str">
            <v xml:space="preserve">  J.</v>
          </cell>
          <cell r="D346">
            <v>203508138</v>
          </cell>
          <cell r="E346" t="str">
            <v>M</v>
          </cell>
        </row>
        <row r="347">
          <cell r="A347">
            <v>11825</v>
          </cell>
          <cell r="B347" t="str">
            <v>BOTHA</v>
          </cell>
          <cell r="C347" t="str">
            <v xml:space="preserve">  D.</v>
          </cell>
          <cell r="E347" t="str">
            <v>W</v>
          </cell>
          <cell r="F347">
            <v>16.440000000000001</v>
          </cell>
          <cell r="G347">
            <v>16.940000000000001</v>
          </cell>
        </row>
        <row r="348">
          <cell r="A348">
            <v>11827</v>
          </cell>
          <cell r="B348" t="str">
            <v>FOX</v>
          </cell>
          <cell r="C348" t="str">
            <v xml:space="preserve">  A.</v>
          </cell>
          <cell r="D348">
            <v>203518081</v>
          </cell>
          <cell r="E348" t="str">
            <v>M</v>
          </cell>
        </row>
        <row r="349">
          <cell r="A349">
            <v>11828</v>
          </cell>
          <cell r="B349" t="str">
            <v>WHITE</v>
          </cell>
          <cell r="C349" t="str">
            <v xml:space="preserve">  C.</v>
          </cell>
          <cell r="E349" t="str">
            <v>M</v>
          </cell>
        </row>
        <row r="350">
          <cell r="A350">
            <v>11831</v>
          </cell>
          <cell r="B350" t="str">
            <v>SHEPPARD</v>
          </cell>
          <cell r="C350" t="str">
            <v xml:space="preserve">  D.</v>
          </cell>
          <cell r="D350">
            <v>203598137</v>
          </cell>
          <cell r="E350" t="str">
            <v>M</v>
          </cell>
        </row>
        <row r="351">
          <cell r="A351">
            <v>11832</v>
          </cell>
          <cell r="B351" t="str">
            <v>HOPKINS</v>
          </cell>
          <cell r="C351" t="str">
            <v xml:space="preserve">  J.</v>
          </cell>
          <cell r="E351" t="str">
            <v>M</v>
          </cell>
        </row>
        <row r="352">
          <cell r="A352">
            <v>11833</v>
          </cell>
          <cell r="B352" t="str">
            <v>BRYER</v>
          </cell>
          <cell r="C352" t="str">
            <v xml:space="preserve">  P.</v>
          </cell>
          <cell r="E352" t="str">
            <v>M</v>
          </cell>
          <cell r="F352">
            <v>19.73</v>
          </cell>
        </row>
        <row r="353">
          <cell r="A353">
            <v>11834</v>
          </cell>
          <cell r="B353" t="str">
            <v>RUSSELL</v>
          </cell>
          <cell r="C353" t="str">
            <v xml:space="preserve">  P.</v>
          </cell>
          <cell r="E353" t="str">
            <v>M</v>
          </cell>
        </row>
        <row r="354">
          <cell r="A354">
            <v>11838</v>
          </cell>
          <cell r="B354" t="str">
            <v>RYAN</v>
          </cell>
          <cell r="C354" t="str">
            <v xml:space="preserve">  D.</v>
          </cell>
          <cell r="E354" t="str">
            <v>M</v>
          </cell>
          <cell r="F354">
            <v>17.04</v>
          </cell>
          <cell r="G354">
            <v>16.09</v>
          </cell>
        </row>
        <row r="355">
          <cell r="A355">
            <v>11839</v>
          </cell>
          <cell r="B355" t="str">
            <v>BENNETT</v>
          </cell>
          <cell r="C355" t="str">
            <v xml:space="preserve">  A.</v>
          </cell>
          <cell r="D355">
            <v>203508138</v>
          </cell>
          <cell r="E355" t="str">
            <v>M</v>
          </cell>
        </row>
        <row r="356">
          <cell r="A356">
            <v>11846</v>
          </cell>
          <cell r="B356" t="str">
            <v>DWYER</v>
          </cell>
          <cell r="C356" t="str">
            <v xml:space="preserve">  L.</v>
          </cell>
          <cell r="E356" t="str">
            <v>M</v>
          </cell>
          <cell r="F356">
            <v>15.03</v>
          </cell>
          <cell r="G356">
            <v>17.38</v>
          </cell>
        </row>
        <row r="357">
          <cell r="A357">
            <v>11847</v>
          </cell>
          <cell r="B357" t="str">
            <v>BRATELY</v>
          </cell>
          <cell r="C357" t="str">
            <v xml:space="preserve">  R.</v>
          </cell>
          <cell r="D357">
            <v>203218200</v>
          </cell>
          <cell r="E357" t="str">
            <v>M</v>
          </cell>
        </row>
        <row r="358">
          <cell r="A358">
            <v>11848</v>
          </cell>
          <cell r="B358" t="str">
            <v>EWING</v>
          </cell>
          <cell r="C358" t="str">
            <v xml:space="preserve">  G.</v>
          </cell>
          <cell r="E358" t="str">
            <v>M</v>
          </cell>
          <cell r="F358">
            <v>20</v>
          </cell>
          <cell r="G358">
            <v>14.94</v>
          </cell>
        </row>
        <row r="359">
          <cell r="A359">
            <v>11849</v>
          </cell>
          <cell r="B359" t="str">
            <v>SMITH</v>
          </cell>
          <cell r="C359" t="str">
            <v xml:space="preserve">  R.</v>
          </cell>
          <cell r="E359" t="str">
            <v>M</v>
          </cell>
        </row>
        <row r="360">
          <cell r="A360">
            <v>11855</v>
          </cell>
          <cell r="B360" t="str">
            <v>LAU</v>
          </cell>
          <cell r="C360" t="str">
            <v xml:space="preserve">  K.M</v>
          </cell>
          <cell r="E360" t="str">
            <v>M</v>
          </cell>
          <cell r="F360">
            <v>16.84</v>
          </cell>
          <cell r="G360">
            <v>25.55</v>
          </cell>
        </row>
        <row r="361">
          <cell r="A361">
            <v>11857</v>
          </cell>
          <cell r="B361" t="str">
            <v>GREETHAM</v>
          </cell>
          <cell r="C361" t="str">
            <v xml:space="preserve">  P.</v>
          </cell>
          <cell r="D361">
            <v>203218200</v>
          </cell>
          <cell r="E361" t="str">
            <v>M</v>
          </cell>
        </row>
        <row r="362">
          <cell r="A362">
            <v>11858</v>
          </cell>
          <cell r="B362" t="str">
            <v>WILLIAMS</v>
          </cell>
          <cell r="C362" t="str">
            <v xml:space="preserve">  F.</v>
          </cell>
          <cell r="E362" t="str">
            <v>M</v>
          </cell>
          <cell r="F362">
            <v>8.6300000000000008</v>
          </cell>
          <cell r="G362">
            <v>9.27</v>
          </cell>
        </row>
        <row r="363">
          <cell r="A363">
            <v>11859</v>
          </cell>
          <cell r="B363" t="str">
            <v>DAVIS</v>
          </cell>
          <cell r="C363" t="str">
            <v xml:space="preserve">  W.</v>
          </cell>
          <cell r="E363" t="str">
            <v>M</v>
          </cell>
        </row>
        <row r="364">
          <cell r="A364">
            <v>11867</v>
          </cell>
          <cell r="B364" t="str">
            <v>QUERIPEL</v>
          </cell>
          <cell r="C364" t="str">
            <v xml:space="preserve">  G.</v>
          </cell>
          <cell r="D364">
            <v>203408140</v>
          </cell>
          <cell r="E364" t="str">
            <v>M</v>
          </cell>
        </row>
        <row r="365">
          <cell r="A365">
            <v>11868</v>
          </cell>
          <cell r="B365" t="str">
            <v>LUNN</v>
          </cell>
          <cell r="C365" t="str">
            <v xml:space="preserve">  R.</v>
          </cell>
          <cell r="D365">
            <v>203408140</v>
          </cell>
          <cell r="E365" t="str">
            <v>M</v>
          </cell>
        </row>
        <row r="366">
          <cell r="A366">
            <v>11869</v>
          </cell>
          <cell r="B366" t="str">
            <v>GREEN</v>
          </cell>
          <cell r="C366" t="str">
            <v xml:space="preserve">  S.</v>
          </cell>
          <cell r="D366">
            <v>203408140</v>
          </cell>
          <cell r="E366" t="str">
            <v>M</v>
          </cell>
        </row>
        <row r="367">
          <cell r="A367">
            <v>11870</v>
          </cell>
          <cell r="B367" t="str">
            <v>MILLS</v>
          </cell>
          <cell r="C367" t="str">
            <v xml:space="preserve">  D.</v>
          </cell>
          <cell r="D367">
            <v>203408140</v>
          </cell>
          <cell r="E367" t="str">
            <v>M</v>
          </cell>
        </row>
        <row r="368">
          <cell r="A368">
            <v>11871</v>
          </cell>
          <cell r="B368" t="str">
            <v>NIVEN</v>
          </cell>
          <cell r="C368" t="str">
            <v xml:space="preserve">  D.</v>
          </cell>
          <cell r="D368">
            <v>203408140</v>
          </cell>
          <cell r="E368" t="str">
            <v>M</v>
          </cell>
        </row>
        <row r="369">
          <cell r="A369">
            <v>11872</v>
          </cell>
          <cell r="B369" t="str">
            <v>GILLIAN</v>
          </cell>
          <cell r="C369" t="str">
            <v xml:space="preserve">  J.</v>
          </cell>
          <cell r="D369">
            <v>203408140</v>
          </cell>
          <cell r="E369" t="str">
            <v>M</v>
          </cell>
        </row>
        <row r="370">
          <cell r="A370">
            <v>11873</v>
          </cell>
          <cell r="B370" t="str">
            <v>THOMAS</v>
          </cell>
          <cell r="C370" t="str">
            <v xml:space="preserve">  C.</v>
          </cell>
          <cell r="D370">
            <v>203408140</v>
          </cell>
          <cell r="E370" t="str">
            <v>M</v>
          </cell>
        </row>
        <row r="371">
          <cell r="A371">
            <v>11874</v>
          </cell>
          <cell r="B371" t="str">
            <v>ATKINSON</v>
          </cell>
          <cell r="C371" t="str">
            <v xml:space="preserve">  E.</v>
          </cell>
          <cell r="E371" t="str">
            <v>M</v>
          </cell>
          <cell r="F371">
            <v>27.27</v>
          </cell>
          <cell r="G371">
            <v>43.91</v>
          </cell>
        </row>
        <row r="372">
          <cell r="A372">
            <v>11875</v>
          </cell>
          <cell r="B372" t="str">
            <v>HAYWOOD</v>
          </cell>
          <cell r="C372" t="str">
            <v xml:space="preserve">  C.</v>
          </cell>
          <cell r="D372">
            <v>203408140</v>
          </cell>
          <cell r="E372" t="str">
            <v>M</v>
          </cell>
        </row>
        <row r="373">
          <cell r="A373">
            <v>11884</v>
          </cell>
          <cell r="B373" t="str">
            <v>BROOKS</v>
          </cell>
          <cell r="C373" t="str">
            <v xml:space="preserve">  P.</v>
          </cell>
          <cell r="E373" t="str">
            <v>M</v>
          </cell>
          <cell r="F373">
            <v>14.23</v>
          </cell>
          <cell r="G373">
            <v>16.48</v>
          </cell>
        </row>
        <row r="374">
          <cell r="A374">
            <v>11885</v>
          </cell>
          <cell r="B374" t="str">
            <v>HOWELL</v>
          </cell>
          <cell r="C374" t="str">
            <v xml:space="preserve">  D.</v>
          </cell>
          <cell r="E374" t="str">
            <v>M</v>
          </cell>
          <cell r="F374">
            <v>15.1</v>
          </cell>
          <cell r="G374">
            <v>17.64</v>
          </cell>
        </row>
        <row r="375">
          <cell r="A375">
            <v>11886</v>
          </cell>
          <cell r="B375" t="str">
            <v>HOWE</v>
          </cell>
          <cell r="C375" t="str">
            <v xml:space="preserve">  R.</v>
          </cell>
          <cell r="E375" t="str">
            <v>M</v>
          </cell>
          <cell r="F375">
            <v>13.97</v>
          </cell>
          <cell r="G375">
            <v>16.29</v>
          </cell>
        </row>
        <row r="376">
          <cell r="A376">
            <v>11887</v>
          </cell>
          <cell r="B376" t="str">
            <v>CAMPBELL</v>
          </cell>
          <cell r="C376" t="str">
            <v xml:space="preserve">  R.J</v>
          </cell>
          <cell r="D376">
            <v>203108122</v>
          </cell>
          <cell r="E376" t="str">
            <v>M</v>
          </cell>
        </row>
        <row r="377">
          <cell r="A377">
            <v>11888</v>
          </cell>
          <cell r="B377" t="str">
            <v>SUMSION</v>
          </cell>
          <cell r="C377" t="str">
            <v xml:space="preserve">  M.</v>
          </cell>
          <cell r="E377" t="str">
            <v>M</v>
          </cell>
          <cell r="F377">
            <v>12.75</v>
          </cell>
          <cell r="G377">
            <v>14.49</v>
          </cell>
        </row>
        <row r="378">
          <cell r="A378">
            <v>11889</v>
          </cell>
          <cell r="B378" t="str">
            <v>LUXFORD</v>
          </cell>
          <cell r="C378" t="str">
            <v xml:space="preserve">  S.</v>
          </cell>
          <cell r="E378" t="str">
            <v>M</v>
          </cell>
          <cell r="F378">
            <v>13.76</v>
          </cell>
          <cell r="G378">
            <v>15.84</v>
          </cell>
        </row>
        <row r="379">
          <cell r="A379">
            <v>11902</v>
          </cell>
          <cell r="B379" t="str">
            <v>GRANT</v>
          </cell>
          <cell r="C379" t="str">
            <v xml:space="preserve">  A.</v>
          </cell>
          <cell r="D379">
            <v>203598137</v>
          </cell>
          <cell r="E379" t="str">
            <v>M</v>
          </cell>
        </row>
        <row r="380">
          <cell r="A380">
            <v>11903</v>
          </cell>
          <cell r="B380" t="str">
            <v>KENNY</v>
          </cell>
          <cell r="C380" t="str">
            <v xml:space="preserve">  P.</v>
          </cell>
          <cell r="E380" t="str">
            <v>M</v>
          </cell>
          <cell r="F380">
            <v>29.33</v>
          </cell>
        </row>
        <row r="381">
          <cell r="A381">
            <v>11904</v>
          </cell>
          <cell r="B381" t="str">
            <v>TERREY</v>
          </cell>
          <cell r="C381" t="str">
            <v xml:space="preserve">  W.</v>
          </cell>
          <cell r="D381">
            <v>203508138</v>
          </cell>
          <cell r="E381" t="str">
            <v>M</v>
          </cell>
        </row>
        <row r="382">
          <cell r="A382">
            <v>11916</v>
          </cell>
          <cell r="B382" t="str">
            <v>OVERY</v>
          </cell>
          <cell r="C382" t="str">
            <v xml:space="preserve">  D.</v>
          </cell>
          <cell r="E382" t="str">
            <v>M</v>
          </cell>
          <cell r="F382">
            <v>22.33</v>
          </cell>
          <cell r="G382">
            <v>17.48</v>
          </cell>
        </row>
        <row r="383">
          <cell r="A383">
            <v>11917</v>
          </cell>
          <cell r="B383" t="str">
            <v>WING</v>
          </cell>
          <cell r="C383" t="str">
            <v xml:space="preserve">  P.</v>
          </cell>
          <cell r="D383">
            <v>203508138</v>
          </cell>
          <cell r="E383" t="str">
            <v>M</v>
          </cell>
        </row>
        <row r="384">
          <cell r="A384">
            <v>11918</v>
          </cell>
          <cell r="B384" t="str">
            <v>HAPTINSTALL</v>
          </cell>
          <cell r="C384" t="str">
            <v xml:space="preserve">  R.</v>
          </cell>
          <cell r="D384">
            <v>203508138</v>
          </cell>
          <cell r="E384" t="str">
            <v>M</v>
          </cell>
        </row>
        <row r="385">
          <cell r="A385">
            <v>11919</v>
          </cell>
          <cell r="B385" t="str">
            <v>KIRBY</v>
          </cell>
          <cell r="C385" t="str">
            <v xml:space="preserve">  K.</v>
          </cell>
          <cell r="E385" t="str">
            <v>M</v>
          </cell>
        </row>
        <row r="386">
          <cell r="A386">
            <v>11920</v>
          </cell>
          <cell r="B386" t="str">
            <v>CLARE</v>
          </cell>
          <cell r="C386" t="str">
            <v xml:space="preserve">  D.</v>
          </cell>
          <cell r="D386">
            <v>203598137</v>
          </cell>
          <cell r="E386" t="str">
            <v>M</v>
          </cell>
        </row>
        <row r="387">
          <cell r="A387">
            <v>11923</v>
          </cell>
          <cell r="B387" t="str">
            <v>CAMPBELL</v>
          </cell>
          <cell r="C387" t="str">
            <v xml:space="preserve">  L.</v>
          </cell>
          <cell r="E387" t="str">
            <v>M</v>
          </cell>
        </row>
        <row r="388">
          <cell r="A388">
            <v>11924</v>
          </cell>
          <cell r="B388" t="str">
            <v>KELLY</v>
          </cell>
          <cell r="C388" t="str">
            <v xml:space="preserve">  P.</v>
          </cell>
          <cell r="E388" t="str">
            <v>M</v>
          </cell>
          <cell r="F388">
            <v>16.11</v>
          </cell>
          <cell r="G388">
            <v>21.24</v>
          </cell>
        </row>
        <row r="389">
          <cell r="A389">
            <v>11926</v>
          </cell>
          <cell r="B389" t="str">
            <v>JANSSEN</v>
          </cell>
          <cell r="C389" t="str">
            <v xml:space="preserve">  M.</v>
          </cell>
          <cell r="E389" t="str">
            <v>M</v>
          </cell>
          <cell r="F389">
            <v>21.77</v>
          </cell>
          <cell r="G389">
            <v>16.29</v>
          </cell>
        </row>
        <row r="390">
          <cell r="A390">
            <v>11935</v>
          </cell>
          <cell r="B390" t="str">
            <v>EGGETT</v>
          </cell>
          <cell r="C390" t="str">
            <v xml:space="preserve">  M.</v>
          </cell>
          <cell r="D390">
            <v>983127254</v>
          </cell>
          <cell r="E390" t="str">
            <v>M</v>
          </cell>
        </row>
        <row r="391">
          <cell r="A391">
            <v>11936</v>
          </cell>
          <cell r="B391" t="str">
            <v>GOLDFINCH</v>
          </cell>
          <cell r="C391" t="str">
            <v xml:space="preserve">  P.</v>
          </cell>
          <cell r="D391">
            <v>203508138</v>
          </cell>
          <cell r="E391" t="str">
            <v>M</v>
          </cell>
        </row>
        <row r="392">
          <cell r="A392">
            <v>11937</v>
          </cell>
          <cell r="B392" t="str">
            <v>REID</v>
          </cell>
          <cell r="C392" t="str">
            <v xml:space="preserve">  G.</v>
          </cell>
          <cell r="D392">
            <v>203508138</v>
          </cell>
          <cell r="E392" t="str">
            <v>M</v>
          </cell>
        </row>
        <row r="393">
          <cell r="A393">
            <v>11951</v>
          </cell>
          <cell r="B393" t="str">
            <v>BUCHAN</v>
          </cell>
          <cell r="C393" t="str">
            <v xml:space="preserve">  S.</v>
          </cell>
          <cell r="D393">
            <v>983127254</v>
          </cell>
          <cell r="E393" t="str">
            <v>M</v>
          </cell>
        </row>
        <row r="394">
          <cell r="A394">
            <v>11954</v>
          </cell>
          <cell r="B394" t="str">
            <v>LOIZOU</v>
          </cell>
          <cell r="C394" t="str">
            <v xml:space="preserve">  S.</v>
          </cell>
          <cell r="E394" t="str">
            <v>M</v>
          </cell>
        </row>
        <row r="395">
          <cell r="A395">
            <v>11955</v>
          </cell>
          <cell r="B395" t="str">
            <v>NAVAROTNAM</v>
          </cell>
          <cell r="C395" t="str">
            <v xml:space="preserve">  S.</v>
          </cell>
          <cell r="E395" t="str">
            <v>M</v>
          </cell>
          <cell r="F395">
            <v>24.44</v>
          </cell>
          <cell r="G395">
            <v>22.14</v>
          </cell>
        </row>
        <row r="396">
          <cell r="A396">
            <v>11956</v>
          </cell>
          <cell r="B396" t="str">
            <v>OLIVER</v>
          </cell>
          <cell r="C396" t="str">
            <v xml:space="preserve">  G.</v>
          </cell>
          <cell r="D396">
            <v>203598137</v>
          </cell>
          <cell r="E396" t="str">
            <v>M</v>
          </cell>
        </row>
        <row r="397">
          <cell r="A397">
            <v>11957</v>
          </cell>
          <cell r="B397" t="str">
            <v>OLIVER</v>
          </cell>
          <cell r="C397" t="str">
            <v xml:space="preserve">  M.</v>
          </cell>
          <cell r="D397">
            <v>203508138</v>
          </cell>
          <cell r="E397" t="str">
            <v>W</v>
          </cell>
        </row>
        <row r="398">
          <cell r="A398">
            <v>11958</v>
          </cell>
          <cell r="B398" t="str">
            <v>GREEN</v>
          </cell>
          <cell r="C398" t="str">
            <v xml:space="preserve">  P.</v>
          </cell>
          <cell r="D398">
            <v>203598137</v>
          </cell>
          <cell r="E398" t="str">
            <v>M</v>
          </cell>
        </row>
        <row r="399">
          <cell r="A399">
            <v>11959</v>
          </cell>
          <cell r="B399" t="str">
            <v>VAUGHAN JONES</v>
          </cell>
          <cell r="C399" t="str">
            <v xml:space="preserve">  D.</v>
          </cell>
          <cell r="E399" t="str">
            <v>M</v>
          </cell>
          <cell r="F399">
            <v>14.53</v>
          </cell>
          <cell r="G399">
            <v>13.14</v>
          </cell>
        </row>
        <row r="400">
          <cell r="A400">
            <v>11972</v>
          </cell>
          <cell r="B400" t="str">
            <v>STEWERT</v>
          </cell>
          <cell r="C400" t="str">
            <v xml:space="preserve">  A.</v>
          </cell>
          <cell r="E400" t="str">
            <v>M</v>
          </cell>
          <cell r="F400">
            <v>23.13</v>
          </cell>
          <cell r="G400">
            <v>18.54</v>
          </cell>
        </row>
        <row r="401">
          <cell r="A401">
            <v>11974</v>
          </cell>
          <cell r="B401" t="str">
            <v>PRESHNER</v>
          </cell>
          <cell r="C401" t="str">
            <v xml:space="preserve">  C.</v>
          </cell>
          <cell r="D401">
            <v>203508138</v>
          </cell>
          <cell r="E401" t="str">
            <v>W</v>
          </cell>
        </row>
        <row r="402">
          <cell r="A402">
            <v>11975</v>
          </cell>
          <cell r="B402" t="str">
            <v>HALL</v>
          </cell>
          <cell r="C402" t="str">
            <v xml:space="preserve">  T.</v>
          </cell>
          <cell r="D402">
            <v>203598137</v>
          </cell>
          <cell r="E402" t="str">
            <v>M</v>
          </cell>
        </row>
        <row r="403">
          <cell r="A403">
            <v>11976</v>
          </cell>
          <cell r="B403" t="str">
            <v>DOWNES</v>
          </cell>
          <cell r="C403" t="str">
            <v xml:space="preserve">  N.</v>
          </cell>
          <cell r="D403">
            <v>203218200</v>
          </cell>
          <cell r="E403" t="str">
            <v>M</v>
          </cell>
        </row>
        <row r="404">
          <cell r="A404">
            <v>11977</v>
          </cell>
          <cell r="B404" t="str">
            <v>PLATT</v>
          </cell>
          <cell r="C404" t="str">
            <v xml:space="preserve">  D.</v>
          </cell>
          <cell r="E404" t="str">
            <v>M</v>
          </cell>
          <cell r="F404">
            <v>24.87</v>
          </cell>
        </row>
        <row r="405">
          <cell r="A405">
            <v>11989</v>
          </cell>
          <cell r="B405" t="str">
            <v>GOW</v>
          </cell>
          <cell r="C405" t="str">
            <v xml:space="preserve">  S.</v>
          </cell>
          <cell r="D405">
            <v>203508138</v>
          </cell>
          <cell r="E405" t="str">
            <v>M</v>
          </cell>
        </row>
        <row r="406">
          <cell r="A406">
            <v>11990</v>
          </cell>
          <cell r="B406" t="str">
            <v>LETTS</v>
          </cell>
          <cell r="C406" t="str">
            <v xml:space="preserve">  S.</v>
          </cell>
          <cell r="D406">
            <v>203598137</v>
          </cell>
          <cell r="E406" t="str">
            <v>M</v>
          </cell>
        </row>
        <row r="407">
          <cell r="A407">
            <v>11991</v>
          </cell>
          <cell r="B407" t="str">
            <v>JESSOP</v>
          </cell>
          <cell r="C407" t="str">
            <v xml:space="preserve">  C.</v>
          </cell>
          <cell r="E407" t="str">
            <v>M</v>
          </cell>
        </row>
        <row r="408">
          <cell r="A408">
            <v>11993</v>
          </cell>
          <cell r="B408" t="str">
            <v>SMITH</v>
          </cell>
          <cell r="C408" t="str">
            <v xml:space="preserve">  S.J</v>
          </cell>
          <cell r="E408" t="str">
            <v>M</v>
          </cell>
          <cell r="F408">
            <v>15.34</v>
          </cell>
          <cell r="G408">
            <v>18.09</v>
          </cell>
        </row>
        <row r="409">
          <cell r="A409">
            <v>11994</v>
          </cell>
          <cell r="B409" t="str">
            <v>DRURY</v>
          </cell>
          <cell r="C409" t="str">
            <v xml:space="preserve">  T.</v>
          </cell>
          <cell r="D409">
            <v>203218200</v>
          </cell>
          <cell r="E409" t="str">
            <v>M</v>
          </cell>
        </row>
        <row r="410">
          <cell r="A410">
            <v>12003</v>
          </cell>
          <cell r="B410" t="str">
            <v>JOHNSTON</v>
          </cell>
          <cell r="C410" t="str">
            <v xml:space="preserve">  C.</v>
          </cell>
          <cell r="E410" t="str">
            <v>M</v>
          </cell>
          <cell r="F410">
            <v>5.01</v>
          </cell>
        </row>
        <row r="411">
          <cell r="A411">
            <v>12004</v>
          </cell>
          <cell r="B411" t="str">
            <v>BROWN</v>
          </cell>
          <cell r="C411" t="str">
            <v xml:space="preserve">  P.</v>
          </cell>
          <cell r="E411" t="str">
            <v>M</v>
          </cell>
        </row>
        <row r="412">
          <cell r="A412">
            <v>12005</v>
          </cell>
          <cell r="B412" t="str">
            <v>GITTINS</v>
          </cell>
          <cell r="C412" t="str">
            <v xml:space="preserve">  M.</v>
          </cell>
          <cell r="E412" t="str">
            <v>M</v>
          </cell>
          <cell r="F412">
            <v>15.49</v>
          </cell>
          <cell r="G412">
            <v>21.43</v>
          </cell>
        </row>
        <row r="413">
          <cell r="A413">
            <v>12018</v>
          </cell>
          <cell r="B413" t="str">
            <v>AUBERTON</v>
          </cell>
          <cell r="C413" t="str">
            <v xml:space="preserve">  D.</v>
          </cell>
          <cell r="E413" t="str">
            <v>M</v>
          </cell>
          <cell r="F413">
            <v>20.55</v>
          </cell>
          <cell r="G413">
            <v>18.09</v>
          </cell>
        </row>
        <row r="414">
          <cell r="A414">
            <v>12019</v>
          </cell>
          <cell r="B414" t="str">
            <v>MANCINI</v>
          </cell>
          <cell r="C414" t="str">
            <v xml:space="preserve">  R.</v>
          </cell>
          <cell r="E414" t="str">
            <v>M</v>
          </cell>
          <cell r="F414">
            <v>15.86</v>
          </cell>
          <cell r="G414">
            <v>14.5</v>
          </cell>
        </row>
        <row r="415">
          <cell r="A415">
            <v>12020</v>
          </cell>
          <cell r="B415" t="str">
            <v>HAWLEY</v>
          </cell>
          <cell r="C415" t="str">
            <v xml:space="preserve">  M.</v>
          </cell>
          <cell r="E415" t="str">
            <v>M</v>
          </cell>
          <cell r="F415">
            <v>17.59</v>
          </cell>
        </row>
        <row r="416">
          <cell r="A416">
            <v>12022</v>
          </cell>
          <cell r="B416" t="str">
            <v>PARKINSON</v>
          </cell>
          <cell r="C416" t="str">
            <v xml:space="preserve">  D.</v>
          </cell>
          <cell r="E416" t="str">
            <v>M</v>
          </cell>
          <cell r="F416">
            <v>19.68</v>
          </cell>
          <cell r="G416">
            <v>16.32</v>
          </cell>
        </row>
        <row r="417">
          <cell r="A417">
            <v>12025</v>
          </cell>
          <cell r="B417" t="str">
            <v>SEXTON</v>
          </cell>
          <cell r="C417" t="str">
            <v xml:space="preserve">  J.</v>
          </cell>
          <cell r="E417" t="str">
            <v>M</v>
          </cell>
        </row>
        <row r="418">
          <cell r="A418">
            <v>12026</v>
          </cell>
          <cell r="B418" t="str">
            <v>FAIRLEY</v>
          </cell>
          <cell r="C418" t="str">
            <v xml:space="preserve">  A.</v>
          </cell>
          <cell r="E418" t="str">
            <v>M</v>
          </cell>
        </row>
        <row r="419">
          <cell r="A419">
            <v>12028</v>
          </cell>
          <cell r="B419" t="str">
            <v>ZOUAIN</v>
          </cell>
          <cell r="C419" t="str">
            <v xml:space="preserve">  J.</v>
          </cell>
          <cell r="D419">
            <v>203508138</v>
          </cell>
          <cell r="E419" t="str">
            <v>M</v>
          </cell>
        </row>
        <row r="420">
          <cell r="A420">
            <v>12032</v>
          </cell>
          <cell r="B420" t="str">
            <v>HOLT</v>
          </cell>
          <cell r="C420" t="str">
            <v xml:space="preserve">  N.W</v>
          </cell>
          <cell r="E420" t="str">
            <v>M</v>
          </cell>
        </row>
        <row r="421">
          <cell r="A421">
            <v>12035</v>
          </cell>
          <cell r="B421" t="str">
            <v>CAMPBELL</v>
          </cell>
          <cell r="C421" t="str">
            <v xml:space="preserve">  D.</v>
          </cell>
          <cell r="D421">
            <v>203168070</v>
          </cell>
          <cell r="E421" t="str">
            <v>M</v>
          </cell>
        </row>
        <row r="422">
          <cell r="A422">
            <v>12036</v>
          </cell>
          <cell r="B422" t="str">
            <v>FISHER</v>
          </cell>
          <cell r="C422" t="str">
            <v xml:space="preserve">  R.</v>
          </cell>
          <cell r="E422" t="str">
            <v>M</v>
          </cell>
          <cell r="F422">
            <v>20.53</v>
          </cell>
          <cell r="G422">
            <v>25.42</v>
          </cell>
        </row>
        <row r="423">
          <cell r="A423">
            <v>12038</v>
          </cell>
          <cell r="B423" t="str">
            <v>CAMPBELL</v>
          </cell>
          <cell r="C423" t="str">
            <v xml:space="preserve">  A.</v>
          </cell>
          <cell r="E423" t="str">
            <v>M</v>
          </cell>
          <cell r="F423">
            <v>16.41</v>
          </cell>
          <cell r="G423">
            <v>15.84</v>
          </cell>
        </row>
        <row r="424">
          <cell r="A424">
            <v>12039</v>
          </cell>
          <cell r="B424" t="str">
            <v>CLAY</v>
          </cell>
          <cell r="C424" t="str">
            <v xml:space="preserve">  P.</v>
          </cell>
          <cell r="E424" t="str">
            <v>M</v>
          </cell>
          <cell r="F424">
            <v>28.14</v>
          </cell>
        </row>
        <row r="425">
          <cell r="A425">
            <v>12040</v>
          </cell>
          <cell r="B425" t="str">
            <v>FOSTER</v>
          </cell>
          <cell r="C425" t="str">
            <v xml:space="preserve">  M.P</v>
          </cell>
          <cell r="E425" t="str">
            <v>M</v>
          </cell>
          <cell r="F425">
            <v>15.1</v>
          </cell>
          <cell r="G425">
            <v>17.64</v>
          </cell>
        </row>
        <row r="426">
          <cell r="A426">
            <v>12041</v>
          </cell>
          <cell r="B426" t="str">
            <v>WILLIAMS</v>
          </cell>
          <cell r="C426" t="str">
            <v xml:space="preserve">  E.</v>
          </cell>
          <cell r="D426">
            <v>203508138</v>
          </cell>
          <cell r="E426" t="str">
            <v>W</v>
          </cell>
        </row>
        <row r="427">
          <cell r="A427">
            <v>12042</v>
          </cell>
          <cell r="B427" t="str">
            <v>MARKS</v>
          </cell>
          <cell r="C427" t="str">
            <v xml:space="preserve">  E.</v>
          </cell>
          <cell r="D427">
            <v>203508138</v>
          </cell>
          <cell r="E427" t="str">
            <v>M</v>
          </cell>
        </row>
        <row r="428">
          <cell r="A428">
            <v>12043</v>
          </cell>
          <cell r="B428" t="str">
            <v>HAIGH</v>
          </cell>
          <cell r="C428" t="str">
            <v xml:space="preserve">  I.</v>
          </cell>
          <cell r="D428">
            <v>203168070</v>
          </cell>
          <cell r="E428" t="str">
            <v>M</v>
          </cell>
        </row>
        <row r="429">
          <cell r="A429">
            <v>12044</v>
          </cell>
          <cell r="B429" t="str">
            <v>HARDING</v>
          </cell>
          <cell r="C429" t="str">
            <v xml:space="preserve">  R.</v>
          </cell>
          <cell r="E429" t="str">
            <v>M</v>
          </cell>
        </row>
        <row r="430">
          <cell r="A430">
            <v>12046</v>
          </cell>
          <cell r="B430" t="str">
            <v>HASLAM</v>
          </cell>
          <cell r="C430" t="str">
            <v xml:space="preserve">  G.</v>
          </cell>
          <cell r="E430" t="str">
            <v>M</v>
          </cell>
          <cell r="F430">
            <v>15.62</v>
          </cell>
          <cell r="G430">
            <v>18.09</v>
          </cell>
        </row>
        <row r="431">
          <cell r="A431">
            <v>12047</v>
          </cell>
          <cell r="B431" t="str">
            <v>CIOFFI</v>
          </cell>
          <cell r="C431" t="str">
            <v xml:space="preserve">  F.</v>
          </cell>
          <cell r="E431" t="str">
            <v>M</v>
          </cell>
          <cell r="F431">
            <v>14.52</v>
          </cell>
          <cell r="G431">
            <v>13.59</v>
          </cell>
        </row>
        <row r="432">
          <cell r="A432">
            <v>12050</v>
          </cell>
          <cell r="B432" t="str">
            <v>GRAY</v>
          </cell>
          <cell r="C432" t="str">
            <v xml:space="preserve">  J.</v>
          </cell>
          <cell r="E432" t="str">
            <v>M</v>
          </cell>
        </row>
        <row r="433">
          <cell r="A433">
            <v>12051</v>
          </cell>
          <cell r="B433" t="str">
            <v>ARMSTRONG</v>
          </cell>
          <cell r="C433" t="str">
            <v xml:space="preserve">  F.</v>
          </cell>
          <cell r="D433">
            <v>203508138</v>
          </cell>
          <cell r="E433" t="str">
            <v>M</v>
          </cell>
        </row>
        <row r="434">
          <cell r="A434">
            <v>12052</v>
          </cell>
          <cell r="B434" t="str">
            <v>EVANS</v>
          </cell>
          <cell r="C434" t="str">
            <v xml:space="preserve">  E.</v>
          </cell>
          <cell r="D434">
            <v>203508138</v>
          </cell>
          <cell r="E434" t="str">
            <v>M</v>
          </cell>
        </row>
        <row r="435">
          <cell r="A435">
            <v>12053</v>
          </cell>
          <cell r="B435" t="str">
            <v>BARGEWELL</v>
          </cell>
          <cell r="C435" t="str">
            <v xml:space="preserve">  P.</v>
          </cell>
          <cell r="E435" t="str">
            <v>M</v>
          </cell>
          <cell r="F435">
            <v>15.62</v>
          </cell>
          <cell r="G435">
            <v>18.09</v>
          </cell>
        </row>
        <row r="436">
          <cell r="A436">
            <v>12054</v>
          </cell>
          <cell r="B436" t="str">
            <v>CARLTON</v>
          </cell>
          <cell r="C436" t="str">
            <v xml:space="preserve">  S.</v>
          </cell>
          <cell r="E436" t="str">
            <v>M</v>
          </cell>
          <cell r="F436">
            <v>15.44</v>
          </cell>
          <cell r="G436">
            <v>18.09</v>
          </cell>
        </row>
        <row r="437">
          <cell r="A437">
            <v>12067</v>
          </cell>
          <cell r="B437" t="str">
            <v>GILSENAN</v>
          </cell>
          <cell r="C437" t="str">
            <v xml:space="preserve">  J.</v>
          </cell>
          <cell r="E437" t="str">
            <v>M</v>
          </cell>
          <cell r="F437">
            <v>15.95</v>
          </cell>
          <cell r="G437">
            <v>18.09</v>
          </cell>
        </row>
        <row r="438">
          <cell r="A438">
            <v>12074</v>
          </cell>
          <cell r="B438" t="str">
            <v>LEWIS</v>
          </cell>
          <cell r="C438" t="str">
            <v xml:space="preserve">  R.</v>
          </cell>
          <cell r="E438" t="str">
            <v>M</v>
          </cell>
        </row>
        <row r="439">
          <cell r="A439">
            <v>12075</v>
          </cell>
          <cell r="B439" t="str">
            <v>DIPPLE</v>
          </cell>
          <cell r="C439" t="str">
            <v xml:space="preserve">  W.</v>
          </cell>
          <cell r="E439" t="str">
            <v>M</v>
          </cell>
          <cell r="F439">
            <v>16.11</v>
          </cell>
          <cell r="G439">
            <v>18.989999999999998</v>
          </cell>
        </row>
        <row r="440">
          <cell r="A440">
            <v>12096</v>
          </cell>
          <cell r="B440" t="str">
            <v>COLLIER</v>
          </cell>
          <cell r="C440" t="str">
            <v xml:space="preserve">  S.</v>
          </cell>
          <cell r="D440">
            <v>203508138</v>
          </cell>
          <cell r="E440" t="str">
            <v>M</v>
          </cell>
        </row>
        <row r="441">
          <cell r="A441">
            <v>12097</v>
          </cell>
          <cell r="B441" t="str">
            <v>WHELAN</v>
          </cell>
          <cell r="C441" t="str">
            <v xml:space="preserve">  T.</v>
          </cell>
          <cell r="D441">
            <v>203508138</v>
          </cell>
          <cell r="E441" t="str">
            <v>M</v>
          </cell>
        </row>
        <row r="442">
          <cell r="A442">
            <v>12098</v>
          </cell>
          <cell r="B442" t="str">
            <v>FREDERICKS</v>
          </cell>
          <cell r="C442" t="str">
            <v xml:space="preserve">  L.</v>
          </cell>
          <cell r="E442" t="str">
            <v>M</v>
          </cell>
          <cell r="F442">
            <v>15.95</v>
          </cell>
          <cell r="G442">
            <v>18.09</v>
          </cell>
        </row>
        <row r="443">
          <cell r="A443">
            <v>12100</v>
          </cell>
          <cell r="B443" t="str">
            <v>NICHOLSON</v>
          </cell>
          <cell r="C443" t="str">
            <v xml:space="preserve">  C.</v>
          </cell>
          <cell r="E443" t="str">
            <v>M</v>
          </cell>
        </row>
        <row r="444">
          <cell r="A444">
            <v>12111</v>
          </cell>
          <cell r="B444" t="str">
            <v>RUBERY</v>
          </cell>
          <cell r="C444" t="str">
            <v xml:space="preserve">  D.</v>
          </cell>
          <cell r="D444">
            <v>203598137</v>
          </cell>
          <cell r="E444" t="str">
            <v>M</v>
          </cell>
        </row>
        <row r="445">
          <cell r="A445">
            <v>12112</v>
          </cell>
          <cell r="B445" t="str">
            <v>MCDINE</v>
          </cell>
          <cell r="C445" t="str">
            <v xml:space="preserve">  K.I</v>
          </cell>
          <cell r="E445" t="str">
            <v>M</v>
          </cell>
        </row>
        <row r="446">
          <cell r="A446">
            <v>12113</v>
          </cell>
          <cell r="B446" t="str">
            <v>YORKE</v>
          </cell>
          <cell r="C446" t="str">
            <v xml:space="preserve">  M.</v>
          </cell>
          <cell r="D446">
            <v>203218200</v>
          </cell>
          <cell r="E446" t="str">
            <v>M</v>
          </cell>
        </row>
        <row r="447">
          <cell r="A447">
            <v>12114</v>
          </cell>
          <cell r="B447" t="str">
            <v>BLACKMORE</v>
          </cell>
          <cell r="C447" t="str">
            <v xml:space="preserve">  D.</v>
          </cell>
          <cell r="E447" t="str">
            <v>M</v>
          </cell>
          <cell r="F447">
            <v>26.34</v>
          </cell>
          <cell r="G447">
            <v>22.59</v>
          </cell>
        </row>
        <row r="448">
          <cell r="A448">
            <v>12122</v>
          </cell>
          <cell r="B448" t="str">
            <v>TAYLOR</v>
          </cell>
          <cell r="C448" t="str">
            <v xml:space="preserve">  S.</v>
          </cell>
          <cell r="E448" t="str">
            <v>M</v>
          </cell>
          <cell r="F448">
            <v>17.95</v>
          </cell>
          <cell r="G448">
            <v>20.95</v>
          </cell>
        </row>
        <row r="449">
          <cell r="A449">
            <v>12123</v>
          </cell>
          <cell r="B449" t="str">
            <v>NELSON</v>
          </cell>
          <cell r="C449" t="str">
            <v xml:space="preserve">  I.</v>
          </cell>
          <cell r="D449">
            <v>203598137</v>
          </cell>
          <cell r="E449" t="str">
            <v>M</v>
          </cell>
        </row>
        <row r="450">
          <cell r="A450">
            <v>12125</v>
          </cell>
          <cell r="B450" t="str">
            <v>MCGUINNESS</v>
          </cell>
          <cell r="C450" t="str">
            <v xml:space="preserve">  N.</v>
          </cell>
          <cell r="E450" t="str">
            <v>M</v>
          </cell>
          <cell r="F450">
            <v>20.95</v>
          </cell>
          <cell r="G450">
            <v>24.82</v>
          </cell>
        </row>
        <row r="451">
          <cell r="A451">
            <v>12126</v>
          </cell>
          <cell r="B451" t="str">
            <v>NASH</v>
          </cell>
          <cell r="C451" t="str">
            <v xml:space="preserve">  K.</v>
          </cell>
          <cell r="E451" t="str">
            <v>M</v>
          </cell>
        </row>
        <row r="452">
          <cell r="A452">
            <v>12127</v>
          </cell>
          <cell r="B452" t="str">
            <v>DUNN</v>
          </cell>
          <cell r="C452" t="str">
            <v xml:space="preserve">  C.</v>
          </cell>
          <cell r="E452" t="str">
            <v>M</v>
          </cell>
          <cell r="F452">
            <v>15.18</v>
          </cell>
          <cell r="G452">
            <v>17.7</v>
          </cell>
        </row>
        <row r="453">
          <cell r="A453">
            <v>12131</v>
          </cell>
          <cell r="B453" t="str">
            <v>TURNER</v>
          </cell>
          <cell r="C453" t="str">
            <v xml:space="preserve">  P.T</v>
          </cell>
          <cell r="E453" t="str">
            <v>M</v>
          </cell>
        </row>
        <row r="454">
          <cell r="A454">
            <v>12133</v>
          </cell>
          <cell r="B454" t="str">
            <v>BROCKLEBANK</v>
          </cell>
          <cell r="C454" t="str">
            <v xml:space="preserve">  D.A</v>
          </cell>
          <cell r="E454" t="str">
            <v>M</v>
          </cell>
          <cell r="F454">
            <v>25.96</v>
          </cell>
        </row>
        <row r="455">
          <cell r="A455">
            <v>12136</v>
          </cell>
          <cell r="B455" t="str">
            <v>PIKE</v>
          </cell>
          <cell r="C455" t="str">
            <v xml:space="preserve">  M.</v>
          </cell>
          <cell r="D455">
            <v>203378284</v>
          </cell>
          <cell r="E455" t="str">
            <v>M</v>
          </cell>
        </row>
        <row r="456">
          <cell r="A456">
            <v>12137</v>
          </cell>
          <cell r="B456" t="str">
            <v>BARROTT-CHAMBERS</v>
          </cell>
          <cell r="C456" t="str">
            <v xml:space="preserve">  B.</v>
          </cell>
          <cell r="D456">
            <v>993518250</v>
          </cell>
          <cell r="E456" t="str">
            <v>M</v>
          </cell>
        </row>
        <row r="457">
          <cell r="A457">
            <v>12138</v>
          </cell>
          <cell r="B457" t="str">
            <v>FAIRLEY</v>
          </cell>
          <cell r="C457" t="str">
            <v xml:space="preserve">  M.</v>
          </cell>
          <cell r="E457" t="str">
            <v>M</v>
          </cell>
        </row>
        <row r="458">
          <cell r="A458">
            <v>12140</v>
          </cell>
          <cell r="B458" t="str">
            <v>STRAW</v>
          </cell>
          <cell r="C458" t="str">
            <v xml:space="preserve">  M.</v>
          </cell>
          <cell r="E458" t="str">
            <v>M</v>
          </cell>
          <cell r="F458">
            <v>17.59</v>
          </cell>
          <cell r="G458">
            <v>15.39</v>
          </cell>
        </row>
        <row r="459">
          <cell r="A459">
            <v>12141</v>
          </cell>
          <cell r="B459" t="str">
            <v>FORBES</v>
          </cell>
          <cell r="C459" t="str">
            <v xml:space="preserve">  A.</v>
          </cell>
          <cell r="E459" t="str">
            <v>M</v>
          </cell>
          <cell r="F459">
            <v>16.100000000000001</v>
          </cell>
          <cell r="G459">
            <v>18.63</v>
          </cell>
        </row>
        <row r="460">
          <cell r="A460">
            <v>12144</v>
          </cell>
          <cell r="B460" t="str">
            <v>BIRCH</v>
          </cell>
          <cell r="C460" t="str">
            <v xml:space="preserve">  R.</v>
          </cell>
          <cell r="D460">
            <v>203508138</v>
          </cell>
          <cell r="E460" t="str">
            <v>M</v>
          </cell>
        </row>
        <row r="461">
          <cell r="A461">
            <v>12145</v>
          </cell>
          <cell r="B461" t="str">
            <v>WHITWORTH</v>
          </cell>
          <cell r="C461" t="str">
            <v xml:space="preserve">  S.</v>
          </cell>
          <cell r="D461">
            <v>203408150</v>
          </cell>
          <cell r="E461" t="str">
            <v>M</v>
          </cell>
        </row>
        <row r="462">
          <cell r="A462">
            <v>12146</v>
          </cell>
          <cell r="B462" t="str">
            <v>DIGBY</v>
          </cell>
          <cell r="C462" t="str">
            <v xml:space="preserve">  M.</v>
          </cell>
          <cell r="E462" t="str">
            <v>M</v>
          </cell>
          <cell r="F462">
            <v>17.309999999999999</v>
          </cell>
          <cell r="G462">
            <v>15.39</v>
          </cell>
        </row>
        <row r="463">
          <cell r="A463">
            <v>12148</v>
          </cell>
          <cell r="B463" t="str">
            <v>LAWTON</v>
          </cell>
          <cell r="C463" t="str">
            <v xml:space="preserve">  J.</v>
          </cell>
          <cell r="E463" t="str">
            <v>M</v>
          </cell>
        </row>
        <row r="464">
          <cell r="A464">
            <v>12149</v>
          </cell>
          <cell r="B464" t="str">
            <v>MULLER</v>
          </cell>
          <cell r="C464" t="str">
            <v xml:space="preserve">  U.</v>
          </cell>
          <cell r="D464">
            <v>203522252</v>
          </cell>
          <cell r="E464" t="str">
            <v>M</v>
          </cell>
        </row>
        <row r="465">
          <cell r="A465">
            <v>12151</v>
          </cell>
          <cell r="B465" t="str">
            <v>SCHIFF</v>
          </cell>
          <cell r="C465" t="str">
            <v xml:space="preserve">  R.</v>
          </cell>
          <cell r="E465" t="str">
            <v>M</v>
          </cell>
          <cell r="F465">
            <v>15.75</v>
          </cell>
          <cell r="G465">
            <v>18.63</v>
          </cell>
        </row>
        <row r="466">
          <cell r="A466">
            <v>12152</v>
          </cell>
          <cell r="B466" t="str">
            <v>BINSTEAD</v>
          </cell>
          <cell r="C466" t="str">
            <v xml:space="preserve">  R.</v>
          </cell>
          <cell r="D466">
            <v>203508138</v>
          </cell>
          <cell r="E466" t="str">
            <v>M</v>
          </cell>
        </row>
        <row r="467">
          <cell r="A467">
            <v>12153</v>
          </cell>
          <cell r="B467" t="str">
            <v>WARREN</v>
          </cell>
          <cell r="C467" t="str">
            <v xml:space="preserve">  S.</v>
          </cell>
          <cell r="E467" t="str">
            <v>M</v>
          </cell>
          <cell r="F467">
            <v>13.76</v>
          </cell>
          <cell r="G467">
            <v>15.85</v>
          </cell>
        </row>
        <row r="468">
          <cell r="A468">
            <v>12154</v>
          </cell>
          <cell r="B468" t="str">
            <v>GRIFFITHS</v>
          </cell>
          <cell r="C468" t="str">
            <v xml:space="preserve">  C.</v>
          </cell>
          <cell r="E468" t="str">
            <v>M</v>
          </cell>
          <cell r="F468">
            <v>18.38</v>
          </cell>
          <cell r="G468">
            <v>16.309999999999999</v>
          </cell>
        </row>
        <row r="469">
          <cell r="A469">
            <v>12155</v>
          </cell>
          <cell r="B469" t="str">
            <v>GRANT</v>
          </cell>
          <cell r="C469" t="str">
            <v xml:space="preserve">  R.</v>
          </cell>
          <cell r="E469" t="str">
            <v>M</v>
          </cell>
          <cell r="F469">
            <v>12.61</v>
          </cell>
          <cell r="G469">
            <v>14</v>
          </cell>
        </row>
        <row r="470">
          <cell r="A470">
            <v>12164</v>
          </cell>
          <cell r="B470" t="str">
            <v>FARLER</v>
          </cell>
          <cell r="C470" t="str">
            <v xml:space="preserve">  J.</v>
          </cell>
          <cell r="E470" t="str">
            <v>M</v>
          </cell>
          <cell r="F470">
            <v>14.43</v>
          </cell>
          <cell r="G470">
            <v>17.239999999999998</v>
          </cell>
        </row>
        <row r="471">
          <cell r="A471">
            <v>12174</v>
          </cell>
          <cell r="B471" t="str">
            <v>LLOYD</v>
          </cell>
          <cell r="C471" t="str">
            <v xml:space="preserve">  D.</v>
          </cell>
          <cell r="E471" t="str">
            <v>M</v>
          </cell>
        </row>
        <row r="472">
          <cell r="A472">
            <v>12175</v>
          </cell>
          <cell r="B472" t="str">
            <v>CARTMELL</v>
          </cell>
          <cell r="C472" t="str">
            <v xml:space="preserve">  A.</v>
          </cell>
          <cell r="E472" t="str">
            <v>M</v>
          </cell>
          <cell r="F472">
            <v>17.71</v>
          </cell>
          <cell r="G472">
            <v>20.49</v>
          </cell>
        </row>
        <row r="473">
          <cell r="A473">
            <v>12176</v>
          </cell>
          <cell r="B473" t="str">
            <v>COLLINGS</v>
          </cell>
          <cell r="C473" t="str">
            <v xml:space="preserve">  P.</v>
          </cell>
          <cell r="D473">
            <v>203528043</v>
          </cell>
          <cell r="E473" t="str">
            <v>M</v>
          </cell>
        </row>
        <row r="474">
          <cell r="A474">
            <v>12179</v>
          </cell>
          <cell r="B474" t="str">
            <v>BARNARD</v>
          </cell>
          <cell r="C474" t="str">
            <v xml:space="preserve">  A.</v>
          </cell>
          <cell r="E474" t="str">
            <v>M</v>
          </cell>
        </row>
        <row r="475">
          <cell r="A475">
            <v>12186</v>
          </cell>
          <cell r="B475" t="str">
            <v>JEROME</v>
          </cell>
          <cell r="C475" t="str">
            <v xml:space="preserve">  D.</v>
          </cell>
          <cell r="E475" t="str">
            <v>M</v>
          </cell>
          <cell r="F475">
            <v>16.239999999999998</v>
          </cell>
          <cell r="G475">
            <v>14</v>
          </cell>
        </row>
        <row r="476">
          <cell r="A476">
            <v>12190</v>
          </cell>
          <cell r="B476" t="str">
            <v>ANDREWS</v>
          </cell>
          <cell r="C476" t="str">
            <v xml:space="preserve">  P.</v>
          </cell>
          <cell r="D476">
            <v>203408140</v>
          </cell>
          <cell r="E476" t="str">
            <v>M</v>
          </cell>
        </row>
        <row r="477">
          <cell r="A477">
            <v>12192</v>
          </cell>
          <cell r="B477" t="str">
            <v>COCKLIN</v>
          </cell>
          <cell r="C477" t="str">
            <v xml:space="preserve">  J.</v>
          </cell>
          <cell r="E477" t="str">
            <v>M</v>
          </cell>
          <cell r="F477">
            <v>15.15</v>
          </cell>
          <cell r="G477">
            <v>17.7</v>
          </cell>
        </row>
        <row r="478">
          <cell r="A478">
            <v>12198</v>
          </cell>
          <cell r="B478" t="str">
            <v>HILL</v>
          </cell>
          <cell r="C478" t="str">
            <v xml:space="preserve">  E.</v>
          </cell>
          <cell r="E478" t="str">
            <v>M</v>
          </cell>
        </row>
        <row r="479">
          <cell r="A479">
            <v>12200</v>
          </cell>
          <cell r="B479" t="str">
            <v>SPICKETT</v>
          </cell>
          <cell r="C479" t="str">
            <v xml:space="preserve">  B.</v>
          </cell>
          <cell r="D479">
            <v>203518081</v>
          </cell>
          <cell r="E479" t="str">
            <v>M</v>
          </cell>
        </row>
        <row r="480">
          <cell r="A480">
            <v>12201</v>
          </cell>
          <cell r="B480" t="str">
            <v>HULL</v>
          </cell>
          <cell r="C480" t="str">
            <v xml:space="preserve">  M.</v>
          </cell>
          <cell r="D480">
            <v>203518081</v>
          </cell>
          <cell r="E480" t="str">
            <v>M</v>
          </cell>
        </row>
        <row r="481">
          <cell r="A481">
            <v>12202</v>
          </cell>
          <cell r="B481" t="str">
            <v>SUNDERLAND</v>
          </cell>
          <cell r="C481" t="str">
            <v xml:space="preserve">  M.</v>
          </cell>
          <cell r="D481">
            <v>203518081</v>
          </cell>
          <cell r="E481" t="str">
            <v>M</v>
          </cell>
        </row>
        <row r="482">
          <cell r="A482">
            <v>12204</v>
          </cell>
          <cell r="B482" t="str">
            <v>GARNETT</v>
          </cell>
          <cell r="C482" t="str">
            <v xml:space="preserve">  J.</v>
          </cell>
          <cell r="E482" t="str">
            <v>M</v>
          </cell>
        </row>
        <row r="483">
          <cell r="A483">
            <v>85702</v>
          </cell>
          <cell r="B483" t="str">
            <v>KENNERLEY</v>
          </cell>
          <cell r="C483" t="str">
            <v xml:space="preserve">  M.</v>
          </cell>
          <cell r="E483" t="str">
            <v>M</v>
          </cell>
        </row>
        <row r="484">
          <cell r="A484">
            <v>85712</v>
          </cell>
          <cell r="B484" t="str">
            <v>STENNING</v>
          </cell>
          <cell r="C484" t="str">
            <v xml:space="preserve">  J.</v>
          </cell>
          <cell r="E484" t="str">
            <v>M</v>
          </cell>
        </row>
        <row r="485">
          <cell r="A485">
            <v>85810</v>
          </cell>
          <cell r="B485" t="str">
            <v>HUNT</v>
          </cell>
          <cell r="C485" t="str">
            <v xml:space="preserve">  J.</v>
          </cell>
          <cell r="E485" t="str">
            <v>M</v>
          </cell>
          <cell r="F485">
            <v>18.329999999999998</v>
          </cell>
          <cell r="G485">
            <v>16.739999999999998</v>
          </cell>
        </row>
        <row r="486">
          <cell r="A486">
            <v>85926</v>
          </cell>
          <cell r="B486" t="str">
            <v>DUFFIELD</v>
          </cell>
          <cell r="C486" t="str">
            <v xml:space="preserve">  B.J</v>
          </cell>
          <cell r="E486" t="str">
            <v>M</v>
          </cell>
        </row>
        <row r="487">
          <cell r="A487">
            <v>89566</v>
          </cell>
          <cell r="B487" t="str">
            <v>COUGHLAN</v>
          </cell>
          <cell r="C487" t="str">
            <v xml:space="preserve">  A.C</v>
          </cell>
          <cell r="E487" t="str">
            <v>M</v>
          </cell>
        </row>
        <row r="488">
          <cell r="A488">
            <v>90057</v>
          </cell>
          <cell r="B488" t="str">
            <v>CLARKE</v>
          </cell>
          <cell r="C488" t="str">
            <v xml:space="preserve">  A.L</v>
          </cell>
          <cell r="E488" t="str">
            <v>M</v>
          </cell>
        </row>
        <row r="489">
          <cell r="A489">
            <v>90066</v>
          </cell>
          <cell r="B489" t="str">
            <v>LEONARD</v>
          </cell>
          <cell r="C489" t="str">
            <v xml:space="preserve">  T.</v>
          </cell>
          <cell r="E489" t="str">
            <v>M</v>
          </cell>
        </row>
        <row r="490">
          <cell r="A490">
            <v>90071</v>
          </cell>
          <cell r="B490" t="str">
            <v>MCINERNEY</v>
          </cell>
          <cell r="C490" t="str">
            <v xml:space="preserve">  P.</v>
          </cell>
          <cell r="E490" t="str">
            <v>M</v>
          </cell>
        </row>
        <row r="491">
          <cell r="A491">
            <v>90073</v>
          </cell>
          <cell r="B491" t="str">
            <v>MCLEOD</v>
          </cell>
          <cell r="C491" t="str">
            <v xml:space="preserve">  A.J</v>
          </cell>
          <cell r="E491" t="str">
            <v>M</v>
          </cell>
        </row>
        <row r="492">
          <cell r="A492">
            <v>90091</v>
          </cell>
          <cell r="B492" t="str">
            <v>BAUMGART</v>
          </cell>
          <cell r="C492" t="str">
            <v xml:space="preserve">  R.</v>
          </cell>
          <cell r="E492" t="str">
            <v>M</v>
          </cell>
        </row>
        <row r="493">
          <cell r="A493">
            <v>90101</v>
          </cell>
          <cell r="B493" t="str">
            <v>PALMER</v>
          </cell>
          <cell r="C493" t="str">
            <v xml:space="preserve">  D.R</v>
          </cell>
          <cell r="D493">
            <v>203598137</v>
          </cell>
          <cell r="E493" t="str">
            <v>M</v>
          </cell>
        </row>
        <row r="494">
          <cell r="A494">
            <v>90102</v>
          </cell>
          <cell r="B494" t="str">
            <v>MCKEOWN</v>
          </cell>
          <cell r="C494" t="str">
            <v xml:space="preserve">  P.</v>
          </cell>
          <cell r="D494">
            <v>203598137</v>
          </cell>
          <cell r="E494" t="str">
            <v>M</v>
          </cell>
        </row>
        <row r="495">
          <cell r="A495">
            <v>90103</v>
          </cell>
          <cell r="B495" t="str">
            <v>MAYO</v>
          </cell>
          <cell r="C495" t="str">
            <v xml:space="preserve">  L.</v>
          </cell>
          <cell r="D495">
            <v>203598137</v>
          </cell>
          <cell r="E495" t="str">
            <v>M</v>
          </cell>
        </row>
        <row r="496">
          <cell r="A496">
            <v>90104</v>
          </cell>
          <cell r="B496" t="str">
            <v>EKE</v>
          </cell>
          <cell r="C496" t="str">
            <v xml:space="preserve">  C.F</v>
          </cell>
          <cell r="D496">
            <v>203598137</v>
          </cell>
          <cell r="E496" t="str">
            <v>M</v>
          </cell>
        </row>
        <row r="497">
          <cell r="A497">
            <v>90105</v>
          </cell>
          <cell r="B497" t="str">
            <v>LINCOLN</v>
          </cell>
          <cell r="C497" t="str">
            <v xml:space="preserve">  S.M</v>
          </cell>
          <cell r="D497">
            <v>203598137</v>
          </cell>
          <cell r="E497" t="str">
            <v>M</v>
          </cell>
        </row>
        <row r="498">
          <cell r="A498">
            <v>90106</v>
          </cell>
          <cell r="B498" t="str">
            <v>JOHNSON</v>
          </cell>
          <cell r="C498" t="str">
            <v xml:space="preserve">  R.G</v>
          </cell>
          <cell r="D498">
            <v>203598137</v>
          </cell>
          <cell r="E498" t="str">
            <v>M</v>
          </cell>
        </row>
        <row r="499">
          <cell r="A499">
            <v>90107</v>
          </cell>
          <cell r="B499" t="str">
            <v>FRANCIS</v>
          </cell>
          <cell r="C499" t="str">
            <v xml:space="preserve">  S.</v>
          </cell>
          <cell r="D499">
            <v>203598137</v>
          </cell>
          <cell r="E499" t="str">
            <v>M</v>
          </cell>
        </row>
        <row r="500">
          <cell r="A500">
            <v>90108</v>
          </cell>
          <cell r="B500" t="str">
            <v>RICH</v>
          </cell>
          <cell r="C500" t="str">
            <v xml:space="preserve">  K.R</v>
          </cell>
          <cell r="D500">
            <v>203598137</v>
          </cell>
          <cell r="E500" t="str">
            <v>M</v>
          </cell>
        </row>
        <row r="501">
          <cell r="A501">
            <v>90109</v>
          </cell>
          <cell r="B501" t="str">
            <v>NICHOLAS</v>
          </cell>
          <cell r="C501" t="str">
            <v xml:space="preserve">  M.A</v>
          </cell>
          <cell r="D501">
            <v>203598137</v>
          </cell>
          <cell r="E501" t="str">
            <v>M</v>
          </cell>
        </row>
        <row r="502">
          <cell r="A502">
            <v>90110</v>
          </cell>
          <cell r="B502" t="str">
            <v>JONES</v>
          </cell>
          <cell r="C502" t="str">
            <v xml:space="preserve">  R.</v>
          </cell>
          <cell r="D502">
            <v>203598137</v>
          </cell>
          <cell r="E502" t="str">
            <v>M</v>
          </cell>
        </row>
        <row r="503">
          <cell r="A503">
            <v>90112</v>
          </cell>
          <cell r="B503" t="str">
            <v>DAVIES</v>
          </cell>
          <cell r="C503" t="str">
            <v xml:space="preserve">  C.</v>
          </cell>
          <cell r="D503">
            <v>203598137</v>
          </cell>
          <cell r="E503" t="str">
            <v>M</v>
          </cell>
        </row>
        <row r="504">
          <cell r="A504">
            <v>90113</v>
          </cell>
          <cell r="B504" t="str">
            <v>BOURNE</v>
          </cell>
          <cell r="C504" t="str">
            <v xml:space="preserve">  A.</v>
          </cell>
          <cell r="D504">
            <v>203598137</v>
          </cell>
          <cell r="E504" t="str">
            <v>M</v>
          </cell>
        </row>
        <row r="505">
          <cell r="A505">
            <v>90501</v>
          </cell>
          <cell r="B505" t="str">
            <v>MARSHALL</v>
          </cell>
          <cell r="C505" t="str">
            <v xml:space="preserve">  L.C</v>
          </cell>
          <cell r="D505">
            <v>203598137</v>
          </cell>
          <cell r="E505" t="str">
            <v>M</v>
          </cell>
        </row>
        <row r="506">
          <cell r="A506">
            <v>90502</v>
          </cell>
          <cell r="B506" t="str">
            <v>CLARK</v>
          </cell>
          <cell r="C506" t="str">
            <v xml:space="preserve">  C.A</v>
          </cell>
          <cell r="D506">
            <v>203598137</v>
          </cell>
          <cell r="E506" t="str">
            <v>M</v>
          </cell>
        </row>
        <row r="507">
          <cell r="A507">
            <v>90503</v>
          </cell>
          <cell r="B507" t="str">
            <v>LAST</v>
          </cell>
          <cell r="C507" t="str">
            <v xml:space="preserve">  D.B</v>
          </cell>
          <cell r="D507">
            <v>203598137</v>
          </cell>
          <cell r="E507" t="str">
            <v>M</v>
          </cell>
        </row>
        <row r="508">
          <cell r="A508">
            <v>90504</v>
          </cell>
          <cell r="B508" t="str">
            <v>BARBER</v>
          </cell>
          <cell r="C508" t="str">
            <v xml:space="preserve">  J.R</v>
          </cell>
          <cell r="D508">
            <v>203598137</v>
          </cell>
          <cell r="E508" t="str">
            <v>M</v>
          </cell>
        </row>
        <row r="509">
          <cell r="A509">
            <v>90505</v>
          </cell>
          <cell r="B509" t="str">
            <v>GORDON</v>
          </cell>
          <cell r="C509" t="str">
            <v xml:space="preserve">  P.W</v>
          </cell>
          <cell r="D509">
            <v>203598137</v>
          </cell>
          <cell r="E509" t="str">
            <v>M</v>
          </cell>
        </row>
        <row r="510">
          <cell r="A510">
            <v>90506</v>
          </cell>
          <cell r="B510" t="str">
            <v>SHEPHERD</v>
          </cell>
          <cell r="C510" t="str">
            <v xml:space="preserve">  A.J</v>
          </cell>
          <cell r="D510">
            <v>203598137</v>
          </cell>
          <cell r="E510" t="str">
            <v>M</v>
          </cell>
        </row>
        <row r="511">
          <cell r="A511">
            <v>90507</v>
          </cell>
          <cell r="B511" t="str">
            <v>TIMMINS</v>
          </cell>
          <cell r="C511" t="str">
            <v xml:space="preserve">  P.B</v>
          </cell>
          <cell r="D511">
            <v>203598137</v>
          </cell>
          <cell r="E511" t="str">
            <v>M</v>
          </cell>
        </row>
        <row r="512">
          <cell r="A512">
            <v>90508</v>
          </cell>
          <cell r="B512" t="str">
            <v>TOYNTON</v>
          </cell>
          <cell r="C512" t="str">
            <v xml:space="preserve">  R.P</v>
          </cell>
          <cell r="D512">
            <v>203598137</v>
          </cell>
          <cell r="E512" t="str">
            <v>M</v>
          </cell>
        </row>
        <row r="513">
          <cell r="A513">
            <v>90601</v>
          </cell>
          <cell r="B513" t="str">
            <v>RUNECKLES</v>
          </cell>
          <cell r="C513" t="str">
            <v xml:space="preserve">  S.P</v>
          </cell>
          <cell r="D513">
            <v>203598137</v>
          </cell>
          <cell r="E513" t="str">
            <v>M</v>
          </cell>
        </row>
        <row r="514">
          <cell r="A514">
            <v>90602</v>
          </cell>
          <cell r="B514" t="str">
            <v>LEWIS</v>
          </cell>
          <cell r="C514" t="str">
            <v xml:space="preserve">  J.</v>
          </cell>
          <cell r="D514">
            <v>203598137</v>
          </cell>
          <cell r="E514" t="str">
            <v>M</v>
          </cell>
        </row>
        <row r="515">
          <cell r="A515">
            <v>90603</v>
          </cell>
          <cell r="B515" t="str">
            <v>FORD</v>
          </cell>
          <cell r="C515" t="str">
            <v xml:space="preserve">  J.P</v>
          </cell>
          <cell r="D515">
            <v>203598137</v>
          </cell>
          <cell r="E515" t="str">
            <v>M</v>
          </cell>
        </row>
        <row r="516">
          <cell r="A516">
            <v>90604</v>
          </cell>
          <cell r="B516" t="str">
            <v>NUTT</v>
          </cell>
          <cell r="C516" t="str">
            <v xml:space="preserve">  S.E</v>
          </cell>
          <cell r="D516">
            <v>203598137</v>
          </cell>
          <cell r="E516" t="str">
            <v>M</v>
          </cell>
        </row>
        <row r="517">
          <cell r="A517">
            <v>90607</v>
          </cell>
          <cell r="B517" t="str">
            <v>TAYLOR</v>
          </cell>
          <cell r="C517" t="str">
            <v xml:space="preserve">  C.</v>
          </cell>
          <cell r="D517">
            <v>203598137</v>
          </cell>
          <cell r="E517" t="str">
            <v>M</v>
          </cell>
        </row>
        <row r="518">
          <cell r="A518">
            <v>90613</v>
          </cell>
          <cell r="B518" t="str">
            <v>PEDLEY</v>
          </cell>
          <cell r="C518" t="str">
            <v xml:space="preserve">  I.</v>
          </cell>
          <cell r="D518">
            <v>203598137</v>
          </cell>
          <cell r="E518" t="str">
            <v>M</v>
          </cell>
        </row>
        <row r="519">
          <cell r="A519">
            <v>90623</v>
          </cell>
          <cell r="B519" t="str">
            <v>LACEY</v>
          </cell>
          <cell r="C519" t="str">
            <v xml:space="preserve">  K.A</v>
          </cell>
          <cell r="D519">
            <v>203598137</v>
          </cell>
          <cell r="E519" t="str">
            <v>M</v>
          </cell>
        </row>
        <row r="520">
          <cell r="A520">
            <v>90624</v>
          </cell>
          <cell r="B520" t="str">
            <v>SINGH</v>
          </cell>
          <cell r="C520" t="str">
            <v xml:space="preserve">  B.</v>
          </cell>
          <cell r="D520">
            <v>203598137</v>
          </cell>
          <cell r="E520" t="str">
            <v>M</v>
          </cell>
        </row>
        <row r="521">
          <cell r="A521">
            <v>90626</v>
          </cell>
          <cell r="B521" t="str">
            <v>CHANDLER</v>
          </cell>
          <cell r="C521" t="str">
            <v xml:space="preserve">  R.</v>
          </cell>
          <cell r="D521">
            <v>203598137</v>
          </cell>
          <cell r="E521" t="str">
            <v>M</v>
          </cell>
        </row>
        <row r="522">
          <cell r="A522">
            <v>90627</v>
          </cell>
          <cell r="B522" t="str">
            <v>HALDON</v>
          </cell>
          <cell r="C522" t="str">
            <v xml:space="preserve">  J.</v>
          </cell>
          <cell r="D522">
            <v>203598137</v>
          </cell>
          <cell r="E522" t="str">
            <v>M</v>
          </cell>
        </row>
        <row r="523">
          <cell r="A523">
            <v>90801</v>
          </cell>
          <cell r="B523" t="str">
            <v>ELLIOTT</v>
          </cell>
          <cell r="C523" t="str">
            <v xml:space="preserve">  N.F</v>
          </cell>
          <cell r="D523">
            <v>203598137</v>
          </cell>
          <cell r="E523" t="str">
            <v>M</v>
          </cell>
        </row>
        <row r="524">
          <cell r="A524">
            <v>90802</v>
          </cell>
          <cell r="B524" t="str">
            <v>PERRY</v>
          </cell>
          <cell r="C524" t="str">
            <v xml:space="preserve">  D.A</v>
          </cell>
          <cell r="D524">
            <v>203598137</v>
          </cell>
          <cell r="E524" t="str">
            <v>M</v>
          </cell>
        </row>
        <row r="525">
          <cell r="A525">
            <v>90803</v>
          </cell>
          <cell r="B525" t="str">
            <v>WESTON</v>
          </cell>
          <cell r="C525" t="str">
            <v xml:space="preserve">  K.E</v>
          </cell>
          <cell r="D525">
            <v>203598137</v>
          </cell>
          <cell r="E525" t="str">
            <v>M</v>
          </cell>
        </row>
        <row r="526">
          <cell r="A526">
            <v>90805</v>
          </cell>
          <cell r="B526" t="str">
            <v>PADBURY</v>
          </cell>
          <cell r="C526" t="str">
            <v xml:space="preserve">  J.</v>
          </cell>
          <cell r="D526">
            <v>203598137</v>
          </cell>
          <cell r="E526" t="str">
            <v>M</v>
          </cell>
        </row>
        <row r="527">
          <cell r="A527">
            <v>90806</v>
          </cell>
          <cell r="B527" t="str">
            <v>SCOTT</v>
          </cell>
          <cell r="C527" t="str">
            <v xml:space="preserve">  R.J</v>
          </cell>
          <cell r="D527">
            <v>203598137</v>
          </cell>
          <cell r="E527" t="str">
            <v>M</v>
          </cell>
        </row>
        <row r="528">
          <cell r="A528">
            <v>90808</v>
          </cell>
          <cell r="B528" t="str">
            <v>LOVERIDGE</v>
          </cell>
          <cell r="C528" t="str">
            <v xml:space="preserve">  D.</v>
          </cell>
          <cell r="D528">
            <v>203598137</v>
          </cell>
          <cell r="E528" t="str">
            <v>M</v>
          </cell>
        </row>
        <row r="529">
          <cell r="A529">
            <v>90901</v>
          </cell>
          <cell r="B529" t="str">
            <v>NEWMAN</v>
          </cell>
          <cell r="C529" t="str">
            <v xml:space="preserve">  G.</v>
          </cell>
          <cell r="E529" t="str">
            <v>M</v>
          </cell>
        </row>
        <row r="530">
          <cell r="A530">
            <v>91002</v>
          </cell>
          <cell r="B530" t="str">
            <v>HANSEN</v>
          </cell>
          <cell r="C530" t="str">
            <v xml:space="preserve">  P.</v>
          </cell>
          <cell r="E530" t="str">
            <v>M</v>
          </cell>
          <cell r="F530">
            <v>15.61</v>
          </cell>
          <cell r="G530">
            <v>18.149999999999999</v>
          </cell>
        </row>
        <row r="531">
          <cell r="A531">
            <v>91003</v>
          </cell>
          <cell r="B531" t="str">
            <v>BEREZOWSKI</v>
          </cell>
          <cell r="C531" t="str">
            <v xml:space="preserve">  J.</v>
          </cell>
          <cell r="E531" t="str">
            <v>M</v>
          </cell>
          <cell r="F531">
            <v>18.71</v>
          </cell>
          <cell r="G531">
            <v>13.83</v>
          </cell>
        </row>
        <row r="532">
          <cell r="A532">
            <v>91005</v>
          </cell>
          <cell r="B532" t="str">
            <v>ADAMS</v>
          </cell>
          <cell r="C532" t="str">
            <v xml:space="preserve">  R.</v>
          </cell>
          <cell r="E532" t="str">
            <v>M</v>
          </cell>
          <cell r="F532">
            <v>14.77</v>
          </cell>
          <cell r="G532">
            <v>17.190000000000001</v>
          </cell>
        </row>
        <row r="533">
          <cell r="A533">
            <v>91013</v>
          </cell>
          <cell r="B533" t="str">
            <v>LOWING</v>
          </cell>
          <cell r="C533" t="str">
            <v xml:space="preserve">  N.</v>
          </cell>
          <cell r="E533" t="str">
            <v>M</v>
          </cell>
          <cell r="F533">
            <v>14.36</v>
          </cell>
          <cell r="G533">
            <v>16.510000000000002</v>
          </cell>
        </row>
        <row r="534">
          <cell r="A534">
            <v>91016</v>
          </cell>
          <cell r="B534" t="str">
            <v>GENTRY</v>
          </cell>
          <cell r="C534" t="str">
            <v xml:space="preserve">  P.</v>
          </cell>
          <cell r="E534" t="str">
            <v>M</v>
          </cell>
          <cell r="F534">
            <v>19.63</v>
          </cell>
          <cell r="G534">
            <v>18.47</v>
          </cell>
        </row>
        <row r="535">
          <cell r="A535">
            <v>91017</v>
          </cell>
          <cell r="B535" t="str">
            <v>GREEN</v>
          </cell>
          <cell r="C535" t="str">
            <v xml:space="preserve">  R.</v>
          </cell>
          <cell r="E535" t="str">
            <v>M</v>
          </cell>
          <cell r="F535">
            <v>23</v>
          </cell>
          <cell r="G535">
            <v>23.04</v>
          </cell>
        </row>
        <row r="536">
          <cell r="A536">
            <v>91021</v>
          </cell>
          <cell r="B536" t="str">
            <v>SHELDON</v>
          </cell>
          <cell r="C536" t="str">
            <v xml:space="preserve">  J.F</v>
          </cell>
          <cell r="E536" t="str">
            <v>M</v>
          </cell>
          <cell r="F536">
            <v>23.3</v>
          </cell>
          <cell r="G536">
            <v>18.77</v>
          </cell>
        </row>
        <row r="537">
          <cell r="A537">
            <v>91022</v>
          </cell>
          <cell r="B537" t="str">
            <v>KIRKWOOD</v>
          </cell>
          <cell r="C537" t="str">
            <v xml:space="preserve">  J.K</v>
          </cell>
          <cell r="E537" t="str">
            <v>M</v>
          </cell>
          <cell r="F537">
            <v>20.62</v>
          </cell>
          <cell r="G537">
            <v>15.95</v>
          </cell>
        </row>
        <row r="538">
          <cell r="A538">
            <v>91028</v>
          </cell>
          <cell r="B538" t="str">
            <v>LEWIS</v>
          </cell>
          <cell r="C538" t="str">
            <v xml:space="preserve">  H.K</v>
          </cell>
          <cell r="E538" t="str">
            <v>M</v>
          </cell>
          <cell r="F538">
            <v>14.38</v>
          </cell>
          <cell r="G538">
            <v>16.68</v>
          </cell>
        </row>
        <row r="539">
          <cell r="A539">
            <v>91030</v>
          </cell>
          <cell r="B539" t="str">
            <v>OVERY</v>
          </cell>
          <cell r="C539" t="str">
            <v xml:space="preserve">  D.</v>
          </cell>
          <cell r="E539" t="str">
            <v>M</v>
          </cell>
          <cell r="F539">
            <v>22.72</v>
          </cell>
          <cell r="G539">
            <v>17.989999999999998</v>
          </cell>
        </row>
        <row r="540">
          <cell r="A540">
            <v>91036</v>
          </cell>
          <cell r="B540" t="str">
            <v>HUTTON</v>
          </cell>
          <cell r="C540" t="str">
            <v xml:space="preserve">  T.</v>
          </cell>
          <cell r="D540">
            <v>203168070</v>
          </cell>
          <cell r="E540" t="str">
            <v>M</v>
          </cell>
        </row>
        <row r="541">
          <cell r="A541">
            <v>91038</v>
          </cell>
          <cell r="B541" t="str">
            <v>DOUGLAS</v>
          </cell>
          <cell r="C541" t="str">
            <v xml:space="preserve">  J.L</v>
          </cell>
          <cell r="D541">
            <v>203168070</v>
          </cell>
          <cell r="E541" t="str">
            <v>M</v>
          </cell>
        </row>
        <row r="542">
          <cell r="A542">
            <v>91040</v>
          </cell>
          <cell r="B542" t="str">
            <v>GATES</v>
          </cell>
          <cell r="C542" t="str">
            <v xml:space="preserve">  J.H</v>
          </cell>
          <cell r="D542">
            <v>203168070</v>
          </cell>
          <cell r="E542" t="str">
            <v>M</v>
          </cell>
        </row>
        <row r="543">
          <cell r="A543">
            <v>91045</v>
          </cell>
          <cell r="B543" t="str">
            <v>DOUGLAS</v>
          </cell>
          <cell r="C543" t="str">
            <v xml:space="preserve">  J.W</v>
          </cell>
          <cell r="D543">
            <v>203168070</v>
          </cell>
          <cell r="E543" t="str">
            <v>M</v>
          </cell>
        </row>
        <row r="544">
          <cell r="A544">
            <v>91049</v>
          </cell>
          <cell r="B544" t="str">
            <v>LINCOLN</v>
          </cell>
          <cell r="C544" t="str">
            <v xml:space="preserve">  L.W</v>
          </cell>
          <cell r="E544" t="str">
            <v>M</v>
          </cell>
          <cell r="F544">
            <v>22.81</v>
          </cell>
          <cell r="G544">
            <v>21.81</v>
          </cell>
        </row>
        <row r="545">
          <cell r="A545">
            <v>91055</v>
          </cell>
          <cell r="B545" t="str">
            <v>EAST</v>
          </cell>
          <cell r="C545" t="str">
            <v xml:space="preserve">  M.J</v>
          </cell>
          <cell r="E545" t="str">
            <v>M</v>
          </cell>
          <cell r="F545">
            <v>19.190000000000001</v>
          </cell>
          <cell r="G545">
            <v>23.14</v>
          </cell>
        </row>
        <row r="546">
          <cell r="A546">
            <v>91059</v>
          </cell>
          <cell r="B546" t="str">
            <v>HUTCHISON</v>
          </cell>
          <cell r="C546" t="str">
            <v xml:space="preserve">  J.</v>
          </cell>
          <cell r="E546" t="str">
            <v>M</v>
          </cell>
          <cell r="F546">
            <v>18.14</v>
          </cell>
          <cell r="G546">
            <v>23.23</v>
          </cell>
        </row>
        <row r="547">
          <cell r="A547">
            <v>91066</v>
          </cell>
          <cell r="B547" t="str">
            <v>LOWTHER</v>
          </cell>
          <cell r="C547" t="str">
            <v xml:space="preserve">  P.J</v>
          </cell>
          <cell r="E547" t="str">
            <v>M</v>
          </cell>
          <cell r="F547">
            <v>22.38</v>
          </cell>
          <cell r="G547">
            <v>18.43</v>
          </cell>
        </row>
        <row r="548">
          <cell r="A548">
            <v>91067</v>
          </cell>
          <cell r="B548" t="str">
            <v>CLARK</v>
          </cell>
          <cell r="C548" t="str">
            <v xml:space="preserve">  W.R</v>
          </cell>
          <cell r="E548" t="str">
            <v>M</v>
          </cell>
          <cell r="F548">
            <v>19.54</v>
          </cell>
          <cell r="G548">
            <v>15.15</v>
          </cell>
        </row>
        <row r="549">
          <cell r="A549">
            <v>91071</v>
          </cell>
          <cell r="B549" t="str">
            <v>BUTTERWORTH</v>
          </cell>
          <cell r="C549" t="str">
            <v xml:space="preserve">  D.</v>
          </cell>
          <cell r="E549" t="str">
            <v>M</v>
          </cell>
          <cell r="F549">
            <v>20.3</v>
          </cell>
          <cell r="G549">
            <v>15.94</v>
          </cell>
        </row>
        <row r="550">
          <cell r="A550">
            <v>91073</v>
          </cell>
          <cell r="B550" t="str">
            <v>LONDON</v>
          </cell>
          <cell r="C550" t="str">
            <v xml:space="preserve">  J.</v>
          </cell>
          <cell r="E550" t="str">
            <v>M</v>
          </cell>
          <cell r="F550">
            <v>25.72</v>
          </cell>
          <cell r="G550">
            <v>24.24</v>
          </cell>
        </row>
        <row r="551">
          <cell r="A551">
            <v>91077</v>
          </cell>
          <cell r="B551" t="str">
            <v>MARTIN</v>
          </cell>
          <cell r="C551" t="str">
            <v xml:space="preserve">  N.</v>
          </cell>
          <cell r="E551" t="str">
            <v>M</v>
          </cell>
          <cell r="F551">
            <v>19.7</v>
          </cell>
          <cell r="G551">
            <v>16.3</v>
          </cell>
        </row>
        <row r="552">
          <cell r="A552">
            <v>91078</v>
          </cell>
          <cell r="B552" t="str">
            <v>COOPER</v>
          </cell>
          <cell r="C552" t="str">
            <v xml:space="preserve">  R.P</v>
          </cell>
          <cell r="E552" t="str">
            <v>M</v>
          </cell>
          <cell r="F552">
            <v>16.829999999999998</v>
          </cell>
          <cell r="G552">
            <v>14.31</v>
          </cell>
        </row>
        <row r="553">
          <cell r="A553">
            <v>91083</v>
          </cell>
          <cell r="B553" t="str">
            <v>MELLOR</v>
          </cell>
          <cell r="C553" t="str">
            <v xml:space="preserve">  D.</v>
          </cell>
          <cell r="E553" t="str">
            <v>M</v>
          </cell>
          <cell r="F553">
            <v>14.71</v>
          </cell>
          <cell r="G553">
            <v>16.98</v>
          </cell>
        </row>
        <row r="554">
          <cell r="A554">
            <v>91084</v>
          </cell>
          <cell r="B554" t="str">
            <v>VASS</v>
          </cell>
          <cell r="C554" t="str">
            <v xml:space="preserve">  B.</v>
          </cell>
          <cell r="E554" t="str">
            <v>M</v>
          </cell>
          <cell r="F554">
            <v>21.76</v>
          </cell>
          <cell r="G554">
            <v>17.190000000000001</v>
          </cell>
        </row>
        <row r="555">
          <cell r="A555">
            <v>91085</v>
          </cell>
          <cell r="B555" t="str">
            <v>WILLIAMS</v>
          </cell>
          <cell r="C555" t="str">
            <v xml:space="preserve">  D.M</v>
          </cell>
          <cell r="D555">
            <v>203508138</v>
          </cell>
          <cell r="E555" t="str">
            <v>M</v>
          </cell>
        </row>
        <row r="556">
          <cell r="A556">
            <v>91089</v>
          </cell>
          <cell r="B556" t="str">
            <v>SEXTON</v>
          </cell>
          <cell r="C556" t="str">
            <v xml:space="preserve">  B.</v>
          </cell>
          <cell r="E556" t="str">
            <v>M</v>
          </cell>
          <cell r="F556">
            <v>14.5</v>
          </cell>
          <cell r="G556">
            <v>16.829999999999998</v>
          </cell>
        </row>
        <row r="557">
          <cell r="A557">
            <v>91096</v>
          </cell>
          <cell r="B557" t="str">
            <v>GIBSON</v>
          </cell>
          <cell r="C557" t="str">
            <v xml:space="preserve">  S.J</v>
          </cell>
          <cell r="D557">
            <v>203508138</v>
          </cell>
          <cell r="E557" t="str">
            <v>M</v>
          </cell>
        </row>
        <row r="558">
          <cell r="A558">
            <v>91098</v>
          </cell>
          <cell r="B558" t="str">
            <v>ANDREWS</v>
          </cell>
          <cell r="C558" t="str">
            <v xml:space="preserve">  G.</v>
          </cell>
          <cell r="D558">
            <v>993248126</v>
          </cell>
          <cell r="E558" t="str">
            <v>M</v>
          </cell>
        </row>
        <row r="559">
          <cell r="A559">
            <v>91100</v>
          </cell>
          <cell r="B559" t="str">
            <v>TAYLOR</v>
          </cell>
          <cell r="C559" t="str">
            <v xml:space="preserve">  G.</v>
          </cell>
          <cell r="E559" t="str">
            <v>M</v>
          </cell>
          <cell r="F559">
            <v>17.41</v>
          </cell>
          <cell r="G559">
            <v>12.5</v>
          </cell>
        </row>
        <row r="560">
          <cell r="A560">
            <v>91107</v>
          </cell>
          <cell r="B560" t="str">
            <v>LITTLE</v>
          </cell>
          <cell r="C560" t="str">
            <v xml:space="preserve">  S.</v>
          </cell>
          <cell r="E560" t="str">
            <v>M</v>
          </cell>
          <cell r="F560">
            <v>17.600000000000001</v>
          </cell>
          <cell r="G560">
            <v>17.190000000000001</v>
          </cell>
        </row>
        <row r="561">
          <cell r="A561">
            <v>91109</v>
          </cell>
          <cell r="B561" t="str">
            <v>MACFARLANE</v>
          </cell>
          <cell r="C561" t="str">
            <v xml:space="preserve">  A.</v>
          </cell>
          <cell r="D561">
            <v>203508138</v>
          </cell>
          <cell r="E561" t="str">
            <v>M</v>
          </cell>
        </row>
        <row r="562">
          <cell r="A562">
            <v>91110</v>
          </cell>
          <cell r="B562" t="str">
            <v>HUNTLEY</v>
          </cell>
          <cell r="C562" t="str">
            <v xml:space="preserve">  G.A</v>
          </cell>
          <cell r="D562">
            <v>203508138</v>
          </cell>
          <cell r="E562" t="str">
            <v>M</v>
          </cell>
        </row>
        <row r="563">
          <cell r="A563">
            <v>91112</v>
          </cell>
          <cell r="B563" t="str">
            <v>BROWN</v>
          </cell>
          <cell r="C563" t="str">
            <v xml:space="preserve">  M.</v>
          </cell>
          <cell r="D563">
            <v>203508138</v>
          </cell>
          <cell r="E563" t="str">
            <v>M</v>
          </cell>
        </row>
        <row r="564">
          <cell r="A564">
            <v>91114</v>
          </cell>
          <cell r="B564" t="str">
            <v>MCDONALD</v>
          </cell>
          <cell r="C564" t="str">
            <v xml:space="preserve">  A.J</v>
          </cell>
          <cell r="E564" t="str">
            <v>M</v>
          </cell>
          <cell r="F564">
            <v>20.38</v>
          </cell>
          <cell r="G564">
            <v>19.54</v>
          </cell>
        </row>
        <row r="565">
          <cell r="A565">
            <v>91116</v>
          </cell>
          <cell r="B565" t="str">
            <v>WHITE</v>
          </cell>
          <cell r="C565" t="str">
            <v xml:space="preserve">  P.R</v>
          </cell>
          <cell r="E565" t="str">
            <v>M</v>
          </cell>
          <cell r="F565">
            <v>22.72</v>
          </cell>
          <cell r="G565">
            <v>21.69</v>
          </cell>
        </row>
        <row r="566">
          <cell r="A566">
            <v>91117</v>
          </cell>
          <cell r="B566" t="str">
            <v>ROBEY</v>
          </cell>
          <cell r="C566" t="str">
            <v xml:space="preserve">  J.</v>
          </cell>
          <cell r="D566">
            <v>203508138</v>
          </cell>
          <cell r="E566" t="str">
            <v>M</v>
          </cell>
        </row>
        <row r="567">
          <cell r="A567">
            <v>91119</v>
          </cell>
          <cell r="B567" t="str">
            <v>HODSON</v>
          </cell>
          <cell r="C567" t="str">
            <v xml:space="preserve">  R.E</v>
          </cell>
          <cell r="E567" t="str">
            <v>M</v>
          </cell>
          <cell r="F567">
            <v>15.73</v>
          </cell>
          <cell r="G567">
            <v>18.18</v>
          </cell>
        </row>
        <row r="568">
          <cell r="A568">
            <v>91121</v>
          </cell>
          <cell r="B568" t="str">
            <v>CALLAGHAN</v>
          </cell>
          <cell r="C568" t="str">
            <v xml:space="preserve">  P.</v>
          </cell>
          <cell r="D568">
            <v>203508138</v>
          </cell>
          <cell r="E568" t="str">
            <v>M</v>
          </cell>
        </row>
        <row r="569">
          <cell r="A569">
            <v>91122</v>
          </cell>
          <cell r="B569" t="str">
            <v>GREENWOOD</v>
          </cell>
          <cell r="C569" t="str">
            <v xml:space="preserve">  A.</v>
          </cell>
          <cell r="E569" t="str">
            <v>M</v>
          </cell>
          <cell r="F569">
            <v>22.38</v>
          </cell>
          <cell r="G569">
            <v>18.27</v>
          </cell>
        </row>
        <row r="570">
          <cell r="A570">
            <v>91130</v>
          </cell>
          <cell r="B570" t="str">
            <v>TAYLOR</v>
          </cell>
          <cell r="C570" t="str">
            <v xml:space="preserve">  B.I</v>
          </cell>
          <cell r="E570" t="str">
            <v>M</v>
          </cell>
          <cell r="F570">
            <v>10.67</v>
          </cell>
          <cell r="G570">
            <v>12.22</v>
          </cell>
        </row>
        <row r="571">
          <cell r="A571">
            <v>91131</v>
          </cell>
          <cell r="B571" t="str">
            <v>SIMONS</v>
          </cell>
          <cell r="C571" t="str">
            <v xml:space="preserve">  C.</v>
          </cell>
          <cell r="D571">
            <v>203508138</v>
          </cell>
          <cell r="E571" t="str">
            <v>M</v>
          </cell>
        </row>
        <row r="572">
          <cell r="A572">
            <v>91136</v>
          </cell>
          <cell r="B572" t="str">
            <v>MORRIS</v>
          </cell>
          <cell r="C572" t="str">
            <v xml:space="preserve">  S.</v>
          </cell>
          <cell r="D572">
            <v>203508138</v>
          </cell>
          <cell r="E572" t="str">
            <v>M</v>
          </cell>
        </row>
        <row r="573">
          <cell r="A573">
            <v>91138</v>
          </cell>
          <cell r="B573" t="str">
            <v>BORLAND</v>
          </cell>
          <cell r="C573" t="str">
            <v xml:space="preserve">  M.</v>
          </cell>
          <cell r="D573">
            <v>203508138</v>
          </cell>
          <cell r="E573" t="str">
            <v>M</v>
          </cell>
        </row>
        <row r="574">
          <cell r="A574">
            <v>91140</v>
          </cell>
          <cell r="B574" t="str">
            <v>BUCKLEY</v>
          </cell>
          <cell r="C574" t="str">
            <v xml:space="preserve">  A.J</v>
          </cell>
          <cell r="E574" t="str">
            <v>M</v>
          </cell>
        </row>
        <row r="575">
          <cell r="A575">
            <v>91142</v>
          </cell>
          <cell r="B575" t="str">
            <v>MASLEN</v>
          </cell>
          <cell r="C575" t="str">
            <v xml:space="preserve">  S.P</v>
          </cell>
          <cell r="D575">
            <v>203508138</v>
          </cell>
          <cell r="E575" t="str">
            <v>M</v>
          </cell>
        </row>
        <row r="576">
          <cell r="A576">
            <v>91143</v>
          </cell>
          <cell r="B576" t="str">
            <v>KELLY</v>
          </cell>
          <cell r="C576" t="str">
            <v xml:space="preserve">  T.</v>
          </cell>
          <cell r="D576">
            <v>203508138</v>
          </cell>
          <cell r="E576" t="str">
            <v>M</v>
          </cell>
        </row>
        <row r="577">
          <cell r="A577">
            <v>91146</v>
          </cell>
          <cell r="B577" t="str">
            <v>SOLLY</v>
          </cell>
          <cell r="C577" t="str">
            <v xml:space="preserve">  P.</v>
          </cell>
          <cell r="D577">
            <v>203508138</v>
          </cell>
          <cell r="E577" t="str">
            <v>M</v>
          </cell>
        </row>
        <row r="578">
          <cell r="A578">
            <v>91154</v>
          </cell>
          <cell r="B578" t="str">
            <v>O'DWYER</v>
          </cell>
          <cell r="C578" t="str">
            <v xml:space="preserve">  P.W</v>
          </cell>
          <cell r="E578" t="str">
            <v>M</v>
          </cell>
          <cell r="F578">
            <v>21.62</v>
          </cell>
          <cell r="G578">
            <v>17.420000000000002</v>
          </cell>
        </row>
        <row r="579">
          <cell r="A579">
            <v>91156</v>
          </cell>
          <cell r="B579" t="str">
            <v>JARVIS</v>
          </cell>
          <cell r="C579" t="str">
            <v xml:space="preserve">  C.J</v>
          </cell>
          <cell r="E579" t="str">
            <v>M</v>
          </cell>
          <cell r="F579">
            <v>23.32</v>
          </cell>
          <cell r="G579">
            <v>19.239999999999998</v>
          </cell>
        </row>
        <row r="580">
          <cell r="A580">
            <v>91157</v>
          </cell>
          <cell r="B580" t="str">
            <v>NELHAMS</v>
          </cell>
          <cell r="C580" t="str">
            <v xml:space="preserve">  E.</v>
          </cell>
          <cell r="E580" t="str">
            <v>M</v>
          </cell>
          <cell r="F580">
            <v>23.8</v>
          </cell>
          <cell r="G580">
            <v>19.420000000000002</v>
          </cell>
        </row>
        <row r="581">
          <cell r="A581">
            <v>91158</v>
          </cell>
          <cell r="B581" t="str">
            <v>PETERS</v>
          </cell>
          <cell r="C581" t="str">
            <v xml:space="preserve">  D.K</v>
          </cell>
          <cell r="E581" t="str">
            <v>M</v>
          </cell>
          <cell r="F581">
            <v>27.92</v>
          </cell>
          <cell r="G581">
            <v>24.86</v>
          </cell>
        </row>
        <row r="582">
          <cell r="A582">
            <v>91160</v>
          </cell>
          <cell r="B582" t="str">
            <v>MOSS</v>
          </cell>
          <cell r="C582" t="str">
            <v xml:space="preserve">  P.</v>
          </cell>
          <cell r="D582">
            <v>203508138</v>
          </cell>
          <cell r="E582" t="str">
            <v>M</v>
          </cell>
        </row>
        <row r="583">
          <cell r="A583">
            <v>91162</v>
          </cell>
          <cell r="B583" t="str">
            <v>WILSON</v>
          </cell>
          <cell r="C583" t="str">
            <v xml:space="preserve">  D.G</v>
          </cell>
          <cell r="E583" t="str">
            <v>M</v>
          </cell>
          <cell r="F583">
            <v>19.84</v>
          </cell>
          <cell r="G583">
            <v>15.56</v>
          </cell>
        </row>
        <row r="584">
          <cell r="A584">
            <v>91163</v>
          </cell>
          <cell r="B584" t="str">
            <v>ANDERSON</v>
          </cell>
          <cell r="C584" t="str">
            <v xml:space="preserve">  M.P</v>
          </cell>
          <cell r="E584" t="str">
            <v>M</v>
          </cell>
          <cell r="F584">
            <v>15.07</v>
          </cell>
          <cell r="G584">
            <v>17.600000000000001</v>
          </cell>
        </row>
        <row r="585">
          <cell r="A585">
            <v>91164</v>
          </cell>
          <cell r="B585" t="str">
            <v>BURNETT</v>
          </cell>
          <cell r="C585" t="str">
            <v xml:space="preserve">  I.</v>
          </cell>
          <cell r="E585" t="str">
            <v>M</v>
          </cell>
          <cell r="F585">
            <v>20.329999999999998</v>
          </cell>
          <cell r="G585">
            <v>15.98</v>
          </cell>
        </row>
        <row r="586">
          <cell r="A586">
            <v>91165</v>
          </cell>
          <cell r="B586" t="str">
            <v>NEALE</v>
          </cell>
          <cell r="C586" t="str">
            <v xml:space="preserve">  C.W</v>
          </cell>
          <cell r="D586">
            <v>203508138</v>
          </cell>
          <cell r="E586" t="str">
            <v>M</v>
          </cell>
        </row>
        <row r="587">
          <cell r="A587">
            <v>91167</v>
          </cell>
          <cell r="B587" t="str">
            <v>KIRK</v>
          </cell>
          <cell r="C587" t="str">
            <v xml:space="preserve">  A.</v>
          </cell>
          <cell r="E587" t="str">
            <v>M</v>
          </cell>
          <cell r="F587">
            <v>20.41</v>
          </cell>
          <cell r="G587">
            <v>20.21</v>
          </cell>
        </row>
        <row r="588">
          <cell r="A588">
            <v>91171</v>
          </cell>
          <cell r="B588" t="str">
            <v>DICK</v>
          </cell>
          <cell r="C588" t="str">
            <v xml:space="preserve">  W.J</v>
          </cell>
          <cell r="D588">
            <v>203508138</v>
          </cell>
          <cell r="E588" t="str">
            <v>M</v>
          </cell>
        </row>
        <row r="589">
          <cell r="A589">
            <v>91173</v>
          </cell>
          <cell r="B589" t="str">
            <v>O'MAHONY</v>
          </cell>
          <cell r="C589" t="str">
            <v xml:space="preserve">  I.D</v>
          </cell>
          <cell r="D589">
            <v>203508138</v>
          </cell>
          <cell r="E589" t="str">
            <v>M</v>
          </cell>
        </row>
        <row r="590">
          <cell r="A590">
            <v>91174</v>
          </cell>
          <cell r="B590" t="str">
            <v>BERROW</v>
          </cell>
          <cell r="C590" t="str">
            <v xml:space="preserve">  S.L</v>
          </cell>
          <cell r="D590">
            <v>203508138</v>
          </cell>
          <cell r="E590" t="str">
            <v>M</v>
          </cell>
        </row>
        <row r="591">
          <cell r="A591">
            <v>91175</v>
          </cell>
          <cell r="B591" t="str">
            <v>BATES</v>
          </cell>
          <cell r="C591" t="str">
            <v xml:space="preserve">  T.</v>
          </cell>
          <cell r="D591">
            <v>203508138</v>
          </cell>
          <cell r="E591" t="str">
            <v>M</v>
          </cell>
        </row>
        <row r="592">
          <cell r="A592">
            <v>91176</v>
          </cell>
          <cell r="B592" t="str">
            <v>SHEPHERD</v>
          </cell>
          <cell r="C592" t="str">
            <v xml:space="preserve">  P.D</v>
          </cell>
          <cell r="D592">
            <v>203508138</v>
          </cell>
          <cell r="E592" t="str">
            <v>M</v>
          </cell>
        </row>
        <row r="593">
          <cell r="A593">
            <v>91177</v>
          </cell>
          <cell r="B593" t="str">
            <v>MIGHTON</v>
          </cell>
          <cell r="C593" t="str">
            <v xml:space="preserve">  H.W</v>
          </cell>
          <cell r="E593" t="str">
            <v>M</v>
          </cell>
          <cell r="F593">
            <v>17.559999999999999</v>
          </cell>
          <cell r="G593">
            <v>12.1</v>
          </cell>
        </row>
        <row r="594">
          <cell r="A594">
            <v>91178</v>
          </cell>
          <cell r="B594" t="str">
            <v>STAPLETON</v>
          </cell>
          <cell r="C594" t="str">
            <v xml:space="preserve">  M.F</v>
          </cell>
          <cell r="D594">
            <v>203508138</v>
          </cell>
          <cell r="E594" t="str">
            <v>M</v>
          </cell>
        </row>
        <row r="595">
          <cell r="A595">
            <v>91179</v>
          </cell>
          <cell r="B595" t="str">
            <v>HOLDWAY</v>
          </cell>
          <cell r="C595" t="str">
            <v xml:space="preserve">  K.</v>
          </cell>
          <cell r="E595" t="str">
            <v>M</v>
          </cell>
          <cell r="F595">
            <v>18.98</v>
          </cell>
          <cell r="G595">
            <v>14.95</v>
          </cell>
        </row>
        <row r="596">
          <cell r="A596">
            <v>91182</v>
          </cell>
          <cell r="B596" t="str">
            <v>DRABBLE</v>
          </cell>
          <cell r="C596" t="str">
            <v xml:space="preserve">  W.G</v>
          </cell>
          <cell r="D596">
            <v>203508138</v>
          </cell>
          <cell r="E596" t="str">
            <v>M</v>
          </cell>
        </row>
        <row r="597">
          <cell r="A597">
            <v>91183</v>
          </cell>
          <cell r="B597" t="str">
            <v>PATTON</v>
          </cell>
          <cell r="C597" t="str">
            <v xml:space="preserve">  J.</v>
          </cell>
          <cell r="E597" t="str">
            <v>M</v>
          </cell>
          <cell r="F597">
            <v>19.88</v>
          </cell>
          <cell r="G597">
            <v>14.97</v>
          </cell>
        </row>
        <row r="598">
          <cell r="A598">
            <v>91184</v>
          </cell>
          <cell r="B598" t="str">
            <v>TABOR</v>
          </cell>
          <cell r="C598" t="str">
            <v xml:space="preserve">  A.S</v>
          </cell>
          <cell r="D598">
            <v>203508138</v>
          </cell>
          <cell r="E598" t="str">
            <v>M</v>
          </cell>
        </row>
        <row r="599">
          <cell r="A599">
            <v>91185</v>
          </cell>
          <cell r="B599" t="str">
            <v>BUCKLEY</v>
          </cell>
          <cell r="C599" t="str">
            <v xml:space="preserve">  C.</v>
          </cell>
          <cell r="E599" t="str">
            <v>M</v>
          </cell>
          <cell r="F599">
            <v>22.73</v>
          </cell>
          <cell r="G599">
            <v>18.04</v>
          </cell>
        </row>
        <row r="600">
          <cell r="A600">
            <v>91186</v>
          </cell>
          <cell r="B600" t="str">
            <v>MEDINA</v>
          </cell>
          <cell r="C600" t="str">
            <v xml:space="preserve">  M.A</v>
          </cell>
          <cell r="E600" t="str">
            <v>M</v>
          </cell>
          <cell r="F600">
            <v>14</v>
          </cell>
          <cell r="G600">
            <v>15.99</v>
          </cell>
        </row>
        <row r="601">
          <cell r="A601">
            <v>91187</v>
          </cell>
          <cell r="B601" t="str">
            <v>JENNER</v>
          </cell>
          <cell r="C601" t="str">
            <v xml:space="preserve">  S.D</v>
          </cell>
          <cell r="D601">
            <v>203508138</v>
          </cell>
          <cell r="E601" t="str">
            <v>M</v>
          </cell>
        </row>
        <row r="602">
          <cell r="A602">
            <v>91191</v>
          </cell>
          <cell r="B602" t="str">
            <v>HEYDEN</v>
          </cell>
          <cell r="C602" t="str">
            <v xml:space="preserve">  G.P</v>
          </cell>
          <cell r="E602" t="str">
            <v>M</v>
          </cell>
          <cell r="F602">
            <v>14.45</v>
          </cell>
          <cell r="G602">
            <v>16.77</v>
          </cell>
        </row>
        <row r="603">
          <cell r="A603">
            <v>91193</v>
          </cell>
          <cell r="B603" t="str">
            <v>GREWCOCK</v>
          </cell>
          <cell r="C603" t="str">
            <v xml:space="preserve">  B.</v>
          </cell>
          <cell r="E603" t="str">
            <v>M</v>
          </cell>
          <cell r="F603">
            <v>13.94</v>
          </cell>
          <cell r="G603">
            <v>16.29</v>
          </cell>
        </row>
        <row r="604">
          <cell r="A604">
            <v>91197</v>
          </cell>
          <cell r="B604" t="str">
            <v>MOUNTFORD</v>
          </cell>
          <cell r="C604" t="str">
            <v xml:space="preserve">  B.</v>
          </cell>
          <cell r="E604" t="str">
            <v>M</v>
          </cell>
          <cell r="F604">
            <v>21.02</v>
          </cell>
          <cell r="G604">
            <v>19.89</v>
          </cell>
        </row>
        <row r="605">
          <cell r="A605">
            <v>91198</v>
          </cell>
          <cell r="B605" t="str">
            <v>HARRIS</v>
          </cell>
          <cell r="C605" t="str">
            <v xml:space="preserve">  R.</v>
          </cell>
          <cell r="D605">
            <v>203508138</v>
          </cell>
          <cell r="E605" t="str">
            <v>M</v>
          </cell>
        </row>
        <row r="606">
          <cell r="A606">
            <v>91199</v>
          </cell>
          <cell r="B606" t="str">
            <v>MCPHEE</v>
          </cell>
          <cell r="C606" t="str">
            <v xml:space="preserve">  S.A</v>
          </cell>
          <cell r="E606" t="str">
            <v>M</v>
          </cell>
          <cell r="F606">
            <v>19.75</v>
          </cell>
          <cell r="G606">
            <v>19.34</v>
          </cell>
        </row>
        <row r="607">
          <cell r="A607">
            <v>91201</v>
          </cell>
          <cell r="B607" t="str">
            <v>HARRIS</v>
          </cell>
          <cell r="C607" t="str">
            <v xml:space="preserve">  M.</v>
          </cell>
          <cell r="E607" t="str">
            <v>M</v>
          </cell>
          <cell r="F607">
            <v>14.89</v>
          </cell>
          <cell r="G607">
            <v>17.36</v>
          </cell>
        </row>
        <row r="608">
          <cell r="A608">
            <v>91202</v>
          </cell>
          <cell r="B608" t="str">
            <v>ALLINGHAM</v>
          </cell>
          <cell r="C608" t="str">
            <v xml:space="preserve">  N.</v>
          </cell>
          <cell r="E608" t="str">
            <v>M</v>
          </cell>
          <cell r="F608">
            <v>18.690000000000001</v>
          </cell>
          <cell r="G608">
            <v>14.57</v>
          </cell>
        </row>
        <row r="609">
          <cell r="A609">
            <v>91206</v>
          </cell>
          <cell r="B609" t="str">
            <v>HAY</v>
          </cell>
          <cell r="C609" t="str">
            <v xml:space="preserve">  P.</v>
          </cell>
          <cell r="E609" t="str">
            <v>M</v>
          </cell>
          <cell r="F609">
            <v>17.690000000000001</v>
          </cell>
          <cell r="G609">
            <v>15.62</v>
          </cell>
        </row>
        <row r="610">
          <cell r="A610">
            <v>91207</v>
          </cell>
          <cell r="B610" t="str">
            <v>DOHERTY</v>
          </cell>
          <cell r="C610" t="str">
            <v xml:space="preserve">  D.J</v>
          </cell>
          <cell r="E610" t="str">
            <v>M</v>
          </cell>
          <cell r="F610">
            <v>22.43</v>
          </cell>
          <cell r="G610">
            <v>18.09</v>
          </cell>
        </row>
        <row r="611">
          <cell r="A611">
            <v>91208</v>
          </cell>
          <cell r="B611" t="str">
            <v>NICKLESS</v>
          </cell>
          <cell r="C611" t="str">
            <v xml:space="preserve">  R.J</v>
          </cell>
          <cell r="E611" t="str">
            <v>M</v>
          </cell>
          <cell r="F611">
            <v>12.2</v>
          </cell>
          <cell r="G611">
            <v>14.26</v>
          </cell>
        </row>
        <row r="612">
          <cell r="A612">
            <v>91209</v>
          </cell>
          <cell r="B612" t="str">
            <v>MEAD</v>
          </cell>
          <cell r="C612" t="str">
            <v xml:space="preserve">  R.</v>
          </cell>
          <cell r="D612">
            <v>203508138</v>
          </cell>
          <cell r="E612" t="str">
            <v>M</v>
          </cell>
        </row>
        <row r="613">
          <cell r="A613">
            <v>91212</v>
          </cell>
          <cell r="B613" t="str">
            <v>WALSHAM</v>
          </cell>
          <cell r="C613" t="str">
            <v xml:space="preserve">  J.W</v>
          </cell>
          <cell r="D613">
            <v>203508138</v>
          </cell>
          <cell r="E613" t="str">
            <v>M</v>
          </cell>
        </row>
        <row r="614">
          <cell r="A614">
            <v>91213</v>
          </cell>
          <cell r="B614" t="str">
            <v>KNIGHT</v>
          </cell>
          <cell r="C614" t="str">
            <v xml:space="preserve">  B.R</v>
          </cell>
          <cell r="E614" t="str">
            <v>M</v>
          </cell>
          <cell r="F614">
            <v>16.64</v>
          </cell>
          <cell r="G614">
            <v>19.66</v>
          </cell>
        </row>
        <row r="615">
          <cell r="A615">
            <v>91214</v>
          </cell>
          <cell r="B615" t="str">
            <v>MAGUIRE</v>
          </cell>
          <cell r="C615" t="str">
            <v xml:space="preserve">  S.P</v>
          </cell>
          <cell r="D615">
            <v>203508138</v>
          </cell>
          <cell r="E615" t="str">
            <v>M</v>
          </cell>
        </row>
        <row r="616">
          <cell r="A616">
            <v>91218</v>
          </cell>
          <cell r="B616" t="str">
            <v>MARRIOT</v>
          </cell>
          <cell r="C616" t="str">
            <v xml:space="preserve">  J.R</v>
          </cell>
          <cell r="E616" t="str">
            <v>M</v>
          </cell>
          <cell r="F616">
            <v>10.72</v>
          </cell>
          <cell r="G616">
            <v>12.27</v>
          </cell>
        </row>
        <row r="617">
          <cell r="A617">
            <v>91220</v>
          </cell>
          <cell r="B617" t="str">
            <v>CROSSLEY</v>
          </cell>
          <cell r="C617" t="str">
            <v xml:space="preserve">  B.R</v>
          </cell>
          <cell r="E617" t="str">
            <v>M</v>
          </cell>
          <cell r="F617">
            <v>22.71</v>
          </cell>
          <cell r="G617">
            <v>18.7</v>
          </cell>
        </row>
        <row r="618">
          <cell r="A618">
            <v>91222</v>
          </cell>
          <cell r="B618" t="str">
            <v>LITTLE</v>
          </cell>
          <cell r="C618" t="str">
            <v xml:space="preserve">  P.</v>
          </cell>
          <cell r="D618">
            <v>203508138</v>
          </cell>
          <cell r="E618" t="str">
            <v>M</v>
          </cell>
        </row>
        <row r="619">
          <cell r="A619">
            <v>91223</v>
          </cell>
          <cell r="B619" t="str">
            <v>KEELEY</v>
          </cell>
          <cell r="C619" t="str">
            <v xml:space="preserve">  P.C</v>
          </cell>
          <cell r="E619" t="str">
            <v>M</v>
          </cell>
          <cell r="F619">
            <v>23.13</v>
          </cell>
          <cell r="G619">
            <v>19.07</v>
          </cell>
        </row>
        <row r="620">
          <cell r="A620">
            <v>91224</v>
          </cell>
          <cell r="B620" t="str">
            <v>BUCKLEY</v>
          </cell>
          <cell r="C620" t="str">
            <v xml:space="preserve">  D.P</v>
          </cell>
          <cell r="E620" t="str">
            <v>M</v>
          </cell>
          <cell r="F620">
            <v>17.77</v>
          </cell>
          <cell r="G620">
            <v>15.66</v>
          </cell>
        </row>
        <row r="621">
          <cell r="A621">
            <v>91227</v>
          </cell>
          <cell r="B621" t="str">
            <v>HUNT</v>
          </cell>
          <cell r="C621" t="str">
            <v xml:space="preserve">  R.P</v>
          </cell>
          <cell r="E621" t="str">
            <v>M</v>
          </cell>
          <cell r="F621">
            <v>31.15</v>
          </cell>
        </row>
        <row r="622">
          <cell r="A622">
            <v>91231</v>
          </cell>
          <cell r="B622" t="str">
            <v>GENTRY</v>
          </cell>
          <cell r="C622" t="str">
            <v xml:space="preserve">  J.</v>
          </cell>
          <cell r="E622" t="str">
            <v>M</v>
          </cell>
          <cell r="F622">
            <v>20.81</v>
          </cell>
          <cell r="G622">
            <v>19.62</v>
          </cell>
        </row>
        <row r="623">
          <cell r="A623">
            <v>91236</v>
          </cell>
          <cell r="B623" t="str">
            <v>RAPER</v>
          </cell>
          <cell r="C623" t="str">
            <v xml:space="preserve">  N.J</v>
          </cell>
          <cell r="E623" t="str">
            <v>M</v>
          </cell>
          <cell r="F623">
            <v>23.06</v>
          </cell>
          <cell r="G623">
            <v>19.579999999999998</v>
          </cell>
        </row>
        <row r="624">
          <cell r="A624">
            <v>91237</v>
          </cell>
          <cell r="B624" t="str">
            <v>RICHARDS</v>
          </cell>
          <cell r="C624" t="str">
            <v xml:space="preserve">  D.W</v>
          </cell>
          <cell r="E624" t="str">
            <v>M</v>
          </cell>
          <cell r="F624">
            <v>22.36</v>
          </cell>
          <cell r="G624">
            <v>16.79</v>
          </cell>
        </row>
        <row r="625">
          <cell r="A625">
            <v>91238</v>
          </cell>
          <cell r="B625" t="str">
            <v>CRONIN</v>
          </cell>
          <cell r="C625" t="str">
            <v xml:space="preserve">  J.</v>
          </cell>
          <cell r="E625" t="str">
            <v>M</v>
          </cell>
          <cell r="F625">
            <v>24.01</v>
          </cell>
          <cell r="G625">
            <v>32.369999999999997</v>
          </cell>
        </row>
        <row r="626">
          <cell r="A626">
            <v>91239</v>
          </cell>
          <cell r="B626" t="str">
            <v>COULSON</v>
          </cell>
          <cell r="C626" t="str">
            <v xml:space="preserve">  D.W</v>
          </cell>
          <cell r="E626" t="str">
            <v>M</v>
          </cell>
          <cell r="F626">
            <v>20.65</v>
          </cell>
          <cell r="G626">
            <v>19.13</v>
          </cell>
        </row>
        <row r="627">
          <cell r="A627">
            <v>91241</v>
          </cell>
          <cell r="B627" t="str">
            <v>ARCARI</v>
          </cell>
          <cell r="C627" t="str">
            <v xml:space="preserve">  M.</v>
          </cell>
          <cell r="E627" t="str">
            <v>M</v>
          </cell>
          <cell r="F627">
            <v>15.2</v>
          </cell>
          <cell r="G627">
            <v>17.489999999999998</v>
          </cell>
        </row>
        <row r="628">
          <cell r="A628">
            <v>91242</v>
          </cell>
          <cell r="B628" t="str">
            <v>WATSON</v>
          </cell>
          <cell r="C628" t="str">
            <v xml:space="preserve">  J.B</v>
          </cell>
          <cell r="D628">
            <v>203168070</v>
          </cell>
          <cell r="E628" t="str">
            <v>M</v>
          </cell>
        </row>
        <row r="629">
          <cell r="A629">
            <v>91245</v>
          </cell>
          <cell r="B629" t="str">
            <v>FISK</v>
          </cell>
          <cell r="C629" t="str">
            <v xml:space="preserve">  T.</v>
          </cell>
          <cell r="E629" t="str">
            <v>M</v>
          </cell>
          <cell r="F629">
            <v>14.29</v>
          </cell>
          <cell r="G629">
            <v>16.53</v>
          </cell>
        </row>
        <row r="630">
          <cell r="A630">
            <v>91246</v>
          </cell>
          <cell r="B630" t="str">
            <v>CLARKE</v>
          </cell>
          <cell r="C630" t="str">
            <v xml:space="preserve">  A.</v>
          </cell>
          <cell r="E630" t="str">
            <v>M</v>
          </cell>
          <cell r="F630">
            <v>23.12</v>
          </cell>
          <cell r="G630">
            <v>22.62</v>
          </cell>
        </row>
        <row r="631">
          <cell r="A631">
            <v>91251</v>
          </cell>
          <cell r="B631" t="str">
            <v>RODGER</v>
          </cell>
          <cell r="C631" t="str">
            <v xml:space="preserve">  D.M</v>
          </cell>
          <cell r="E631" t="str">
            <v>M</v>
          </cell>
        </row>
        <row r="632">
          <cell r="A632">
            <v>91265</v>
          </cell>
          <cell r="B632" t="str">
            <v>BLEWITT</v>
          </cell>
          <cell r="C632" t="str">
            <v xml:space="preserve">  K.</v>
          </cell>
          <cell r="E632" t="str">
            <v>M</v>
          </cell>
          <cell r="F632">
            <v>14.05</v>
          </cell>
          <cell r="G632">
            <v>16.239999999999998</v>
          </cell>
        </row>
        <row r="633">
          <cell r="A633">
            <v>91268</v>
          </cell>
          <cell r="B633" t="str">
            <v>MONAGHAN</v>
          </cell>
          <cell r="C633" t="str">
            <v xml:space="preserve">  W.</v>
          </cell>
          <cell r="E633" t="str">
            <v>M</v>
          </cell>
          <cell r="F633">
            <v>20.350000000000001</v>
          </cell>
          <cell r="G633">
            <v>15.84</v>
          </cell>
        </row>
        <row r="634">
          <cell r="A634">
            <v>91274</v>
          </cell>
          <cell r="B634" t="str">
            <v>HOLLINGSWORTH</v>
          </cell>
          <cell r="C634" t="str">
            <v xml:space="preserve">  R.</v>
          </cell>
          <cell r="E634" t="str">
            <v>M</v>
          </cell>
          <cell r="F634">
            <v>22.41</v>
          </cell>
          <cell r="G634">
            <v>18.05</v>
          </cell>
        </row>
        <row r="635">
          <cell r="A635">
            <v>91275</v>
          </cell>
          <cell r="B635" t="str">
            <v>ALLEN</v>
          </cell>
          <cell r="C635" t="str">
            <v xml:space="preserve">  J.</v>
          </cell>
          <cell r="D635">
            <v>203508138</v>
          </cell>
          <cell r="E635" t="str">
            <v>M</v>
          </cell>
        </row>
        <row r="636">
          <cell r="A636">
            <v>91276</v>
          </cell>
          <cell r="B636" t="str">
            <v>WATSON</v>
          </cell>
          <cell r="C636" t="str">
            <v xml:space="preserve">  W.</v>
          </cell>
          <cell r="D636">
            <v>203508138</v>
          </cell>
          <cell r="E636" t="str">
            <v>M</v>
          </cell>
        </row>
        <row r="637">
          <cell r="A637">
            <v>91277</v>
          </cell>
          <cell r="B637" t="str">
            <v>BARNES</v>
          </cell>
          <cell r="C637" t="str">
            <v xml:space="preserve">  R.</v>
          </cell>
          <cell r="E637" t="str">
            <v>M</v>
          </cell>
          <cell r="F637">
            <v>14.15</v>
          </cell>
          <cell r="G637">
            <v>16.489999999999998</v>
          </cell>
        </row>
        <row r="638">
          <cell r="A638">
            <v>91278</v>
          </cell>
          <cell r="B638" t="str">
            <v>LANGSFORD</v>
          </cell>
          <cell r="C638" t="str">
            <v xml:space="preserve">  P.</v>
          </cell>
          <cell r="E638" t="str">
            <v>M</v>
          </cell>
          <cell r="F638">
            <v>18.239999999999998</v>
          </cell>
          <cell r="G638">
            <v>21.88</v>
          </cell>
        </row>
        <row r="639">
          <cell r="A639">
            <v>91279</v>
          </cell>
          <cell r="B639" t="str">
            <v>LEBBY</v>
          </cell>
          <cell r="C639" t="str">
            <v xml:space="preserve">  D.J</v>
          </cell>
          <cell r="E639" t="str">
            <v>M</v>
          </cell>
          <cell r="F639">
            <v>18.82</v>
          </cell>
          <cell r="G639">
            <v>17.399999999999999</v>
          </cell>
        </row>
        <row r="640">
          <cell r="A640">
            <v>91282</v>
          </cell>
          <cell r="B640" t="str">
            <v>WOLSTENHOLME</v>
          </cell>
          <cell r="C640" t="str">
            <v xml:space="preserve">  S.</v>
          </cell>
          <cell r="E640" t="str">
            <v>M</v>
          </cell>
          <cell r="F640">
            <v>14.75</v>
          </cell>
          <cell r="G640">
            <v>16.98</v>
          </cell>
        </row>
        <row r="641">
          <cell r="A641">
            <v>91283</v>
          </cell>
          <cell r="B641" t="str">
            <v>TAYLOR</v>
          </cell>
          <cell r="C641" t="str">
            <v xml:space="preserve">  M.</v>
          </cell>
          <cell r="D641">
            <v>203508138</v>
          </cell>
          <cell r="E641" t="str">
            <v>M</v>
          </cell>
        </row>
        <row r="642">
          <cell r="A642">
            <v>91285</v>
          </cell>
          <cell r="B642" t="str">
            <v>O'CONNELL</v>
          </cell>
          <cell r="C642" t="str">
            <v xml:space="preserve">  C.</v>
          </cell>
          <cell r="E642" t="str">
            <v>M</v>
          </cell>
          <cell r="F642">
            <v>17.87</v>
          </cell>
          <cell r="G642">
            <v>17.71</v>
          </cell>
        </row>
        <row r="643">
          <cell r="A643">
            <v>91287</v>
          </cell>
          <cell r="B643" t="str">
            <v>ROWE</v>
          </cell>
          <cell r="C643" t="str">
            <v xml:space="preserve">  G.R</v>
          </cell>
          <cell r="E643" t="str">
            <v>M</v>
          </cell>
        </row>
        <row r="644">
          <cell r="A644">
            <v>91288</v>
          </cell>
          <cell r="B644" t="str">
            <v>BROWN</v>
          </cell>
          <cell r="C644" t="str">
            <v xml:space="preserve">  S.D</v>
          </cell>
          <cell r="E644" t="str">
            <v>M</v>
          </cell>
          <cell r="F644">
            <v>19.760000000000002</v>
          </cell>
          <cell r="G644">
            <v>15.65</v>
          </cell>
        </row>
        <row r="645">
          <cell r="A645">
            <v>91296</v>
          </cell>
          <cell r="B645" t="str">
            <v>ARNOLD</v>
          </cell>
          <cell r="C645" t="str">
            <v xml:space="preserve">  P.G</v>
          </cell>
          <cell r="E645" t="str">
            <v>M</v>
          </cell>
          <cell r="F645">
            <v>19.170000000000002</v>
          </cell>
          <cell r="G645">
            <v>17.190000000000001</v>
          </cell>
        </row>
        <row r="646">
          <cell r="A646">
            <v>91300</v>
          </cell>
          <cell r="B646" t="str">
            <v>CLEPHANE</v>
          </cell>
          <cell r="C646" t="str">
            <v xml:space="preserve">  A.</v>
          </cell>
          <cell r="E646" t="str">
            <v>M</v>
          </cell>
          <cell r="F646">
            <v>21.42</v>
          </cell>
          <cell r="G646">
            <v>16.739999999999998</v>
          </cell>
        </row>
        <row r="647">
          <cell r="A647">
            <v>91302</v>
          </cell>
          <cell r="B647" t="str">
            <v>COBB</v>
          </cell>
          <cell r="C647" t="str">
            <v xml:space="preserve">  A.</v>
          </cell>
          <cell r="E647" t="str">
            <v>M</v>
          </cell>
          <cell r="F647">
            <v>20.54</v>
          </cell>
          <cell r="G647">
            <v>15.53</v>
          </cell>
        </row>
        <row r="648">
          <cell r="A648">
            <v>91317</v>
          </cell>
          <cell r="B648" t="str">
            <v>BALL</v>
          </cell>
          <cell r="C648" t="str">
            <v xml:space="preserve">  G.R</v>
          </cell>
          <cell r="E648" t="str">
            <v>M</v>
          </cell>
          <cell r="F648">
            <v>23.46</v>
          </cell>
          <cell r="G648">
            <v>19.010000000000002</v>
          </cell>
        </row>
        <row r="649">
          <cell r="A649">
            <v>91333</v>
          </cell>
          <cell r="B649" t="str">
            <v>TILBURY</v>
          </cell>
          <cell r="C649" t="str">
            <v xml:space="preserve">  L.</v>
          </cell>
          <cell r="E649" t="str">
            <v>M</v>
          </cell>
          <cell r="F649">
            <v>19.39</v>
          </cell>
          <cell r="G649">
            <v>15.48</v>
          </cell>
        </row>
        <row r="650">
          <cell r="A650">
            <v>91334</v>
          </cell>
          <cell r="B650" t="str">
            <v>GREEN</v>
          </cell>
          <cell r="C650" t="str">
            <v xml:space="preserve">  L.</v>
          </cell>
          <cell r="E650" t="str">
            <v>M</v>
          </cell>
          <cell r="F650">
            <v>22.48</v>
          </cell>
          <cell r="G650">
            <v>16.95</v>
          </cell>
        </row>
        <row r="651">
          <cell r="A651">
            <v>91337</v>
          </cell>
          <cell r="B651" t="str">
            <v>IFFIELD</v>
          </cell>
          <cell r="C651" t="str">
            <v xml:space="preserve">  N.</v>
          </cell>
          <cell r="E651" t="str">
            <v>M</v>
          </cell>
          <cell r="F651">
            <v>23.55</v>
          </cell>
          <cell r="G651">
            <v>19.54</v>
          </cell>
        </row>
        <row r="652">
          <cell r="A652">
            <v>91340</v>
          </cell>
          <cell r="B652" t="str">
            <v>DUER</v>
          </cell>
          <cell r="C652" t="str">
            <v xml:space="preserve">  S.</v>
          </cell>
          <cell r="E652" t="str">
            <v>M</v>
          </cell>
          <cell r="F652">
            <v>17.77</v>
          </cell>
          <cell r="G652">
            <v>21.21</v>
          </cell>
        </row>
        <row r="653">
          <cell r="A653">
            <v>91344</v>
          </cell>
          <cell r="B653" t="str">
            <v>HEAP</v>
          </cell>
          <cell r="C653" t="str">
            <v xml:space="preserve">  D.E</v>
          </cell>
          <cell r="E653" t="str">
            <v>M</v>
          </cell>
          <cell r="F653">
            <v>19.07</v>
          </cell>
          <cell r="G653">
            <v>14.31</v>
          </cell>
        </row>
        <row r="654">
          <cell r="A654">
            <v>91347</v>
          </cell>
          <cell r="B654" t="str">
            <v>LAWRENCE</v>
          </cell>
          <cell r="C654" t="str">
            <v xml:space="preserve">  R.G</v>
          </cell>
          <cell r="E654" t="str">
            <v>M</v>
          </cell>
          <cell r="F654">
            <v>16.46</v>
          </cell>
          <cell r="G654">
            <v>19.420000000000002</v>
          </cell>
        </row>
        <row r="655">
          <cell r="A655">
            <v>91352</v>
          </cell>
          <cell r="B655" t="str">
            <v>COMER</v>
          </cell>
          <cell r="C655" t="str">
            <v xml:space="preserve">  D.W</v>
          </cell>
          <cell r="E655" t="str">
            <v>M</v>
          </cell>
          <cell r="F655">
            <v>20.96</v>
          </cell>
          <cell r="G655">
            <v>19.559999999999999</v>
          </cell>
        </row>
        <row r="656">
          <cell r="A656">
            <v>91361</v>
          </cell>
          <cell r="B656" t="str">
            <v>SCOTT</v>
          </cell>
          <cell r="C656" t="str">
            <v xml:space="preserve">  M.J</v>
          </cell>
          <cell r="E656" t="str">
            <v>M</v>
          </cell>
          <cell r="F656">
            <v>22.02</v>
          </cell>
          <cell r="G656">
            <v>27.29</v>
          </cell>
        </row>
        <row r="657">
          <cell r="A657">
            <v>91362</v>
          </cell>
          <cell r="B657" t="str">
            <v>RIVETT</v>
          </cell>
          <cell r="C657" t="str">
            <v xml:space="preserve">  M.R</v>
          </cell>
          <cell r="D657">
            <v>203508138</v>
          </cell>
          <cell r="E657" t="str">
            <v>M</v>
          </cell>
        </row>
        <row r="658">
          <cell r="A658">
            <v>91364</v>
          </cell>
          <cell r="B658" t="str">
            <v>MOLLOY</v>
          </cell>
          <cell r="C658" t="str">
            <v xml:space="preserve">  J.F</v>
          </cell>
          <cell r="E658" t="str">
            <v>M</v>
          </cell>
          <cell r="F658">
            <v>19.28</v>
          </cell>
          <cell r="G658">
            <v>15.75</v>
          </cell>
        </row>
        <row r="659">
          <cell r="A659">
            <v>91369</v>
          </cell>
          <cell r="B659" t="str">
            <v>GREIG</v>
          </cell>
          <cell r="C659" t="str">
            <v xml:space="preserve">  J.A</v>
          </cell>
          <cell r="E659" t="str">
            <v>M</v>
          </cell>
          <cell r="F659">
            <v>19.16</v>
          </cell>
          <cell r="G659">
            <v>15.59</v>
          </cell>
        </row>
        <row r="660">
          <cell r="A660">
            <v>91381</v>
          </cell>
          <cell r="B660" t="str">
            <v>COX</v>
          </cell>
          <cell r="C660" t="str">
            <v xml:space="preserve">  D.A</v>
          </cell>
          <cell r="E660" t="str">
            <v>M</v>
          </cell>
        </row>
        <row r="661">
          <cell r="A661">
            <v>91384</v>
          </cell>
          <cell r="B661" t="str">
            <v>PROCTOR</v>
          </cell>
          <cell r="C661" t="str">
            <v xml:space="preserve">  T.</v>
          </cell>
          <cell r="E661" t="str">
            <v>M</v>
          </cell>
          <cell r="F661">
            <v>17.149999999999999</v>
          </cell>
          <cell r="G661">
            <v>15.92</v>
          </cell>
        </row>
        <row r="662">
          <cell r="A662">
            <v>91385</v>
          </cell>
          <cell r="B662" t="str">
            <v>DICKSON</v>
          </cell>
          <cell r="C662" t="str">
            <v xml:space="preserve">  J.R</v>
          </cell>
          <cell r="E662" t="str">
            <v>M</v>
          </cell>
          <cell r="F662">
            <v>19.68</v>
          </cell>
          <cell r="G662">
            <v>15.35</v>
          </cell>
        </row>
        <row r="663">
          <cell r="A663">
            <v>91386</v>
          </cell>
          <cell r="B663" t="str">
            <v>ACCILI</v>
          </cell>
          <cell r="C663" t="str">
            <v xml:space="preserve">  F.</v>
          </cell>
          <cell r="E663" t="str">
            <v>M</v>
          </cell>
          <cell r="F663">
            <v>18.940000000000001</v>
          </cell>
          <cell r="G663">
            <v>12.96</v>
          </cell>
        </row>
        <row r="664">
          <cell r="A664">
            <v>91388</v>
          </cell>
          <cell r="B664" t="str">
            <v>HUXFORD</v>
          </cell>
          <cell r="C664" t="str">
            <v xml:space="preserve">  D.</v>
          </cell>
          <cell r="E664" t="str">
            <v>M</v>
          </cell>
          <cell r="F664">
            <v>22.67</v>
          </cell>
          <cell r="G664">
            <v>17.21</v>
          </cell>
        </row>
        <row r="665">
          <cell r="A665">
            <v>91395</v>
          </cell>
          <cell r="B665" t="str">
            <v>FOSTER</v>
          </cell>
          <cell r="C665" t="str">
            <v xml:space="preserve">  S.B</v>
          </cell>
          <cell r="E665" t="str">
            <v>M</v>
          </cell>
        </row>
        <row r="666">
          <cell r="A666">
            <v>91403</v>
          </cell>
          <cell r="B666" t="str">
            <v>EASTWOOD</v>
          </cell>
          <cell r="C666" t="str">
            <v xml:space="preserve">  K.</v>
          </cell>
          <cell r="E666" t="str">
            <v>M</v>
          </cell>
          <cell r="F666">
            <v>17.97</v>
          </cell>
          <cell r="G666">
            <v>13.61</v>
          </cell>
        </row>
        <row r="667">
          <cell r="A667">
            <v>91417</v>
          </cell>
          <cell r="B667" t="str">
            <v>ALEXANDER</v>
          </cell>
          <cell r="C667" t="str">
            <v xml:space="preserve">  M.</v>
          </cell>
          <cell r="E667" t="str">
            <v>M</v>
          </cell>
          <cell r="F667">
            <v>22.35</v>
          </cell>
          <cell r="G667">
            <v>17.940000000000001</v>
          </cell>
        </row>
        <row r="668">
          <cell r="A668">
            <v>91429</v>
          </cell>
          <cell r="B668" t="str">
            <v>BELL</v>
          </cell>
          <cell r="C668" t="str">
            <v xml:space="preserve">  D.B</v>
          </cell>
          <cell r="E668" t="str">
            <v>M</v>
          </cell>
          <cell r="F668">
            <v>21.84</v>
          </cell>
          <cell r="G668">
            <v>17.78</v>
          </cell>
        </row>
        <row r="669">
          <cell r="A669">
            <v>91434</v>
          </cell>
          <cell r="B669" t="str">
            <v>SLACK</v>
          </cell>
          <cell r="C669" t="str">
            <v xml:space="preserve">  S.R</v>
          </cell>
          <cell r="D669">
            <v>203508138</v>
          </cell>
          <cell r="E669" t="str">
            <v>M</v>
          </cell>
        </row>
        <row r="670">
          <cell r="A670">
            <v>91440</v>
          </cell>
          <cell r="B670" t="str">
            <v>DOVE</v>
          </cell>
          <cell r="C670" t="str">
            <v xml:space="preserve">  P.</v>
          </cell>
          <cell r="E670" t="str">
            <v>M</v>
          </cell>
          <cell r="F670">
            <v>23.93</v>
          </cell>
          <cell r="G670">
            <v>23.01</v>
          </cell>
        </row>
        <row r="671">
          <cell r="A671">
            <v>91455</v>
          </cell>
          <cell r="B671" t="str">
            <v>PRICE</v>
          </cell>
          <cell r="C671" t="str">
            <v xml:space="preserve">  S.L</v>
          </cell>
          <cell r="E671" t="str">
            <v>M</v>
          </cell>
          <cell r="F671">
            <v>22.21</v>
          </cell>
          <cell r="G671">
            <v>18.46</v>
          </cell>
        </row>
        <row r="672">
          <cell r="A672">
            <v>91460</v>
          </cell>
          <cell r="B672" t="str">
            <v>PAINE</v>
          </cell>
          <cell r="C672" t="str">
            <v xml:space="preserve">  G.</v>
          </cell>
          <cell r="E672" t="str">
            <v>M</v>
          </cell>
          <cell r="F672">
            <v>21.33</v>
          </cell>
          <cell r="G672">
            <v>20.49</v>
          </cell>
        </row>
        <row r="673">
          <cell r="A673">
            <v>91469</v>
          </cell>
          <cell r="B673" t="str">
            <v>SCANTLEBURY</v>
          </cell>
          <cell r="C673" t="str">
            <v xml:space="preserve">  R.</v>
          </cell>
          <cell r="E673" t="str">
            <v>M</v>
          </cell>
          <cell r="F673">
            <v>14.91</v>
          </cell>
          <cell r="G673">
            <v>17.329999999999998</v>
          </cell>
        </row>
        <row r="674">
          <cell r="A674">
            <v>91470</v>
          </cell>
          <cell r="B674" t="str">
            <v>CANHAM</v>
          </cell>
          <cell r="C674" t="str">
            <v xml:space="preserve">  T.</v>
          </cell>
          <cell r="E674" t="str">
            <v>M</v>
          </cell>
          <cell r="F674">
            <v>23.05</v>
          </cell>
          <cell r="G674">
            <v>18.43</v>
          </cell>
        </row>
        <row r="675">
          <cell r="A675">
            <v>91474</v>
          </cell>
          <cell r="B675" t="str">
            <v>BACHE</v>
          </cell>
          <cell r="C675" t="str">
            <v xml:space="preserve">  J.</v>
          </cell>
          <cell r="D675">
            <v>993248126</v>
          </cell>
          <cell r="E675" t="str">
            <v>M</v>
          </cell>
        </row>
        <row r="676">
          <cell r="A676">
            <v>91477</v>
          </cell>
          <cell r="B676" t="str">
            <v>BISCHOFER</v>
          </cell>
          <cell r="C676" t="str">
            <v xml:space="preserve">  F.</v>
          </cell>
          <cell r="E676" t="str">
            <v>M</v>
          </cell>
          <cell r="F676">
            <v>22.13</v>
          </cell>
          <cell r="G676">
            <v>18.09</v>
          </cell>
        </row>
        <row r="677">
          <cell r="A677">
            <v>91482</v>
          </cell>
          <cell r="B677" t="str">
            <v>SMITH</v>
          </cell>
          <cell r="C677" t="str">
            <v xml:space="preserve">  T.</v>
          </cell>
          <cell r="D677">
            <v>993248126</v>
          </cell>
          <cell r="E677" t="str">
            <v>M</v>
          </cell>
        </row>
        <row r="678">
          <cell r="A678">
            <v>91486</v>
          </cell>
          <cell r="B678" t="str">
            <v>BAKER</v>
          </cell>
          <cell r="C678" t="str">
            <v xml:space="preserve">  M.J</v>
          </cell>
          <cell r="D678">
            <v>993248126</v>
          </cell>
          <cell r="E678" t="str">
            <v>M</v>
          </cell>
        </row>
        <row r="679">
          <cell r="A679">
            <v>91488</v>
          </cell>
          <cell r="B679" t="str">
            <v>JENKINS</v>
          </cell>
          <cell r="C679" t="str">
            <v xml:space="preserve">  T.R</v>
          </cell>
          <cell r="E679" t="str">
            <v>M</v>
          </cell>
          <cell r="F679">
            <v>20.91</v>
          </cell>
          <cell r="G679">
            <v>16.739999999999998</v>
          </cell>
        </row>
        <row r="680">
          <cell r="A680">
            <v>91494</v>
          </cell>
          <cell r="B680" t="str">
            <v>COLLIER</v>
          </cell>
          <cell r="C680" t="str">
            <v xml:space="preserve">  O.</v>
          </cell>
          <cell r="E680" t="str">
            <v>M</v>
          </cell>
          <cell r="F680">
            <v>16.03</v>
          </cell>
          <cell r="G680">
            <v>18.53</v>
          </cell>
        </row>
        <row r="681">
          <cell r="A681">
            <v>91498</v>
          </cell>
          <cell r="B681" t="str">
            <v>CHARSLEY</v>
          </cell>
          <cell r="C681" t="str">
            <v xml:space="preserve">  D.E</v>
          </cell>
          <cell r="E681" t="str">
            <v>M</v>
          </cell>
          <cell r="F681">
            <v>18.420000000000002</v>
          </cell>
          <cell r="G681">
            <v>15.16</v>
          </cell>
        </row>
        <row r="682">
          <cell r="A682">
            <v>91504</v>
          </cell>
          <cell r="B682" t="str">
            <v>BRADLEY</v>
          </cell>
          <cell r="C682" t="str">
            <v xml:space="preserve">  R.W</v>
          </cell>
          <cell r="E682" t="str">
            <v>M</v>
          </cell>
          <cell r="F682">
            <v>14.05</v>
          </cell>
          <cell r="G682">
            <v>16.23</v>
          </cell>
        </row>
        <row r="683">
          <cell r="A683">
            <v>91525</v>
          </cell>
          <cell r="B683" t="str">
            <v>GREEN</v>
          </cell>
          <cell r="C683" t="str">
            <v xml:space="preserve">  N.T</v>
          </cell>
          <cell r="E683" t="str">
            <v>M</v>
          </cell>
          <cell r="F683">
            <v>18.59</v>
          </cell>
          <cell r="G683">
            <v>14.83</v>
          </cell>
        </row>
        <row r="684">
          <cell r="A684">
            <v>91529</v>
          </cell>
          <cell r="B684" t="str">
            <v>MINTON</v>
          </cell>
          <cell r="C684" t="str">
            <v xml:space="preserve">  M.G</v>
          </cell>
          <cell r="E684" t="str">
            <v>M</v>
          </cell>
          <cell r="F684">
            <v>16.68</v>
          </cell>
          <cell r="G684">
            <v>15.56</v>
          </cell>
        </row>
        <row r="685">
          <cell r="A685">
            <v>91533</v>
          </cell>
          <cell r="B685" t="str">
            <v>CHITTY</v>
          </cell>
          <cell r="C685" t="str">
            <v xml:space="preserve">  B.</v>
          </cell>
          <cell r="E685" t="str">
            <v>M</v>
          </cell>
          <cell r="F685">
            <v>20.83</v>
          </cell>
          <cell r="G685">
            <v>15.94</v>
          </cell>
        </row>
        <row r="686">
          <cell r="A686">
            <v>91534</v>
          </cell>
          <cell r="B686" t="str">
            <v>SPIVEY</v>
          </cell>
          <cell r="C686" t="str">
            <v xml:space="preserve">  P.R</v>
          </cell>
          <cell r="D686">
            <v>993248126</v>
          </cell>
          <cell r="E686" t="str">
            <v>M</v>
          </cell>
        </row>
        <row r="687">
          <cell r="A687">
            <v>91539</v>
          </cell>
          <cell r="B687" t="str">
            <v>MORGAN</v>
          </cell>
          <cell r="C687" t="str">
            <v xml:space="preserve">  A.I</v>
          </cell>
          <cell r="E687" t="str">
            <v>M</v>
          </cell>
          <cell r="F687">
            <v>22.72</v>
          </cell>
          <cell r="G687">
            <v>17.27</v>
          </cell>
        </row>
        <row r="688">
          <cell r="A688">
            <v>91542</v>
          </cell>
          <cell r="B688" t="str">
            <v>BROADWAY</v>
          </cell>
          <cell r="C688" t="str">
            <v xml:space="preserve">  T.</v>
          </cell>
          <cell r="E688" t="str">
            <v>M</v>
          </cell>
          <cell r="F688">
            <v>19.59</v>
          </cell>
          <cell r="G688">
            <v>14.28</v>
          </cell>
        </row>
        <row r="689">
          <cell r="A689">
            <v>91559</v>
          </cell>
          <cell r="B689" t="str">
            <v>JONES</v>
          </cell>
          <cell r="C689" t="str">
            <v xml:space="preserve">  K.G</v>
          </cell>
          <cell r="E689" t="str">
            <v>M</v>
          </cell>
          <cell r="F689">
            <v>21.12</v>
          </cell>
          <cell r="G689">
            <v>16.739999999999998</v>
          </cell>
        </row>
        <row r="690">
          <cell r="A690">
            <v>91563</v>
          </cell>
          <cell r="B690" t="str">
            <v>CLAPINSON</v>
          </cell>
          <cell r="C690" t="str">
            <v xml:space="preserve">  D.</v>
          </cell>
          <cell r="E690" t="str">
            <v>M</v>
          </cell>
          <cell r="F690">
            <v>24.91</v>
          </cell>
          <cell r="G690">
            <v>21.41</v>
          </cell>
        </row>
        <row r="691">
          <cell r="A691">
            <v>91566</v>
          </cell>
          <cell r="B691" t="str">
            <v>BLOW</v>
          </cell>
          <cell r="C691" t="str">
            <v xml:space="preserve">  C.</v>
          </cell>
          <cell r="E691" t="str">
            <v>M</v>
          </cell>
          <cell r="F691">
            <v>21.76</v>
          </cell>
          <cell r="G691">
            <v>17.190000000000001</v>
          </cell>
        </row>
        <row r="692">
          <cell r="A692">
            <v>91569</v>
          </cell>
          <cell r="B692" t="str">
            <v>LOVE</v>
          </cell>
          <cell r="C692" t="str">
            <v xml:space="preserve">  R.</v>
          </cell>
          <cell r="E692" t="str">
            <v>M</v>
          </cell>
          <cell r="F692">
            <v>17.36</v>
          </cell>
          <cell r="G692">
            <v>20.69</v>
          </cell>
        </row>
        <row r="693">
          <cell r="A693">
            <v>91578</v>
          </cell>
          <cell r="B693" t="str">
            <v>DORWARD</v>
          </cell>
          <cell r="C693" t="str">
            <v xml:space="preserve">  I.</v>
          </cell>
          <cell r="E693" t="str">
            <v>M</v>
          </cell>
          <cell r="F693">
            <v>18.64</v>
          </cell>
          <cell r="G693">
            <v>22.38</v>
          </cell>
        </row>
        <row r="694">
          <cell r="A694">
            <v>91579</v>
          </cell>
          <cell r="B694" t="str">
            <v>HANNAH</v>
          </cell>
          <cell r="C694" t="str">
            <v xml:space="preserve">  J.C</v>
          </cell>
          <cell r="E694" t="str">
            <v>M</v>
          </cell>
        </row>
        <row r="695">
          <cell r="A695">
            <v>91585</v>
          </cell>
          <cell r="B695" t="str">
            <v>BEAUMONT</v>
          </cell>
          <cell r="C695" t="str">
            <v xml:space="preserve">  J.F</v>
          </cell>
          <cell r="D695">
            <v>993248126</v>
          </cell>
          <cell r="E695" t="str">
            <v>M</v>
          </cell>
        </row>
        <row r="696">
          <cell r="A696">
            <v>91586</v>
          </cell>
          <cell r="B696" t="str">
            <v>OCKWELL</v>
          </cell>
          <cell r="C696" t="str">
            <v xml:space="preserve">  M.</v>
          </cell>
          <cell r="E696" t="str">
            <v>M</v>
          </cell>
          <cell r="F696">
            <v>20.52</v>
          </cell>
          <cell r="G696">
            <v>16.98</v>
          </cell>
        </row>
        <row r="697">
          <cell r="A697">
            <v>91588</v>
          </cell>
          <cell r="B697" t="str">
            <v>MITCHELL</v>
          </cell>
          <cell r="C697" t="str">
            <v xml:space="preserve">  D.</v>
          </cell>
          <cell r="E697" t="str">
            <v>M</v>
          </cell>
          <cell r="F697">
            <v>21.51</v>
          </cell>
          <cell r="G697">
            <v>21.66</v>
          </cell>
        </row>
        <row r="698">
          <cell r="A698">
            <v>91591</v>
          </cell>
          <cell r="B698" t="str">
            <v>GARTON</v>
          </cell>
          <cell r="C698" t="str">
            <v xml:space="preserve">  M.</v>
          </cell>
          <cell r="E698" t="str">
            <v>M</v>
          </cell>
          <cell r="F698">
            <v>21.31</v>
          </cell>
          <cell r="G698">
            <v>18.02</v>
          </cell>
        </row>
        <row r="699">
          <cell r="A699">
            <v>91592</v>
          </cell>
          <cell r="B699" t="str">
            <v>SNOOK</v>
          </cell>
          <cell r="C699" t="str">
            <v xml:space="preserve">  G.R</v>
          </cell>
          <cell r="D699">
            <v>993248126</v>
          </cell>
          <cell r="E699" t="str">
            <v>M</v>
          </cell>
        </row>
        <row r="700">
          <cell r="A700">
            <v>91593</v>
          </cell>
          <cell r="B700" t="str">
            <v>TRACEY</v>
          </cell>
          <cell r="C700" t="str">
            <v xml:space="preserve">  I.</v>
          </cell>
          <cell r="E700" t="str">
            <v>M</v>
          </cell>
        </row>
        <row r="701">
          <cell r="A701">
            <v>91594</v>
          </cell>
          <cell r="B701" t="str">
            <v>GRANGER</v>
          </cell>
          <cell r="C701" t="str">
            <v xml:space="preserve">  S.A</v>
          </cell>
          <cell r="E701" t="str">
            <v>M</v>
          </cell>
          <cell r="F701">
            <v>27.87</v>
          </cell>
        </row>
        <row r="702">
          <cell r="A702">
            <v>91603</v>
          </cell>
          <cell r="B702" t="str">
            <v>HAMMOND</v>
          </cell>
          <cell r="C702" t="str">
            <v xml:space="preserve">  D.</v>
          </cell>
          <cell r="E702" t="str">
            <v>M</v>
          </cell>
          <cell r="F702">
            <v>19.149999999999999</v>
          </cell>
          <cell r="G702">
            <v>17.420000000000002</v>
          </cell>
        </row>
        <row r="703">
          <cell r="A703">
            <v>91604</v>
          </cell>
          <cell r="B703" t="str">
            <v>BARTON</v>
          </cell>
          <cell r="C703" t="str">
            <v xml:space="preserve">  F.</v>
          </cell>
          <cell r="E703" t="str">
            <v>M</v>
          </cell>
          <cell r="F703">
            <v>16.22</v>
          </cell>
          <cell r="G703">
            <v>15.49</v>
          </cell>
        </row>
        <row r="704">
          <cell r="A704">
            <v>91615</v>
          </cell>
          <cell r="B704" t="str">
            <v>WALTON</v>
          </cell>
          <cell r="C704" t="str">
            <v xml:space="preserve">  T.G</v>
          </cell>
          <cell r="E704" t="str">
            <v>M</v>
          </cell>
          <cell r="F704">
            <v>15.1</v>
          </cell>
          <cell r="G704">
            <v>17.760000000000002</v>
          </cell>
        </row>
        <row r="705">
          <cell r="A705">
            <v>91634</v>
          </cell>
          <cell r="B705" t="str">
            <v>CANHAM</v>
          </cell>
          <cell r="C705" t="str">
            <v xml:space="preserve">  P.</v>
          </cell>
          <cell r="E705" t="str">
            <v>M</v>
          </cell>
          <cell r="F705">
            <v>15.31</v>
          </cell>
          <cell r="G705">
            <v>17.91</v>
          </cell>
        </row>
        <row r="706">
          <cell r="A706">
            <v>91651</v>
          </cell>
          <cell r="B706" t="str">
            <v>KING</v>
          </cell>
          <cell r="C706" t="str">
            <v xml:space="preserve">  M.</v>
          </cell>
          <cell r="E706" t="str">
            <v>M</v>
          </cell>
          <cell r="F706">
            <v>14.35</v>
          </cell>
          <cell r="G706">
            <v>16.64</v>
          </cell>
        </row>
        <row r="707">
          <cell r="A707">
            <v>91652</v>
          </cell>
          <cell r="B707" t="str">
            <v>REYES HERNANDEZ</v>
          </cell>
          <cell r="C707" t="str">
            <v xml:space="preserve">  O.</v>
          </cell>
          <cell r="E707" t="str">
            <v>M</v>
          </cell>
          <cell r="F707">
            <v>12.83</v>
          </cell>
          <cell r="G707">
            <v>14.55</v>
          </cell>
        </row>
        <row r="708">
          <cell r="A708">
            <v>91654</v>
          </cell>
          <cell r="B708" t="str">
            <v>SMITH</v>
          </cell>
          <cell r="C708" t="str">
            <v xml:space="preserve">  R.J</v>
          </cell>
          <cell r="E708" t="str">
            <v>M</v>
          </cell>
          <cell r="F708">
            <v>19.8</v>
          </cell>
          <cell r="G708">
            <v>18.670000000000002</v>
          </cell>
        </row>
        <row r="709">
          <cell r="A709">
            <v>91657</v>
          </cell>
          <cell r="B709" t="str">
            <v>STOREY</v>
          </cell>
          <cell r="C709" t="str">
            <v xml:space="preserve">  J.</v>
          </cell>
          <cell r="E709" t="str">
            <v>M</v>
          </cell>
          <cell r="F709">
            <v>13.12</v>
          </cell>
          <cell r="G709">
            <v>14.94</v>
          </cell>
        </row>
        <row r="710">
          <cell r="A710">
            <v>91665</v>
          </cell>
          <cell r="B710" t="str">
            <v>HAIGH</v>
          </cell>
          <cell r="C710" t="str">
            <v xml:space="preserve">  M.</v>
          </cell>
          <cell r="E710" t="str">
            <v>M</v>
          </cell>
        </row>
        <row r="711">
          <cell r="A711">
            <v>91677</v>
          </cell>
          <cell r="B711" t="str">
            <v>SWEENEY</v>
          </cell>
          <cell r="C711" t="str">
            <v xml:space="preserve">  J.E</v>
          </cell>
          <cell r="E711" t="str">
            <v>M</v>
          </cell>
          <cell r="F711">
            <v>24.04</v>
          </cell>
          <cell r="G711">
            <v>24.15</v>
          </cell>
        </row>
        <row r="712">
          <cell r="A712">
            <v>91678</v>
          </cell>
          <cell r="B712" t="str">
            <v>SANDERS</v>
          </cell>
          <cell r="C712" t="str">
            <v xml:space="preserve">  C.</v>
          </cell>
          <cell r="E712" t="str">
            <v>M</v>
          </cell>
          <cell r="F712">
            <v>18.66</v>
          </cell>
          <cell r="G712">
            <v>17.62</v>
          </cell>
        </row>
        <row r="713">
          <cell r="A713">
            <v>91688</v>
          </cell>
          <cell r="B713" t="str">
            <v>HARRISON</v>
          </cell>
          <cell r="C713" t="str">
            <v xml:space="preserve">  T.C</v>
          </cell>
          <cell r="E713" t="str">
            <v>M</v>
          </cell>
          <cell r="F713">
            <v>16.2</v>
          </cell>
          <cell r="G713">
            <v>19.100000000000001</v>
          </cell>
        </row>
        <row r="714">
          <cell r="A714">
            <v>91693</v>
          </cell>
          <cell r="B714" t="str">
            <v>BUTTERLY</v>
          </cell>
          <cell r="C714" t="str">
            <v xml:space="preserve">  D.</v>
          </cell>
          <cell r="E714" t="str">
            <v>M</v>
          </cell>
          <cell r="F714">
            <v>19.309999999999999</v>
          </cell>
          <cell r="G714">
            <v>23.28</v>
          </cell>
        </row>
        <row r="715">
          <cell r="A715">
            <v>91700</v>
          </cell>
          <cell r="B715" t="str">
            <v>CARR</v>
          </cell>
          <cell r="C715" t="str">
            <v xml:space="preserve">  R.W</v>
          </cell>
          <cell r="E715" t="str">
            <v>M</v>
          </cell>
          <cell r="F715">
            <v>19.940000000000001</v>
          </cell>
          <cell r="G715">
            <v>16.63</v>
          </cell>
        </row>
        <row r="716">
          <cell r="A716">
            <v>91703</v>
          </cell>
          <cell r="B716" t="str">
            <v>ARTHUR</v>
          </cell>
          <cell r="C716" t="str">
            <v xml:space="preserve">  R.</v>
          </cell>
          <cell r="E716" t="str">
            <v>M</v>
          </cell>
          <cell r="F716">
            <v>16.27</v>
          </cell>
          <cell r="G716">
            <v>19.03</v>
          </cell>
        </row>
        <row r="717">
          <cell r="A717">
            <v>91704</v>
          </cell>
          <cell r="B717" t="str">
            <v>WADGE</v>
          </cell>
          <cell r="C717" t="str">
            <v xml:space="preserve">  J.</v>
          </cell>
          <cell r="E717" t="str">
            <v>M</v>
          </cell>
          <cell r="F717">
            <v>13.42</v>
          </cell>
          <cell r="G717">
            <v>15.39</v>
          </cell>
        </row>
        <row r="718">
          <cell r="A718">
            <v>91711</v>
          </cell>
          <cell r="B718" t="str">
            <v>PAYTON</v>
          </cell>
          <cell r="C718" t="str">
            <v xml:space="preserve">  D.D</v>
          </cell>
          <cell r="E718" t="str">
            <v>M</v>
          </cell>
        </row>
        <row r="719">
          <cell r="A719">
            <v>91715</v>
          </cell>
          <cell r="B719" t="str">
            <v>PRIOR</v>
          </cell>
          <cell r="C719" t="str">
            <v xml:space="preserve">  L.</v>
          </cell>
          <cell r="D719">
            <v>203508138</v>
          </cell>
          <cell r="E719" t="str">
            <v>M</v>
          </cell>
        </row>
        <row r="720">
          <cell r="A720">
            <v>91716</v>
          </cell>
          <cell r="B720" t="str">
            <v>BELLWARD</v>
          </cell>
          <cell r="C720" t="str">
            <v xml:space="preserve">  C.P</v>
          </cell>
          <cell r="D720">
            <v>203508138</v>
          </cell>
          <cell r="E720" t="str">
            <v>M</v>
          </cell>
        </row>
        <row r="721">
          <cell r="A721">
            <v>91717</v>
          </cell>
          <cell r="B721" t="str">
            <v>BROWN</v>
          </cell>
          <cell r="C721" t="str">
            <v xml:space="preserve">  K.J</v>
          </cell>
          <cell r="D721">
            <v>203508138</v>
          </cell>
          <cell r="E721" t="str">
            <v>M</v>
          </cell>
        </row>
        <row r="722">
          <cell r="A722">
            <v>91722</v>
          </cell>
          <cell r="B722" t="str">
            <v>GRIFFITHS</v>
          </cell>
          <cell r="C722" t="str">
            <v xml:space="preserve">  B.</v>
          </cell>
          <cell r="E722" t="str">
            <v>M</v>
          </cell>
          <cell r="F722">
            <v>14.8</v>
          </cell>
          <cell r="G722">
            <v>17.27</v>
          </cell>
        </row>
        <row r="723">
          <cell r="A723">
            <v>91725</v>
          </cell>
          <cell r="B723" t="str">
            <v>PAGE</v>
          </cell>
          <cell r="C723" t="str">
            <v xml:space="preserve">  F.</v>
          </cell>
          <cell r="E723" t="str">
            <v>M</v>
          </cell>
          <cell r="F723">
            <v>11.04</v>
          </cell>
          <cell r="G723">
            <v>12.06</v>
          </cell>
        </row>
        <row r="724">
          <cell r="A724">
            <v>91730</v>
          </cell>
          <cell r="B724" t="str">
            <v>JOHNSON</v>
          </cell>
          <cell r="C724" t="str">
            <v xml:space="preserve">  B.R</v>
          </cell>
          <cell r="E724" t="str">
            <v>M</v>
          </cell>
          <cell r="F724">
            <v>20.75</v>
          </cell>
          <cell r="G724">
            <v>19.600000000000001</v>
          </cell>
        </row>
        <row r="725">
          <cell r="A725">
            <v>91732</v>
          </cell>
          <cell r="B725" t="str">
            <v>FULLER</v>
          </cell>
          <cell r="C725" t="str">
            <v xml:space="preserve">  J.</v>
          </cell>
          <cell r="D725">
            <v>203508138</v>
          </cell>
          <cell r="E725" t="str">
            <v>M</v>
          </cell>
        </row>
        <row r="726">
          <cell r="A726">
            <v>91733</v>
          </cell>
          <cell r="B726" t="str">
            <v>BUTT</v>
          </cell>
          <cell r="C726" t="str">
            <v xml:space="preserve">  F.D</v>
          </cell>
          <cell r="D726">
            <v>203508138</v>
          </cell>
          <cell r="E726" t="str">
            <v>M</v>
          </cell>
        </row>
        <row r="727">
          <cell r="A727">
            <v>91747</v>
          </cell>
          <cell r="B727" t="str">
            <v>SOWTEN</v>
          </cell>
          <cell r="C727" t="str">
            <v xml:space="preserve">  D.</v>
          </cell>
          <cell r="D727">
            <v>203508138</v>
          </cell>
          <cell r="E727" t="str">
            <v>M</v>
          </cell>
        </row>
        <row r="728">
          <cell r="A728">
            <v>91748</v>
          </cell>
          <cell r="B728" t="str">
            <v>THACKERAY</v>
          </cell>
          <cell r="C728" t="str">
            <v xml:space="preserve">  S.A</v>
          </cell>
          <cell r="D728">
            <v>203508138</v>
          </cell>
          <cell r="E728" t="str">
            <v>M</v>
          </cell>
        </row>
        <row r="729">
          <cell r="A729">
            <v>91755</v>
          </cell>
          <cell r="B729" t="str">
            <v>NIGHTINGALE</v>
          </cell>
          <cell r="C729" t="str">
            <v xml:space="preserve">  P.C</v>
          </cell>
          <cell r="D729">
            <v>203508138</v>
          </cell>
          <cell r="E729" t="str">
            <v>M</v>
          </cell>
        </row>
        <row r="730">
          <cell r="A730">
            <v>91757</v>
          </cell>
          <cell r="B730" t="str">
            <v>LAKIN</v>
          </cell>
          <cell r="C730" t="str">
            <v xml:space="preserve">  W.</v>
          </cell>
          <cell r="E730" t="str">
            <v>M</v>
          </cell>
          <cell r="F730">
            <v>16.27</v>
          </cell>
          <cell r="G730">
            <v>15.93</v>
          </cell>
        </row>
        <row r="731">
          <cell r="A731">
            <v>91758</v>
          </cell>
          <cell r="B731" t="str">
            <v>OATEN</v>
          </cell>
          <cell r="C731" t="str">
            <v xml:space="preserve">  A.</v>
          </cell>
          <cell r="D731">
            <v>203508138</v>
          </cell>
          <cell r="E731" t="str">
            <v>M</v>
          </cell>
        </row>
        <row r="732">
          <cell r="A732">
            <v>91759</v>
          </cell>
          <cell r="B732" t="str">
            <v>MCGAUGHEY</v>
          </cell>
          <cell r="C732" t="str">
            <v xml:space="preserve">  A.</v>
          </cell>
          <cell r="E732" t="str">
            <v>M</v>
          </cell>
          <cell r="F732">
            <v>14.59</v>
          </cell>
          <cell r="G732">
            <v>16.96</v>
          </cell>
        </row>
        <row r="733">
          <cell r="A733">
            <v>91761</v>
          </cell>
          <cell r="B733" t="str">
            <v>CROMPTON</v>
          </cell>
          <cell r="C733" t="str">
            <v xml:space="preserve">  D.</v>
          </cell>
          <cell r="D733">
            <v>203508138</v>
          </cell>
          <cell r="E733" t="str">
            <v>M</v>
          </cell>
        </row>
        <row r="734">
          <cell r="A734">
            <v>91762</v>
          </cell>
          <cell r="B734" t="str">
            <v>SMITH</v>
          </cell>
          <cell r="C734" t="str">
            <v xml:space="preserve">  T.</v>
          </cell>
          <cell r="E734" t="str">
            <v>M</v>
          </cell>
          <cell r="F734">
            <v>19.54</v>
          </cell>
          <cell r="G734">
            <v>23.13</v>
          </cell>
        </row>
        <row r="735">
          <cell r="A735">
            <v>91763</v>
          </cell>
          <cell r="B735" t="str">
            <v>WEAVER</v>
          </cell>
          <cell r="C735" t="str">
            <v xml:space="preserve">  J.</v>
          </cell>
          <cell r="D735">
            <v>203598137</v>
          </cell>
          <cell r="E735" t="str">
            <v>M</v>
          </cell>
        </row>
        <row r="736">
          <cell r="A736">
            <v>91765</v>
          </cell>
          <cell r="B736" t="str">
            <v>KEMP</v>
          </cell>
          <cell r="C736" t="str">
            <v xml:space="preserve">  M.R</v>
          </cell>
          <cell r="E736" t="str">
            <v>M</v>
          </cell>
          <cell r="F736">
            <v>11.23</v>
          </cell>
          <cell r="G736">
            <v>12.29</v>
          </cell>
        </row>
        <row r="737">
          <cell r="A737">
            <v>91767</v>
          </cell>
          <cell r="B737" t="str">
            <v>GEDDIS</v>
          </cell>
          <cell r="C737" t="str">
            <v xml:space="preserve">  C.</v>
          </cell>
          <cell r="D737">
            <v>983268119</v>
          </cell>
          <cell r="E737" t="str">
            <v>M</v>
          </cell>
          <cell r="F737">
            <v>18.87</v>
          </cell>
          <cell r="G737">
            <v>13.27</v>
          </cell>
        </row>
        <row r="738">
          <cell r="A738">
            <v>91771</v>
          </cell>
          <cell r="B738" t="str">
            <v>COOPER</v>
          </cell>
          <cell r="C738" t="str">
            <v xml:space="preserve">  D.G</v>
          </cell>
          <cell r="E738" t="str">
            <v>M</v>
          </cell>
          <cell r="F738">
            <v>12.08</v>
          </cell>
          <cell r="G738">
            <v>13.59</v>
          </cell>
        </row>
        <row r="739">
          <cell r="A739">
            <v>91772</v>
          </cell>
          <cell r="B739" t="str">
            <v>BAIRD</v>
          </cell>
          <cell r="C739" t="str">
            <v xml:space="preserve">  P.</v>
          </cell>
          <cell r="E739" t="str">
            <v>M</v>
          </cell>
          <cell r="F739">
            <v>22.36</v>
          </cell>
          <cell r="G739">
            <v>18.05</v>
          </cell>
        </row>
        <row r="740">
          <cell r="A740">
            <v>91775</v>
          </cell>
          <cell r="B740" t="str">
            <v>WARDROBE</v>
          </cell>
          <cell r="C740" t="str">
            <v xml:space="preserve">  S.A</v>
          </cell>
          <cell r="D740">
            <v>993248126</v>
          </cell>
          <cell r="E740" t="str">
            <v>M</v>
          </cell>
        </row>
        <row r="741">
          <cell r="A741">
            <v>91776</v>
          </cell>
          <cell r="B741" t="str">
            <v>SPILLMAN</v>
          </cell>
          <cell r="C741" t="str">
            <v xml:space="preserve">  J.A</v>
          </cell>
          <cell r="E741" t="str">
            <v>M</v>
          </cell>
          <cell r="F741">
            <v>13.27</v>
          </cell>
          <cell r="G741">
            <v>15.18</v>
          </cell>
        </row>
        <row r="742">
          <cell r="A742">
            <v>91779</v>
          </cell>
          <cell r="B742" t="str">
            <v>BURR0WS</v>
          </cell>
          <cell r="C742" t="str">
            <v xml:space="preserve">  B.</v>
          </cell>
          <cell r="D742">
            <v>203508138</v>
          </cell>
          <cell r="E742" t="str">
            <v>M</v>
          </cell>
        </row>
        <row r="743">
          <cell r="A743">
            <v>91780</v>
          </cell>
          <cell r="B743" t="str">
            <v>CROFT</v>
          </cell>
          <cell r="C743" t="str">
            <v xml:space="preserve">  G.</v>
          </cell>
          <cell r="E743" t="str">
            <v>M</v>
          </cell>
          <cell r="F743">
            <v>14.05</v>
          </cell>
          <cell r="G743">
            <v>16.23</v>
          </cell>
        </row>
        <row r="744">
          <cell r="A744">
            <v>91782</v>
          </cell>
          <cell r="B744" t="str">
            <v>NEWCOMBE</v>
          </cell>
          <cell r="C744" t="str">
            <v xml:space="preserve">  G.E</v>
          </cell>
          <cell r="E744" t="str">
            <v>M</v>
          </cell>
          <cell r="F744">
            <v>21.9</v>
          </cell>
          <cell r="G744">
            <v>16.920000000000002</v>
          </cell>
        </row>
        <row r="745">
          <cell r="A745">
            <v>91783</v>
          </cell>
          <cell r="B745" t="str">
            <v>CHALKIN</v>
          </cell>
          <cell r="C745" t="str">
            <v xml:space="preserve">  L.</v>
          </cell>
          <cell r="E745" t="str">
            <v>M</v>
          </cell>
          <cell r="F745">
            <v>15.38</v>
          </cell>
          <cell r="G745">
            <v>18.02</v>
          </cell>
        </row>
        <row r="746">
          <cell r="A746">
            <v>91787</v>
          </cell>
          <cell r="B746" t="str">
            <v>GRAHAM</v>
          </cell>
          <cell r="C746" t="str">
            <v xml:space="preserve">  A.G</v>
          </cell>
          <cell r="E746" t="str">
            <v>M</v>
          </cell>
          <cell r="F746">
            <v>15.38</v>
          </cell>
          <cell r="G746">
            <v>18.02</v>
          </cell>
        </row>
        <row r="747">
          <cell r="A747">
            <v>91790</v>
          </cell>
          <cell r="B747" t="str">
            <v>KNIGHT</v>
          </cell>
          <cell r="C747" t="str">
            <v xml:space="preserve">  T.</v>
          </cell>
          <cell r="E747" t="str">
            <v>M</v>
          </cell>
          <cell r="F747">
            <v>15.31</v>
          </cell>
          <cell r="G747">
            <v>17.93</v>
          </cell>
        </row>
        <row r="748">
          <cell r="A748">
            <v>91791</v>
          </cell>
          <cell r="B748" t="str">
            <v>JONES</v>
          </cell>
          <cell r="C748" t="str">
            <v xml:space="preserve">  M.</v>
          </cell>
          <cell r="D748">
            <v>203508138</v>
          </cell>
          <cell r="E748" t="str">
            <v>M</v>
          </cell>
        </row>
        <row r="749">
          <cell r="A749">
            <v>91792</v>
          </cell>
          <cell r="B749" t="str">
            <v>BROWN</v>
          </cell>
          <cell r="C749" t="str">
            <v xml:space="preserve">  J.S</v>
          </cell>
          <cell r="E749" t="str">
            <v>M</v>
          </cell>
          <cell r="F749">
            <v>13.78</v>
          </cell>
          <cell r="G749">
            <v>18.88</v>
          </cell>
        </row>
        <row r="750">
          <cell r="A750">
            <v>91794</v>
          </cell>
          <cell r="B750" t="str">
            <v>AVERY</v>
          </cell>
          <cell r="C750" t="str">
            <v xml:space="preserve">  J.</v>
          </cell>
          <cell r="E750" t="str">
            <v>M</v>
          </cell>
          <cell r="F750">
            <v>24</v>
          </cell>
          <cell r="G750">
            <v>21.56</v>
          </cell>
        </row>
        <row r="751">
          <cell r="A751">
            <v>91904</v>
          </cell>
          <cell r="B751" t="str">
            <v>HUNTER</v>
          </cell>
          <cell r="C751" t="str">
            <v xml:space="preserve">  A.J</v>
          </cell>
          <cell r="D751">
            <v>203168070</v>
          </cell>
          <cell r="E751" t="str">
            <v>M</v>
          </cell>
        </row>
        <row r="752">
          <cell r="A752">
            <v>91912</v>
          </cell>
          <cell r="B752" t="str">
            <v>MORRISON</v>
          </cell>
          <cell r="C752" t="str">
            <v xml:space="preserve">  S.</v>
          </cell>
          <cell r="E752" t="str">
            <v>M</v>
          </cell>
          <cell r="F752">
            <v>23.51</v>
          </cell>
          <cell r="G752">
            <v>20.170000000000002</v>
          </cell>
        </row>
        <row r="753">
          <cell r="A753">
            <v>91915</v>
          </cell>
          <cell r="B753" t="str">
            <v>HEDGES</v>
          </cell>
          <cell r="C753" t="str">
            <v xml:space="preserve">  J.</v>
          </cell>
          <cell r="E753" t="str">
            <v>M</v>
          </cell>
          <cell r="F753">
            <v>22.17</v>
          </cell>
          <cell r="G753">
            <v>20.96</v>
          </cell>
        </row>
        <row r="754">
          <cell r="A754">
            <v>91921</v>
          </cell>
          <cell r="B754" t="str">
            <v>LEWIS</v>
          </cell>
          <cell r="C754" t="str">
            <v xml:space="preserve">  R.M</v>
          </cell>
          <cell r="E754" t="str">
            <v>M</v>
          </cell>
          <cell r="F754">
            <v>25.44</v>
          </cell>
          <cell r="G754">
            <v>25.02</v>
          </cell>
        </row>
        <row r="755">
          <cell r="A755">
            <v>91925</v>
          </cell>
          <cell r="B755" t="str">
            <v>HAMMOND</v>
          </cell>
          <cell r="C755" t="str">
            <v xml:space="preserve">  S.J</v>
          </cell>
          <cell r="E755" t="str">
            <v>M</v>
          </cell>
        </row>
        <row r="756">
          <cell r="A756">
            <v>91936</v>
          </cell>
          <cell r="B756" t="str">
            <v>BROWN</v>
          </cell>
          <cell r="C756" t="str">
            <v xml:space="preserve">  R.</v>
          </cell>
          <cell r="E756" t="str">
            <v>M</v>
          </cell>
        </row>
        <row r="757">
          <cell r="A757">
            <v>91937</v>
          </cell>
          <cell r="B757" t="str">
            <v>WELCH</v>
          </cell>
          <cell r="C757" t="str">
            <v xml:space="preserve">  M.W</v>
          </cell>
          <cell r="D757">
            <v>203408140</v>
          </cell>
          <cell r="E757" t="str">
            <v>M</v>
          </cell>
        </row>
        <row r="758">
          <cell r="A758">
            <v>91940</v>
          </cell>
          <cell r="B758" t="str">
            <v>STRATTEN</v>
          </cell>
          <cell r="C758" t="str">
            <v xml:space="preserve">  D.</v>
          </cell>
          <cell r="E758" t="str">
            <v>M</v>
          </cell>
        </row>
        <row r="759">
          <cell r="A759">
            <v>91942</v>
          </cell>
          <cell r="B759" t="str">
            <v>HARRISON</v>
          </cell>
          <cell r="C759" t="str">
            <v xml:space="preserve">  P.J</v>
          </cell>
          <cell r="E759" t="str">
            <v>M</v>
          </cell>
          <cell r="F759">
            <v>18.68</v>
          </cell>
          <cell r="G759">
            <v>17.239999999999998</v>
          </cell>
        </row>
        <row r="760">
          <cell r="A760">
            <v>91943</v>
          </cell>
          <cell r="B760" t="str">
            <v>BARRACLOUGH</v>
          </cell>
          <cell r="C760" t="str">
            <v xml:space="preserve">  T.J</v>
          </cell>
          <cell r="E760" t="str">
            <v>M</v>
          </cell>
          <cell r="F760">
            <v>26.16</v>
          </cell>
          <cell r="G760">
            <v>28.15</v>
          </cell>
        </row>
        <row r="761">
          <cell r="A761">
            <v>91949</v>
          </cell>
          <cell r="B761" t="str">
            <v>PAPER</v>
          </cell>
          <cell r="C761" t="str">
            <v xml:space="preserve">  S.</v>
          </cell>
          <cell r="E761" t="str">
            <v>M</v>
          </cell>
          <cell r="F761">
            <v>17.489999999999998</v>
          </cell>
          <cell r="G761">
            <v>20.79</v>
          </cell>
        </row>
        <row r="762">
          <cell r="A762">
            <v>91950</v>
          </cell>
          <cell r="B762" t="str">
            <v>WOODWARD</v>
          </cell>
          <cell r="C762" t="str">
            <v xml:space="preserve">  G.</v>
          </cell>
          <cell r="E762" t="str">
            <v>M</v>
          </cell>
          <cell r="F762">
            <v>21.34</v>
          </cell>
          <cell r="G762">
            <v>20.37</v>
          </cell>
        </row>
        <row r="763">
          <cell r="A763">
            <v>91953</v>
          </cell>
          <cell r="B763" t="str">
            <v>STODDART</v>
          </cell>
          <cell r="C763" t="str">
            <v xml:space="preserve">  C.</v>
          </cell>
          <cell r="E763" t="str">
            <v>M</v>
          </cell>
        </row>
        <row r="764">
          <cell r="A764">
            <v>92002</v>
          </cell>
          <cell r="B764" t="str">
            <v>KEENE</v>
          </cell>
          <cell r="C764" t="str">
            <v xml:space="preserve">  D.M</v>
          </cell>
          <cell r="E764" t="str">
            <v>M</v>
          </cell>
          <cell r="F764">
            <v>24.57</v>
          </cell>
          <cell r="G764">
            <v>34.270000000000003</v>
          </cell>
        </row>
        <row r="765">
          <cell r="A765">
            <v>92036</v>
          </cell>
          <cell r="B765" t="str">
            <v>SWEENEY</v>
          </cell>
          <cell r="C765" t="str">
            <v xml:space="preserve">  P.</v>
          </cell>
          <cell r="E765" t="str">
            <v>M</v>
          </cell>
          <cell r="F765">
            <v>22.7</v>
          </cell>
          <cell r="G765">
            <v>30.46</v>
          </cell>
        </row>
        <row r="766">
          <cell r="A766">
            <v>92051</v>
          </cell>
          <cell r="B766" t="str">
            <v>PALMIERI</v>
          </cell>
          <cell r="C766" t="str">
            <v xml:space="preserve">  G.</v>
          </cell>
          <cell r="E766" t="str">
            <v>M</v>
          </cell>
          <cell r="F766">
            <v>21.8</v>
          </cell>
          <cell r="G766">
            <v>28.79</v>
          </cell>
        </row>
        <row r="767">
          <cell r="A767">
            <v>92058</v>
          </cell>
          <cell r="B767" t="str">
            <v>DILLOWAY</v>
          </cell>
          <cell r="C767" t="str">
            <v xml:space="preserve">  P.</v>
          </cell>
          <cell r="E767" t="str">
            <v>M</v>
          </cell>
          <cell r="F767">
            <v>24.53</v>
          </cell>
          <cell r="G767">
            <v>33.51</v>
          </cell>
        </row>
        <row r="768">
          <cell r="A768">
            <v>92068</v>
          </cell>
          <cell r="B768" t="str">
            <v>SMITH</v>
          </cell>
          <cell r="C768" t="str">
            <v xml:space="preserve">  S.R</v>
          </cell>
          <cell r="E768" t="str">
            <v>M</v>
          </cell>
          <cell r="F768">
            <v>22.97</v>
          </cell>
          <cell r="G768">
            <v>30.33</v>
          </cell>
        </row>
        <row r="769">
          <cell r="A769">
            <v>92072</v>
          </cell>
          <cell r="B769" t="str">
            <v>HORNE</v>
          </cell>
          <cell r="C769" t="str">
            <v xml:space="preserve">  M.</v>
          </cell>
          <cell r="E769" t="str">
            <v>M</v>
          </cell>
          <cell r="F769">
            <v>24.01</v>
          </cell>
          <cell r="G769">
            <v>33</v>
          </cell>
        </row>
        <row r="770">
          <cell r="A770">
            <v>92085</v>
          </cell>
          <cell r="B770" t="str">
            <v>CROWE</v>
          </cell>
          <cell r="C770" t="str">
            <v xml:space="preserve">  A.</v>
          </cell>
          <cell r="E770" t="str">
            <v>M</v>
          </cell>
          <cell r="F770">
            <v>24.07</v>
          </cell>
          <cell r="G770">
            <v>34.270000000000003</v>
          </cell>
        </row>
        <row r="771">
          <cell r="A771">
            <v>92110</v>
          </cell>
          <cell r="B771" t="str">
            <v>SPENCER</v>
          </cell>
          <cell r="C771" t="str">
            <v xml:space="preserve">  I.</v>
          </cell>
          <cell r="E771" t="str">
            <v>M</v>
          </cell>
          <cell r="F771">
            <v>23.97</v>
          </cell>
          <cell r="G771">
            <v>32.75</v>
          </cell>
        </row>
        <row r="772">
          <cell r="A772">
            <v>92116</v>
          </cell>
          <cell r="B772" t="str">
            <v>ADAMS</v>
          </cell>
          <cell r="C772" t="str">
            <v xml:space="preserve">  R.M</v>
          </cell>
          <cell r="E772" t="str">
            <v>M</v>
          </cell>
          <cell r="F772">
            <v>23.16</v>
          </cell>
          <cell r="G772">
            <v>32.25</v>
          </cell>
        </row>
        <row r="773">
          <cell r="A773">
            <v>92125</v>
          </cell>
          <cell r="B773" t="str">
            <v>HOPE</v>
          </cell>
          <cell r="C773" t="str">
            <v xml:space="preserve">  S.</v>
          </cell>
          <cell r="E773" t="str">
            <v>M</v>
          </cell>
          <cell r="F773">
            <v>22.42</v>
          </cell>
          <cell r="G773">
            <v>31.73</v>
          </cell>
        </row>
        <row r="774">
          <cell r="A774">
            <v>92128</v>
          </cell>
          <cell r="B774" t="str">
            <v>LAUWERS</v>
          </cell>
          <cell r="C774" t="str">
            <v xml:space="preserve">  S.</v>
          </cell>
          <cell r="E774" t="str">
            <v>M</v>
          </cell>
          <cell r="F774">
            <v>21.87</v>
          </cell>
          <cell r="G774">
            <v>21.87</v>
          </cell>
        </row>
        <row r="775">
          <cell r="A775">
            <v>92136</v>
          </cell>
          <cell r="B775" t="str">
            <v>ATKINSON</v>
          </cell>
          <cell r="C775" t="str">
            <v xml:space="preserve">  C.</v>
          </cell>
          <cell r="E775" t="str">
            <v>M</v>
          </cell>
          <cell r="F775">
            <v>15.73</v>
          </cell>
          <cell r="G775">
            <v>19.04</v>
          </cell>
        </row>
        <row r="776">
          <cell r="A776">
            <v>92146</v>
          </cell>
          <cell r="B776" t="str">
            <v>MORRIS</v>
          </cell>
          <cell r="C776" t="str">
            <v xml:space="preserve">  B.</v>
          </cell>
          <cell r="E776" t="str">
            <v>M</v>
          </cell>
          <cell r="F776">
            <v>17.510000000000002</v>
          </cell>
          <cell r="G776">
            <v>21.58</v>
          </cell>
        </row>
        <row r="777">
          <cell r="A777">
            <v>92905</v>
          </cell>
          <cell r="B777" t="str">
            <v>EDWARDS</v>
          </cell>
          <cell r="C777" t="str">
            <v xml:space="preserve">  R.</v>
          </cell>
          <cell r="E777" t="str">
            <v>M</v>
          </cell>
          <cell r="F777">
            <v>24.72</v>
          </cell>
          <cell r="G777">
            <v>33.619999999999997</v>
          </cell>
        </row>
        <row r="778">
          <cell r="A778">
            <v>93000</v>
          </cell>
          <cell r="B778" t="str">
            <v>ALLGOOD</v>
          </cell>
          <cell r="C778" t="str">
            <v xml:space="preserve">  D.J</v>
          </cell>
          <cell r="D778">
            <v>203518081</v>
          </cell>
          <cell r="E778" t="str">
            <v>M</v>
          </cell>
        </row>
        <row r="779">
          <cell r="A779">
            <v>93002</v>
          </cell>
          <cell r="B779" t="str">
            <v>BROUGHTON</v>
          </cell>
          <cell r="C779" t="str">
            <v xml:space="preserve">  R.</v>
          </cell>
          <cell r="D779">
            <v>203518081</v>
          </cell>
          <cell r="E779" t="str">
            <v>M</v>
          </cell>
        </row>
        <row r="780">
          <cell r="A780">
            <v>93003</v>
          </cell>
          <cell r="B780" t="str">
            <v>BLAKE</v>
          </cell>
          <cell r="C780" t="str">
            <v xml:space="preserve">  A.</v>
          </cell>
          <cell r="D780">
            <v>203518081</v>
          </cell>
          <cell r="E780" t="str">
            <v>M</v>
          </cell>
        </row>
        <row r="781">
          <cell r="A781">
            <v>93004</v>
          </cell>
          <cell r="B781" t="str">
            <v>BRUDENELL</v>
          </cell>
          <cell r="C781" t="str">
            <v xml:space="preserve">  R.</v>
          </cell>
          <cell r="D781">
            <v>203518081</v>
          </cell>
          <cell r="E781" t="str">
            <v>M</v>
          </cell>
        </row>
        <row r="782">
          <cell r="A782">
            <v>93007</v>
          </cell>
          <cell r="B782" t="str">
            <v>DEAN</v>
          </cell>
          <cell r="C782" t="str">
            <v xml:space="preserve">  M.D</v>
          </cell>
          <cell r="D782">
            <v>203518081</v>
          </cell>
          <cell r="E782" t="str">
            <v>M</v>
          </cell>
        </row>
        <row r="783">
          <cell r="A783">
            <v>93008</v>
          </cell>
          <cell r="B783" t="str">
            <v>DURBRIDGE</v>
          </cell>
          <cell r="C783" t="str">
            <v xml:space="preserve">  B.</v>
          </cell>
          <cell r="D783">
            <v>203518081</v>
          </cell>
          <cell r="E783" t="str">
            <v>M</v>
          </cell>
        </row>
        <row r="784">
          <cell r="A784">
            <v>93010</v>
          </cell>
          <cell r="B784" t="str">
            <v>DOWNEY</v>
          </cell>
          <cell r="C784" t="str">
            <v xml:space="preserve">  J.P</v>
          </cell>
          <cell r="D784">
            <v>203518081</v>
          </cell>
          <cell r="E784" t="str">
            <v>M</v>
          </cell>
        </row>
        <row r="785">
          <cell r="A785">
            <v>93011</v>
          </cell>
          <cell r="B785" t="str">
            <v>FOVARGUE</v>
          </cell>
          <cell r="C785" t="str">
            <v xml:space="preserve">  J.S</v>
          </cell>
          <cell r="D785">
            <v>203518081</v>
          </cell>
          <cell r="E785" t="str">
            <v>M</v>
          </cell>
        </row>
        <row r="786">
          <cell r="A786">
            <v>93012</v>
          </cell>
          <cell r="B786" t="str">
            <v>GIBBS</v>
          </cell>
          <cell r="C786" t="str">
            <v xml:space="preserve">  J.W</v>
          </cell>
          <cell r="D786">
            <v>203518081</v>
          </cell>
          <cell r="E786" t="str">
            <v>M</v>
          </cell>
        </row>
        <row r="787">
          <cell r="A787">
            <v>93013</v>
          </cell>
          <cell r="B787" t="str">
            <v>GREENWOOD</v>
          </cell>
          <cell r="C787" t="str">
            <v xml:space="preserve">  B.</v>
          </cell>
          <cell r="D787">
            <v>203518081</v>
          </cell>
          <cell r="E787" t="str">
            <v>M</v>
          </cell>
        </row>
        <row r="788">
          <cell r="A788">
            <v>93015</v>
          </cell>
          <cell r="B788" t="str">
            <v>HAWKINS</v>
          </cell>
          <cell r="C788" t="str">
            <v xml:space="preserve">  P.D</v>
          </cell>
          <cell r="D788">
            <v>203518081</v>
          </cell>
          <cell r="E788" t="str">
            <v>M</v>
          </cell>
        </row>
        <row r="789">
          <cell r="A789">
            <v>93016</v>
          </cell>
          <cell r="B789" t="str">
            <v>HENTHORNE</v>
          </cell>
          <cell r="C789" t="str">
            <v xml:space="preserve">  I.D</v>
          </cell>
          <cell r="D789">
            <v>203518081</v>
          </cell>
          <cell r="E789" t="str">
            <v>M</v>
          </cell>
        </row>
        <row r="790">
          <cell r="A790">
            <v>93017</v>
          </cell>
          <cell r="B790" t="str">
            <v>HOPKINS</v>
          </cell>
          <cell r="C790" t="str">
            <v xml:space="preserve">  R.</v>
          </cell>
          <cell r="D790">
            <v>203518081</v>
          </cell>
          <cell r="E790" t="str">
            <v>M</v>
          </cell>
        </row>
        <row r="791">
          <cell r="A791">
            <v>93018</v>
          </cell>
          <cell r="B791" t="str">
            <v>HILL</v>
          </cell>
          <cell r="C791" t="str">
            <v xml:space="preserve">  R.E</v>
          </cell>
          <cell r="D791">
            <v>203518081</v>
          </cell>
          <cell r="E791" t="str">
            <v>M</v>
          </cell>
        </row>
        <row r="792">
          <cell r="A792">
            <v>93020</v>
          </cell>
          <cell r="B792" t="str">
            <v>JUDD</v>
          </cell>
          <cell r="C792" t="str">
            <v xml:space="preserve">  E.</v>
          </cell>
          <cell r="D792">
            <v>203518081</v>
          </cell>
          <cell r="E792" t="str">
            <v>M</v>
          </cell>
        </row>
        <row r="793">
          <cell r="A793">
            <v>93021</v>
          </cell>
          <cell r="B793" t="str">
            <v>JOHNSON</v>
          </cell>
          <cell r="C793" t="str">
            <v xml:space="preserve">  P.A</v>
          </cell>
          <cell r="D793">
            <v>203518081</v>
          </cell>
          <cell r="E793" t="str">
            <v>M</v>
          </cell>
        </row>
        <row r="794">
          <cell r="A794">
            <v>93031</v>
          </cell>
          <cell r="B794" t="str">
            <v>SCRIVENER</v>
          </cell>
          <cell r="C794" t="str">
            <v xml:space="preserve">  R.J</v>
          </cell>
          <cell r="D794">
            <v>203518081</v>
          </cell>
          <cell r="E794" t="str">
            <v>M</v>
          </cell>
        </row>
        <row r="795">
          <cell r="A795">
            <v>93033</v>
          </cell>
          <cell r="B795" t="str">
            <v>WILLIAMS</v>
          </cell>
          <cell r="C795" t="str">
            <v xml:space="preserve">  P.A</v>
          </cell>
          <cell r="D795">
            <v>203518081</v>
          </cell>
          <cell r="E795" t="str">
            <v>M</v>
          </cell>
        </row>
        <row r="796">
          <cell r="A796">
            <v>93040</v>
          </cell>
          <cell r="B796" t="str">
            <v>BUNN</v>
          </cell>
          <cell r="C796" t="str">
            <v xml:space="preserve">  K.</v>
          </cell>
          <cell r="E796" t="str">
            <v>M</v>
          </cell>
        </row>
        <row r="797">
          <cell r="A797">
            <v>93041</v>
          </cell>
          <cell r="B797" t="str">
            <v>JESSUP</v>
          </cell>
          <cell r="C797" t="str">
            <v xml:space="preserve">  D.W</v>
          </cell>
          <cell r="D797">
            <v>203518081</v>
          </cell>
          <cell r="E797" t="str">
            <v>M</v>
          </cell>
        </row>
        <row r="798">
          <cell r="A798">
            <v>93044</v>
          </cell>
          <cell r="B798" t="str">
            <v>MCKAIG</v>
          </cell>
          <cell r="C798" t="str">
            <v xml:space="preserve">  D.L</v>
          </cell>
          <cell r="D798">
            <v>203518081</v>
          </cell>
          <cell r="E798" t="str">
            <v>M</v>
          </cell>
        </row>
        <row r="799">
          <cell r="A799">
            <v>93045</v>
          </cell>
          <cell r="B799" t="str">
            <v>SNELL</v>
          </cell>
          <cell r="C799" t="str">
            <v xml:space="preserve">  R.G</v>
          </cell>
          <cell r="D799">
            <v>203518081</v>
          </cell>
          <cell r="E799" t="str">
            <v>M</v>
          </cell>
        </row>
        <row r="800">
          <cell r="A800">
            <v>93046</v>
          </cell>
          <cell r="B800" t="str">
            <v>KNIGHTS</v>
          </cell>
          <cell r="C800" t="str">
            <v xml:space="preserve">  A.F</v>
          </cell>
          <cell r="D800">
            <v>203518081</v>
          </cell>
          <cell r="E800" t="str">
            <v>M</v>
          </cell>
        </row>
        <row r="801">
          <cell r="A801">
            <v>93048</v>
          </cell>
          <cell r="B801" t="str">
            <v>CHESHER</v>
          </cell>
          <cell r="C801" t="str">
            <v xml:space="preserve">  R.</v>
          </cell>
          <cell r="D801">
            <v>203518081</v>
          </cell>
          <cell r="E801" t="str">
            <v>M</v>
          </cell>
        </row>
        <row r="802">
          <cell r="A802">
            <v>93049</v>
          </cell>
          <cell r="B802" t="str">
            <v>BARNES</v>
          </cell>
          <cell r="C802" t="str">
            <v xml:space="preserve">  A.</v>
          </cell>
          <cell r="D802">
            <v>203518081</v>
          </cell>
          <cell r="E802" t="str">
            <v>M</v>
          </cell>
        </row>
        <row r="803">
          <cell r="A803">
            <v>93053</v>
          </cell>
          <cell r="B803" t="str">
            <v>GIBSON</v>
          </cell>
          <cell r="C803" t="str">
            <v xml:space="preserve">  N.</v>
          </cell>
          <cell r="E803" t="str">
            <v>M</v>
          </cell>
        </row>
        <row r="804">
          <cell r="A804">
            <v>93054</v>
          </cell>
          <cell r="B804" t="str">
            <v>SCRIVENER</v>
          </cell>
          <cell r="C804" t="str">
            <v xml:space="preserve">  L.H</v>
          </cell>
          <cell r="D804">
            <v>203518081</v>
          </cell>
          <cell r="E804" t="str">
            <v>M</v>
          </cell>
        </row>
        <row r="805">
          <cell r="A805">
            <v>94172</v>
          </cell>
          <cell r="B805" t="str">
            <v>TINGLING</v>
          </cell>
          <cell r="C805" t="str">
            <v xml:space="preserve">  M.</v>
          </cell>
          <cell r="E805" t="str">
            <v>W</v>
          </cell>
          <cell r="F805">
            <v>16.440000000000001</v>
          </cell>
          <cell r="G805">
            <v>19.440000000000001</v>
          </cell>
        </row>
        <row r="806">
          <cell r="A806">
            <v>94801</v>
          </cell>
          <cell r="B806" t="str">
            <v>MCCLEAN</v>
          </cell>
          <cell r="C806" t="str">
            <v xml:space="preserve">  J.</v>
          </cell>
          <cell r="E806" t="str">
            <v>M</v>
          </cell>
          <cell r="F806">
            <v>19.399999999999999</v>
          </cell>
          <cell r="G806">
            <v>22.38</v>
          </cell>
        </row>
        <row r="807">
          <cell r="A807">
            <v>96100</v>
          </cell>
          <cell r="B807" t="str">
            <v>SKONE</v>
          </cell>
          <cell r="C807" t="str">
            <v xml:space="preserve">  P.</v>
          </cell>
          <cell r="E807" t="str">
            <v>M</v>
          </cell>
        </row>
        <row r="808">
          <cell r="A808">
            <v>96105</v>
          </cell>
          <cell r="B808" t="str">
            <v>DAGG</v>
          </cell>
          <cell r="C808" t="str">
            <v xml:space="preserve">  R.</v>
          </cell>
          <cell r="E808" t="str">
            <v>M</v>
          </cell>
        </row>
        <row r="809">
          <cell r="A809">
            <v>96236</v>
          </cell>
          <cell r="B809" t="str">
            <v>CLARKE</v>
          </cell>
          <cell r="C809" t="str">
            <v xml:space="preserve">  J.M</v>
          </cell>
          <cell r="E809" t="str">
            <v>M</v>
          </cell>
        </row>
        <row r="810">
          <cell r="A810">
            <v>96245</v>
          </cell>
          <cell r="B810" t="str">
            <v>PIGGOTT</v>
          </cell>
          <cell r="C810" t="str">
            <v xml:space="preserve">  M.</v>
          </cell>
          <cell r="E810" t="str">
            <v>M</v>
          </cell>
        </row>
        <row r="811">
          <cell r="A811">
            <v>96297</v>
          </cell>
          <cell r="B811" t="str">
            <v>RICHARDSON</v>
          </cell>
          <cell r="C811" t="str">
            <v xml:space="preserve">  M.</v>
          </cell>
          <cell r="E811" t="str">
            <v>M</v>
          </cell>
        </row>
        <row r="812">
          <cell r="A812">
            <v>96331</v>
          </cell>
          <cell r="B812" t="str">
            <v>KNIGHT</v>
          </cell>
          <cell r="C812" t="str">
            <v xml:space="preserve">  M.</v>
          </cell>
          <cell r="E812" t="str">
            <v>M</v>
          </cell>
        </row>
        <row r="813">
          <cell r="A813">
            <v>96333</v>
          </cell>
          <cell r="B813" t="str">
            <v>BURNETT</v>
          </cell>
          <cell r="C813" t="str">
            <v xml:space="preserve">  L.</v>
          </cell>
          <cell r="E813" t="str">
            <v>M</v>
          </cell>
        </row>
        <row r="814">
          <cell r="A814">
            <v>96350</v>
          </cell>
          <cell r="B814" t="str">
            <v>MEACHER</v>
          </cell>
          <cell r="C814" t="str">
            <v xml:space="preserve">  S.</v>
          </cell>
          <cell r="E814" t="str">
            <v>M</v>
          </cell>
        </row>
        <row r="815">
          <cell r="A815">
            <v>96396</v>
          </cell>
          <cell r="B815" t="str">
            <v>LOADER</v>
          </cell>
          <cell r="C815" t="str">
            <v xml:space="preserve">  J.D</v>
          </cell>
          <cell r="E815" t="str">
            <v>M</v>
          </cell>
        </row>
        <row r="816">
          <cell r="A816">
            <v>96405</v>
          </cell>
          <cell r="B816" t="str">
            <v>NISH</v>
          </cell>
          <cell r="C816" t="str">
            <v xml:space="preserve">  S.A</v>
          </cell>
          <cell r="E816" t="str">
            <v>M</v>
          </cell>
        </row>
        <row r="817">
          <cell r="A817">
            <v>96503</v>
          </cell>
          <cell r="B817" t="str">
            <v>KNIGHT</v>
          </cell>
          <cell r="C817" t="str">
            <v xml:space="preserve">  E.A</v>
          </cell>
          <cell r="E817" t="str">
            <v>M</v>
          </cell>
        </row>
        <row r="818">
          <cell r="A818">
            <v>96505</v>
          </cell>
          <cell r="B818" t="str">
            <v>SMART</v>
          </cell>
          <cell r="C818" t="str">
            <v xml:space="preserve">  R.S</v>
          </cell>
          <cell r="E818" t="str">
            <v>M</v>
          </cell>
        </row>
        <row r="819">
          <cell r="A819">
            <v>96511</v>
          </cell>
          <cell r="B819" t="str">
            <v>WALSH</v>
          </cell>
          <cell r="C819" t="str">
            <v xml:space="preserve">  R.M</v>
          </cell>
          <cell r="E819" t="str">
            <v>M</v>
          </cell>
        </row>
        <row r="820">
          <cell r="A820">
            <v>96563</v>
          </cell>
          <cell r="B820" t="str">
            <v>DALTON</v>
          </cell>
          <cell r="C820" t="str">
            <v xml:space="preserve">  S.G</v>
          </cell>
          <cell r="E820" t="str">
            <v>M</v>
          </cell>
        </row>
        <row r="821">
          <cell r="A821">
            <v>96569</v>
          </cell>
          <cell r="B821" t="str">
            <v>SHUTTLEWORTH</v>
          </cell>
          <cell r="C821" t="str">
            <v xml:space="preserve">  I.M</v>
          </cell>
          <cell r="E821" t="str">
            <v>M</v>
          </cell>
        </row>
        <row r="822">
          <cell r="A822">
            <v>96570</v>
          </cell>
          <cell r="B822" t="str">
            <v>WARREN</v>
          </cell>
          <cell r="C822" t="str">
            <v xml:space="preserve">  P.</v>
          </cell>
          <cell r="E822" t="str">
            <v>M</v>
          </cell>
        </row>
        <row r="823">
          <cell r="A823">
            <v>96571</v>
          </cell>
          <cell r="B823" t="str">
            <v>MADDAMS</v>
          </cell>
          <cell r="C823" t="str">
            <v xml:space="preserve">  R.A</v>
          </cell>
          <cell r="E823" t="str">
            <v>M</v>
          </cell>
        </row>
        <row r="824">
          <cell r="A824">
            <v>96587</v>
          </cell>
          <cell r="B824" t="str">
            <v>DIXON</v>
          </cell>
          <cell r="C824" t="str">
            <v xml:space="preserve">  C.S</v>
          </cell>
          <cell r="E824" t="str">
            <v>M</v>
          </cell>
        </row>
        <row r="825">
          <cell r="A825">
            <v>96600</v>
          </cell>
          <cell r="B825" t="str">
            <v>GOATLEY</v>
          </cell>
          <cell r="C825" t="str">
            <v xml:space="preserve">  R.</v>
          </cell>
          <cell r="E825" t="str">
            <v>M</v>
          </cell>
          <cell r="F825">
            <v>16.55</v>
          </cell>
          <cell r="G825">
            <v>18.88</v>
          </cell>
        </row>
        <row r="826">
          <cell r="A826">
            <v>96601</v>
          </cell>
          <cell r="B826" t="str">
            <v>MCGREGOR</v>
          </cell>
          <cell r="C826" t="str">
            <v xml:space="preserve">  I.M</v>
          </cell>
          <cell r="D826">
            <v>203168070</v>
          </cell>
          <cell r="E826" t="str">
            <v>M</v>
          </cell>
        </row>
        <row r="827">
          <cell r="A827">
            <v>96604</v>
          </cell>
          <cell r="B827" t="str">
            <v>HOOTON</v>
          </cell>
          <cell r="C827" t="str">
            <v xml:space="preserve">  J.A</v>
          </cell>
          <cell r="E827" t="str">
            <v>M</v>
          </cell>
        </row>
        <row r="828">
          <cell r="A828">
            <v>96607</v>
          </cell>
          <cell r="B828" t="str">
            <v>CABBLE</v>
          </cell>
          <cell r="C828" t="str">
            <v xml:space="preserve">  L.D</v>
          </cell>
          <cell r="E828" t="str">
            <v>M</v>
          </cell>
        </row>
        <row r="829">
          <cell r="A829">
            <v>96617</v>
          </cell>
          <cell r="B829" t="str">
            <v>FRANKLAND</v>
          </cell>
          <cell r="C829" t="str">
            <v xml:space="preserve">  D.</v>
          </cell>
          <cell r="E829" t="str">
            <v>M</v>
          </cell>
        </row>
        <row r="830">
          <cell r="A830">
            <v>96619</v>
          </cell>
          <cell r="B830" t="str">
            <v>PICKETT</v>
          </cell>
          <cell r="C830" t="str">
            <v xml:space="preserve">  M.J</v>
          </cell>
          <cell r="D830">
            <v>203518081</v>
          </cell>
          <cell r="E830" t="str">
            <v>M</v>
          </cell>
        </row>
        <row r="831">
          <cell r="A831">
            <v>96620</v>
          </cell>
          <cell r="B831" t="str">
            <v>TURNBULL</v>
          </cell>
          <cell r="C831" t="str">
            <v xml:space="preserve">  J.A</v>
          </cell>
          <cell r="E831" t="str">
            <v>M</v>
          </cell>
        </row>
        <row r="832">
          <cell r="A832">
            <v>96622</v>
          </cell>
          <cell r="B832" t="str">
            <v>CAMERON</v>
          </cell>
          <cell r="C832" t="str">
            <v xml:space="preserve">  J.</v>
          </cell>
          <cell r="E832" t="str">
            <v>M</v>
          </cell>
        </row>
        <row r="833">
          <cell r="A833">
            <v>96625</v>
          </cell>
          <cell r="B833" t="str">
            <v>EVANS</v>
          </cell>
          <cell r="C833" t="str">
            <v xml:space="preserve">  J.</v>
          </cell>
          <cell r="E833" t="str">
            <v>M</v>
          </cell>
        </row>
        <row r="834">
          <cell r="A834">
            <v>96628</v>
          </cell>
          <cell r="B834" t="str">
            <v>WAKE</v>
          </cell>
          <cell r="C834" t="str">
            <v xml:space="preserve">  A.</v>
          </cell>
          <cell r="E834" t="str">
            <v>M</v>
          </cell>
        </row>
        <row r="835">
          <cell r="A835">
            <v>96632</v>
          </cell>
          <cell r="B835" t="str">
            <v>HARRISON</v>
          </cell>
          <cell r="C835" t="str">
            <v xml:space="preserve">  J.</v>
          </cell>
          <cell r="E835" t="str">
            <v>M</v>
          </cell>
        </row>
        <row r="836">
          <cell r="A836">
            <v>96634</v>
          </cell>
          <cell r="B836" t="str">
            <v>BOOTH</v>
          </cell>
          <cell r="C836" t="str">
            <v xml:space="preserve">  A.</v>
          </cell>
          <cell r="E836" t="str">
            <v>M</v>
          </cell>
        </row>
        <row r="837">
          <cell r="A837">
            <v>96643</v>
          </cell>
          <cell r="B837" t="str">
            <v>CARROLL</v>
          </cell>
          <cell r="C837" t="str">
            <v xml:space="preserve">  M.</v>
          </cell>
          <cell r="E837" t="str">
            <v>M</v>
          </cell>
        </row>
        <row r="838">
          <cell r="A838">
            <v>96644</v>
          </cell>
          <cell r="B838" t="str">
            <v>GERAGHTY</v>
          </cell>
          <cell r="C838" t="str">
            <v xml:space="preserve">  M.F</v>
          </cell>
          <cell r="E838" t="str">
            <v>M</v>
          </cell>
        </row>
        <row r="839">
          <cell r="A839">
            <v>96677</v>
          </cell>
          <cell r="B839" t="str">
            <v>PEDEN</v>
          </cell>
          <cell r="C839" t="str">
            <v xml:space="preserve">  G.</v>
          </cell>
          <cell r="E839" t="str">
            <v>M</v>
          </cell>
        </row>
        <row r="840">
          <cell r="A840">
            <v>96680</v>
          </cell>
          <cell r="B840" t="str">
            <v>STAIT</v>
          </cell>
          <cell r="C840" t="str">
            <v xml:space="preserve">  L.C</v>
          </cell>
          <cell r="E840" t="str">
            <v>M</v>
          </cell>
        </row>
        <row r="841">
          <cell r="A841">
            <v>96684</v>
          </cell>
          <cell r="B841" t="str">
            <v>LYNE</v>
          </cell>
          <cell r="C841" t="str">
            <v xml:space="preserve">  R.</v>
          </cell>
          <cell r="E841" t="str">
            <v>M</v>
          </cell>
        </row>
        <row r="842">
          <cell r="A842">
            <v>96690</v>
          </cell>
          <cell r="B842" t="str">
            <v>WALKER</v>
          </cell>
          <cell r="C842" t="str">
            <v xml:space="preserve">  T.</v>
          </cell>
          <cell r="E842" t="str">
            <v>M</v>
          </cell>
        </row>
        <row r="843">
          <cell r="A843">
            <v>96697</v>
          </cell>
          <cell r="B843" t="str">
            <v>BOUGH</v>
          </cell>
          <cell r="C843" t="str">
            <v xml:space="preserve">  D.A</v>
          </cell>
          <cell r="E843" t="str">
            <v>M</v>
          </cell>
        </row>
        <row r="844">
          <cell r="A844">
            <v>96712</v>
          </cell>
          <cell r="B844" t="str">
            <v>WILLIS</v>
          </cell>
          <cell r="C844" t="str">
            <v xml:space="preserve">  S.A</v>
          </cell>
          <cell r="E844" t="str">
            <v>M</v>
          </cell>
        </row>
        <row r="845">
          <cell r="A845">
            <v>96934</v>
          </cell>
          <cell r="B845" t="str">
            <v>YARWOOD</v>
          </cell>
          <cell r="C845" t="str">
            <v xml:space="preserve">  D.</v>
          </cell>
          <cell r="E845" t="str">
            <v>M</v>
          </cell>
          <cell r="F845">
            <v>9.1199999999999992</v>
          </cell>
        </row>
        <row r="846">
          <cell r="A846">
            <v>96936</v>
          </cell>
          <cell r="B846" t="str">
            <v>ATHERTON</v>
          </cell>
          <cell r="C846" t="str">
            <v xml:space="preserve">  A.</v>
          </cell>
          <cell r="E846" t="str">
            <v>M</v>
          </cell>
        </row>
        <row r="847">
          <cell r="A847">
            <v>96941</v>
          </cell>
          <cell r="B847" t="str">
            <v>SUTTON</v>
          </cell>
          <cell r="C847" t="str">
            <v xml:space="preserve">  M.</v>
          </cell>
          <cell r="E847" t="str">
            <v>M</v>
          </cell>
          <cell r="F847">
            <v>13.08</v>
          </cell>
          <cell r="G847">
            <v>14.94</v>
          </cell>
        </row>
        <row r="848">
          <cell r="A848">
            <v>96952</v>
          </cell>
          <cell r="B848" t="str">
            <v>SEARLE</v>
          </cell>
          <cell r="C848" t="str">
            <v xml:space="preserve">  W.</v>
          </cell>
          <cell r="E848" t="str">
            <v>M</v>
          </cell>
          <cell r="F848">
            <v>14.41</v>
          </cell>
          <cell r="G848">
            <v>16.739999999999998</v>
          </cell>
        </row>
        <row r="849">
          <cell r="A849">
            <v>96964</v>
          </cell>
          <cell r="B849" t="str">
            <v>EDGE</v>
          </cell>
          <cell r="C849" t="str">
            <v xml:space="preserve">  G.J</v>
          </cell>
          <cell r="E849" t="str">
            <v>M</v>
          </cell>
          <cell r="F849">
            <v>13.68</v>
          </cell>
          <cell r="G849">
            <v>12.71</v>
          </cell>
        </row>
        <row r="850">
          <cell r="A850">
            <v>97080</v>
          </cell>
          <cell r="B850" t="str">
            <v>MARSHALL</v>
          </cell>
          <cell r="C850" t="str">
            <v xml:space="preserve">  H.</v>
          </cell>
          <cell r="E850" t="str">
            <v>W</v>
          </cell>
        </row>
        <row r="851">
          <cell r="A851">
            <v>97501</v>
          </cell>
          <cell r="B851" t="str">
            <v>PADHIAR</v>
          </cell>
          <cell r="C851" t="str">
            <v xml:space="preserve">  R.L</v>
          </cell>
          <cell r="E851" t="str">
            <v>M</v>
          </cell>
          <cell r="F851">
            <v>22.88</v>
          </cell>
          <cell r="G851">
            <v>32.29</v>
          </cell>
        </row>
        <row r="852">
          <cell r="A852">
            <v>97515</v>
          </cell>
          <cell r="B852" t="str">
            <v>TRIGGS</v>
          </cell>
          <cell r="C852" t="str">
            <v xml:space="preserve">  B.</v>
          </cell>
          <cell r="E852" t="str">
            <v>M</v>
          </cell>
          <cell r="F852">
            <v>21.95</v>
          </cell>
          <cell r="G852">
            <v>29.32</v>
          </cell>
        </row>
        <row r="853">
          <cell r="A853">
            <v>97519</v>
          </cell>
          <cell r="B853" t="str">
            <v>DOUGLAS</v>
          </cell>
          <cell r="C853" t="str">
            <v xml:space="preserve">  T.R</v>
          </cell>
          <cell r="E853" t="str">
            <v>M</v>
          </cell>
          <cell r="F853">
            <v>21.11</v>
          </cell>
          <cell r="G853">
            <v>27.58</v>
          </cell>
        </row>
        <row r="854">
          <cell r="A854">
            <v>98030</v>
          </cell>
          <cell r="B854" t="str">
            <v>LANGMAN</v>
          </cell>
          <cell r="C854" t="str">
            <v xml:space="preserve">  M.</v>
          </cell>
          <cell r="E854" t="str">
            <v>M</v>
          </cell>
          <cell r="F854">
            <v>32.049999999999997</v>
          </cell>
        </row>
        <row r="855">
          <cell r="A855">
            <v>98231</v>
          </cell>
          <cell r="B855" t="str">
            <v>PETERS</v>
          </cell>
          <cell r="C855" t="str">
            <v xml:space="preserve">  D.T</v>
          </cell>
          <cell r="E855" t="str">
            <v>M</v>
          </cell>
          <cell r="F855">
            <v>30.92</v>
          </cell>
        </row>
        <row r="856">
          <cell r="A856">
            <v>98243</v>
          </cell>
          <cell r="B856" t="str">
            <v>TUCKNOTT</v>
          </cell>
          <cell r="C856" t="str">
            <v xml:space="preserve">  D.J</v>
          </cell>
          <cell r="E856" t="str">
            <v>M</v>
          </cell>
          <cell r="F856">
            <v>28.47</v>
          </cell>
        </row>
        <row r="857">
          <cell r="A857">
            <v>98252</v>
          </cell>
          <cell r="B857" t="str">
            <v>JONES</v>
          </cell>
          <cell r="C857" t="str">
            <v xml:space="preserve">  N.</v>
          </cell>
          <cell r="E857" t="str">
            <v>M</v>
          </cell>
          <cell r="F857">
            <v>22.81</v>
          </cell>
          <cell r="G857">
            <v>22.53</v>
          </cell>
        </row>
        <row r="858">
          <cell r="A858">
            <v>98287</v>
          </cell>
          <cell r="B858" t="str">
            <v>THOMSON</v>
          </cell>
          <cell r="C858" t="str">
            <v xml:space="preserve">  R.</v>
          </cell>
          <cell r="E858" t="str">
            <v>M</v>
          </cell>
          <cell r="F858">
            <v>28.28</v>
          </cell>
        </row>
        <row r="859">
          <cell r="A859">
            <v>98293</v>
          </cell>
          <cell r="B859" t="str">
            <v>STREET</v>
          </cell>
          <cell r="C859" t="str">
            <v xml:space="preserve">  M.</v>
          </cell>
          <cell r="E859" t="str">
            <v>M</v>
          </cell>
          <cell r="F859">
            <v>26.18</v>
          </cell>
        </row>
        <row r="860">
          <cell r="A860">
            <v>98337</v>
          </cell>
          <cell r="B860" t="str">
            <v>ASTWOOD</v>
          </cell>
          <cell r="C860" t="str">
            <v xml:space="preserve">  S.</v>
          </cell>
          <cell r="E860" t="str">
            <v>M</v>
          </cell>
          <cell r="F860">
            <v>30.84</v>
          </cell>
        </row>
        <row r="861">
          <cell r="A861">
            <v>98477</v>
          </cell>
          <cell r="B861" t="str">
            <v>MARTIN</v>
          </cell>
          <cell r="C861" t="str">
            <v xml:space="preserve">  G.R</v>
          </cell>
          <cell r="E861" t="str">
            <v>M</v>
          </cell>
          <cell r="F861">
            <v>30.14</v>
          </cell>
        </row>
        <row r="862">
          <cell r="A862">
            <v>98492</v>
          </cell>
          <cell r="B862" t="str">
            <v>BROWN</v>
          </cell>
          <cell r="C862" t="str">
            <v xml:space="preserve">  K.S</v>
          </cell>
          <cell r="E862" t="str">
            <v>M</v>
          </cell>
          <cell r="F862">
            <v>29.39</v>
          </cell>
        </row>
        <row r="863">
          <cell r="A863">
            <v>98512</v>
          </cell>
          <cell r="B863" t="str">
            <v>BAGGALEY</v>
          </cell>
          <cell r="C863" t="str">
            <v xml:space="preserve">  P.</v>
          </cell>
          <cell r="E863" t="str">
            <v>M</v>
          </cell>
          <cell r="F863">
            <v>26.09</v>
          </cell>
        </row>
        <row r="864">
          <cell r="A864">
            <v>98516</v>
          </cell>
          <cell r="B864" t="str">
            <v>WALES</v>
          </cell>
          <cell r="C864" t="str">
            <v xml:space="preserve">  C.</v>
          </cell>
          <cell r="E864" t="str">
            <v>M</v>
          </cell>
        </row>
        <row r="865">
          <cell r="A865">
            <v>98518</v>
          </cell>
          <cell r="B865" t="str">
            <v>FALLON</v>
          </cell>
          <cell r="C865" t="str">
            <v xml:space="preserve">  T.</v>
          </cell>
          <cell r="E865" t="str">
            <v>M</v>
          </cell>
          <cell r="F865">
            <v>27.02</v>
          </cell>
        </row>
        <row r="866">
          <cell r="A866">
            <v>98543</v>
          </cell>
          <cell r="B866" t="str">
            <v>GILMORE</v>
          </cell>
          <cell r="C866" t="str">
            <v xml:space="preserve">  A.</v>
          </cell>
          <cell r="E866" t="str">
            <v>M</v>
          </cell>
          <cell r="F866">
            <v>29.23</v>
          </cell>
        </row>
        <row r="867">
          <cell r="A867">
            <v>98545</v>
          </cell>
          <cell r="B867" t="str">
            <v>WEEKS</v>
          </cell>
          <cell r="C867" t="str">
            <v xml:space="preserve">  C.</v>
          </cell>
          <cell r="E867" t="str">
            <v>M</v>
          </cell>
          <cell r="F867">
            <v>26.18</v>
          </cell>
          <cell r="G867">
            <v>31.79</v>
          </cell>
        </row>
        <row r="868">
          <cell r="A868">
            <v>98546</v>
          </cell>
          <cell r="B868" t="str">
            <v>BURROWS</v>
          </cell>
          <cell r="C868" t="str">
            <v xml:space="preserve">  L.</v>
          </cell>
          <cell r="E868" t="str">
            <v>M</v>
          </cell>
          <cell r="F868">
            <v>10.94</v>
          </cell>
        </row>
        <row r="869">
          <cell r="A869">
            <v>98547</v>
          </cell>
          <cell r="B869" t="str">
            <v>ROCHE</v>
          </cell>
          <cell r="C869" t="str">
            <v xml:space="preserve">  P.</v>
          </cell>
          <cell r="E869" t="str">
            <v>M</v>
          </cell>
          <cell r="F869">
            <v>23.9</v>
          </cell>
        </row>
        <row r="870">
          <cell r="A870">
            <v>98549</v>
          </cell>
          <cell r="B870" t="str">
            <v>BAILEY</v>
          </cell>
          <cell r="C870" t="str">
            <v xml:space="preserve">  J.</v>
          </cell>
          <cell r="E870" t="str">
            <v>M</v>
          </cell>
          <cell r="F870">
            <v>22.81</v>
          </cell>
        </row>
        <row r="871">
          <cell r="A871">
            <v>98552</v>
          </cell>
          <cell r="B871" t="str">
            <v>WHITLOCK</v>
          </cell>
          <cell r="C871" t="str">
            <v xml:space="preserve">  S.</v>
          </cell>
          <cell r="E871" t="str">
            <v>M</v>
          </cell>
          <cell r="F871">
            <v>29.22</v>
          </cell>
        </row>
        <row r="872">
          <cell r="A872">
            <v>98559</v>
          </cell>
          <cell r="B872" t="str">
            <v>ROBERTSON</v>
          </cell>
          <cell r="C872" t="str">
            <v xml:space="preserve">  C.R</v>
          </cell>
          <cell r="E872" t="str">
            <v>M</v>
          </cell>
          <cell r="F872">
            <v>16.309999999999999</v>
          </cell>
        </row>
        <row r="873">
          <cell r="A873">
            <v>98560</v>
          </cell>
          <cell r="B873" t="str">
            <v>KIRKLAND</v>
          </cell>
          <cell r="C873" t="str">
            <v xml:space="preserve">  N.</v>
          </cell>
          <cell r="E873" t="str">
            <v>M</v>
          </cell>
          <cell r="F873">
            <v>27.03</v>
          </cell>
        </row>
        <row r="874">
          <cell r="A874">
            <v>98562</v>
          </cell>
          <cell r="B874" t="str">
            <v>GRAY</v>
          </cell>
          <cell r="C874" t="str">
            <v xml:space="preserve">  A.M</v>
          </cell>
          <cell r="D874">
            <v>203508138</v>
          </cell>
          <cell r="E874" t="str">
            <v>M</v>
          </cell>
        </row>
        <row r="875">
          <cell r="A875">
            <v>98563</v>
          </cell>
          <cell r="B875" t="str">
            <v>RICHARDS</v>
          </cell>
          <cell r="C875" t="str">
            <v xml:space="preserve">  S.</v>
          </cell>
          <cell r="E875" t="str">
            <v>M</v>
          </cell>
        </row>
        <row r="876">
          <cell r="A876">
            <v>98565</v>
          </cell>
          <cell r="B876" t="str">
            <v>WICKINS</v>
          </cell>
          <cell r="C876" t="str">
            <v xml:space="preserve">  C.</v>
          </cell>
          <cell r="E876" t="str">
            <v>M</v>
          </cell>
        </row>
        <row r="877">
          <cell r="A877">
            <v>98567</v>
          </cell>
          <cell r="B877" t="str">
            <v>ABRAHAM</v>
          </cell>
          <cell r="C877" t="str">
            <v xml:space="preserve">  R.P</v>
          </cell>
          <cell r="E877" t="str">
            <v>M</v>
          </cell>
        </row>
        <row r="878">
          <cell r="A878">
            <v>98569</v>
          </cell>
          <cell r="B878" t="str">
            <v>BARRON</v>
          </cell>
          <cell r="C878" t="str">
            <v xml:space="preserve">  A.C</v>
          </cell>
          <cell r="E878" t="str">
            <v>M</v>
          </cell>
        </row>
        <row r="879">
          <cell r="A879">
            <v>98574</v>
          </cell>
          <cell r="B879" t="str">
            <v>FINN</v>
          </cell>
          <cell r="C879" t="str">
            <v xml:space="preserve">  A.</v>
          </cell>
          <cell r="E879" t="str">
            <v>M</v>
          </cell>
          <cell r="F879">
            <v>23.4</v>
          </cell>
          <cell r="G879">
            <v>28.56</v>
          </cell>
        </row>
        <row r="880">
          <cell r="A880">
            <v>98575</v>
          </cell>
          <cell r="B880" t="str">
            <v>MASKELL</v>
          </cell>
          <cell r="C880" t="str">
            <v xml:space="preserve">  D.T</v>
          </cell>
          <cell r="D880">
            <v>203168070</v>
          </cell>
          <cell r="E880" t="str">
            <v>M</v>
          </cell>
        </row>
        <row r="881">
          <cell r="A881">
            <v>98576</v>
          </cell>
          <cell r="B881" t="str">
            <v>CHIPPENDALE</v>
          </cell>
          <cell r="C881" t="str">
            <v xml:space="preserve">  B.</v>
          </cell>
          <cell r="E881" t="str">
            <v>M</v>
          </cell>
          <cell r="F881">
            <v>24.67</v>
          </cell>
          <cell r="G881">
            <v>31.73</v>
          </cell>
        </row>
        <row r="882">
          <cell r="A882">
            <v>98578</v>
          </cell>
          <cell r="B882" t="str">
            <v>COOPER</v>
          </cell>
          <cell r="C882" t="str">
            <v xml:space="preserve">  K.J</v>
          </cell>
          <cell r="D882">
            <v>203508138</v>
          </cell>
          <cell r="E882" t="str">
            <v>M</v>
          </cell>
        </row>
        <row r="883">
          <cell r="A883">
            <v>98579</v>
          </cell>
          <cell r="B883" t="str">
            <v>JONES</v>
          </cell>
          <cell r="C883" t="str">
            <v xml:space="preserve">  K.W</v>
          </cell>
          <cell r="D883">
            <v>203268123</v>
          </cell>
          <cell r="E883" t="str">
            <v>M</v>
          </cell>
        </row>
        <row r="884">
          <cell r="A884">
            <v>98580</v>
          </cell>
          <cell r="B884" t="str">
            <v>PEARCE</v>
          </cell>
          <cell r="C884" t="str">
            <v xml:space="preserve">  W.C</v>
          </cell>
          <cell r="D884">
            <v>203508138</v>
          </cell>
          <cell r="E884" t="str">
            <v>M</v>
          </cell>
        </row>
        <row r="885">
          <cell r="A885">
            <v>98581</v>
          </cell>
          <cell r="B885" t="str">
            <v>LANGRIDGE</v>
          </cell>
          <cell r="C885" t="str">
            <v xml:space="preserve">  C.</v>
          </cell>
          <cell r="E885" t="str">
            <v>M</v>
          </cell>
          <cell r="F885">
            <v>25.85</v>
          </cell>
        </row>
        <row r="886">
          <cell r="A886">
            <v>98587</v>
          </cell>
          <cell r="B886" t="str">
            <v>HALL</v>
          </cell>
          <cell r="C886" t="str">
            <v xml:space="preserve">  C.</v>
          </cell>
          <cell r="E886" t="str">
            <v>M</v>
          </cell>
          <cell r="F886">
            <v>25</v>
          </cell>
        </row>
        <row r="887">
          <cell r="A887">
            <v>98588</v>
          </cell>
          <cell r="B887" t="str">
            <v>TAYLOR</v>
          </cell>
          <cell r="C887" t="str">
            <v xml:space="preserve">  B.</v>
          </cell>
          <cell r="E887" t="str">
            <v>M</v>
          </cell>
          <cell r="F887">
            <v>21.57</v>
          </cell>
        </row>
        <row r="888">
          <cell r="A888">
            <v>99091</v>
          </cell>
          <cell r="B888" t="str">
            <v>CHAMBERS</v>
          </cell>
          <cell r="C888" t="str">
            <v xml:space="preserve">  A.L</v>
          </cell>
          <cell r="E888" t="str">
            <v>M</v>
          </cell>
        </row>
        <row r="889">
          <cell r="A889">
            <v>99130</v>
          </cell>
          <cell r="B889" t="str">
            <v>ASTBURY</v>
          </cell>
          <cell r="C889" t="str">
            <v xml:space="preserve">  R.A</v>
          </cell>
          <cell r="E889" t="str">
            <v>M</v>
          </cell>
        </row>
        <row r="890">
          <cell r="A890">
            <v>99134</v>
          </cell>
          <cell r="B890" t="str">
            <v>MARSHALL</v>
          </cell>
          <cell r="C890" t="str">
            <v xml:space="preserve">  P.J</v>
          </cell>
          <cell r="D890">
            <v>983127254</v>
          </cell>
          <cell r="E890" t="str">
            <v>M</v>
          </cell>
        </row>
        <row r="891">
          <cell r="A891">
            <v>99150</v>
          </cell>
          <cell r="B891" t="str">
            <v>SMITH</v>
          </cell>
          <cell r="C891" t="str">
            <v xml:space="preserve">  J.D</v>
          </cell>
          <cell r="E891" t="str">
            <v>M</v>
          </cell>
        </row>
        <row r="892">
          <cell r="A892">
            <v>99158</v>
          </cell>
          <cell r="B892" t="str">
            <v>WILLSTEAD</v>
          </cell>
          <cell r="C892" t="str">
            <v xml:space="preserve">  T.G</v>
          </cell>
          <cell r="E892" t="str">
            <v>M</v>
          </cell>
        </row>
        <row r="893">
          <cell r="A893">
            <v>99163</v>
          </cell>
          <cell r="B893" t="str">
            <v>MEREDITH</v>
          </cell>
          <cell r="C893" t="str">
            <v xml:space="preserve">  B.R</v>
          </cell>
          <cell r="E893" t="str">
            <v>M</v>
          </cell>
        </row>
        <row r="894">
          <cell r="A894">
            <v>99166</v>
          </cell>
          <cell r="B894" t="str">
            <v>WHITEHEAD</v>
          </cell>
          <cell r="C894" t="str">
            <v xml:space="preserve">  M.</v>
          </cell>
          <cell r="E894" t="str">
            <v>M</v>
          </cell>
          <cell r="F894">
            <v>23.77</v>
          </cell>
        </row>
        <row r="895">
          <cell r="A895">
            <v>99170</v>
          </cell>
          <cell r="B895" t="str">
            <v>EDWARDS</v>
          </cell>
          <cell r="C895" t="str">
            <v xml:space="preserve">  T.J</v>
          </cell>
          <cell r="E895" t="str">
            <v>M</v>
          </cell>
        </row>
        <row r="896">
          <cell r="A896">
            <v>99171</v>
          </cell>
          <cell r="B896" t="str">
            <v>BROWN</v>
          </cell>
          <cell r="C896" t="str">
            <v xml:space="preserve">  I.R</v>
          </cell>
          <cell r="E896" t="str">
            <v>M</v>
          </cell>
        </row>
        <row r="897">
          <cell r="A897">
            <v>99182</v>
          </cell>
          <cell r="B897" t="str">
            <v>REVELEY</v>
          </cell>
          <cell r="C897" t="str">
            <v xml:space="preserve">  K.T</v>
          </cell>
          <cell r="E897" t="str">
            <v>M</v>
          </cell>
          <cell r="F897">
            <v>31.67</v>
          </cell>
        </row>
        <row r="898">
          <cell r="A898">
            <v>99183</v>
          </cell>
          <cell r="B898" t="str">
            <v>MERRYWEATHER</v>
          </cell>
          <cell r="C898" t="str">
            <v xml:space="preserve">  C.</v>
          </cell>
          <cell r="E898" t="str">
            <v>M</v>
          </cell>
        </row>
        <row r="899">
          <cell r="A899">
            <v>99184</v>
          </cell>
          <cell r="B899" t="str">
            <v>EASTER</v>
          </cell>
          <cell r="C899" t="str">
            <v xml:space="preserve">  C.</v>
          </cell>
          <cell r="D899">
            <v>203508138</v>
          </cell>
          <cell r="E899" t="str">
            <v>M</v>
          </cell>
        </row>
        <row r="900">
          <cell r="A900">
            <v>99186</v>
          </cell>
          <cell r="B900" t="str">
            <v>UPHAM</v>
          </cell>
          <cell r="C900" t="str">
            <v xml:space="preserve">  J.P</v>
          </cell>
          <cell r="E900" t="str">
            <v>M</v>
          </cell>
        </row>
        <row r="901">
          <cell r="A901">
            <v>99187</v>
          </cell>
          <cell r="B901" t="str">
            <v>LENNARD</v>
          </cell>
          <cell r="C901" t="str">
            <v xml:space="preserve">  J.</v>
          </cell>
          <cell r="E901" t="str">
            <v>M</v>
          </cell>
          <cell r="F901">
            <v>15.58</v>
          </cell>
          <cell r="G901">
            <v>18.78</v>
          </cell>
        </row>
        <row r="902">
          <cell r="A902">
            <v>99188</v>
          </cell>
          <cell r="B902" t="str">
            <v>MARTIN</v>
          </cell>
          <cell r="C902" t="str">
            <v xml:space="preserve">  K.W</v>
          </cell>
          <cell r="E902" t="str">
            <v>M</v>
          </cell>
          <cell r="F902">
            <v>26.1</v>
          </cell>
        </row>
        <row r="903">
          <cell r="A903">
            <v>99506</v>
          </cell>
          <cell r="B903" t="str">
            <v>GLISSON</v>
          </cell>
          <cell r="C903" t="str">
            <v xml:space="preserve">  J.D</v>
          </cell>
          <cell r="E903" t="str">
            <v>M</v>
          </cell>
        </row>
        <row r="904">
          <cell r="A904">
            <v>99510</v>
          </cell>
          <cell r="B904" t="str">
            <v>BOLLANS</v>
          </cell>
          <cell r="C904" t="str">
            <v xml:space="preserve">  R.K</v>
          </cell>
          <cell r="E904" t="str">
            <v>M</v>
          </cell>
        </row>
        <row r="905">
          <cell r="A905">
            <v>99519</v>
          </cell>
          <cell r="B905" t="str">
            <v>NICKLESS</v>
          </cell>
          <cell r="C905" t="str">
            <v xml:space="preserve">  P.</v>
          </cell>
          <cell r="E905" t="str">
            <v>M</v>
          </cell>
        </row>
        <row r="906">
          <cell r="A906">
            <v>99525</v>
          </cell>
          <cell r="B906" t="str">
            <v>NALL</v>
          </cell>
          <cell r="C906" t="str">
            <v xml:space="preserve">  K.</v>
          </cell>
          <cell r="E906" t="str">
            <v>M</v>
          </cell>
        </row>
        <row r="907">
          <cell r="A907">
            <v>99529</v>
          </cell>
          <cell r="B907" t="str">
            <v>CARTER</v>
          </cell>
          <cell r="C907" t="str">
            <v xml:space="preserve">  P.J</v>
          </cell>
          <cell r="E907" t="str">
            <v>M</v>
          </cell>
        </row>
        <row r="908">
          <cell r="A908">
            <v>99530</v>
          </cell>
          <cell r="B908" t="str">
            <v>COOKE</v>
          </cell>
          <cell r="C908" t="str">
            <v xml:space="preserve">  R.S</v>
          </cell>
          <cell r="E908" t="str">
            <v>M</v>
          </cell>
        </row>
        <row r="909">
          <cell r="A909">
            <v>99830</v>
          </cell>
          <cell r="B909" t="str">
            <v>GERAGHTY</v>
          </cell>
          <cell r="C909" t="str">
            <v xml:space="preserve">  J.M</v>
          </cell>
          <cell r="E909" t="str">
            <v>M</v>
          </cell>
        </row>
        <row r="910">
          <cell r="A910">
            <v>99928</v>
          </cell>
          <cell r="B910" t="str">
            <v>POWELL</v>
          </cell>
          <cell r="C910" t="str">
            <v xml:space="preserve">  A.</v>
          </cell>
          <cell r="E910" t="str">
            <v>M</v>
          </cell>
        </row>
      </sheetData>
      <sheetData sheetId="2"/>
      <sheetData sheetId="3"/>
      <sheetData sheetId="4">
        <row r="23">
          <cell r="D23">
            <v>1</v>
          </cell>
          <cell r="E23" t="str">
            <v>Mobile</v>
          </cell>
          <cell r="F23">
            <v>200</v>
          </cell>
        </row>
        <row r="24">
          <cell r="D24">
            <v>2</v>
          </cell>
          <cell r="E24" t="str">
            <v>Manned</v>
          </cell>
          <cell r="F24">
            <v>100</v>
          </cell>
        </row>
        <row r="25">
          <cell r="D25">
            <v>3</v>
          </cell>
          <cell r="E25" t="str">
            <v>Contract mgr</v>
          </cell>
          <cell r="F25">
            <v>2000</v>
          </cell>
        </row>
        <row r="26">
          <cell r="D26">
            <v>4</v>
          </cell>
          <cell r="E26" t="str">
            <v>Ops Mgr</v>
          </cell>
          <cell r="F26">
            <v>5000</v>
          </cell>
        </row>
        <row r="27">
          <cell r="D27">
            <v>5</v>
          </cell>
          <cell r="E27" t="str">
            <v>Admin</v>
          </cell>
          <cell r="F27">
            <v>100</v>
          </cell>
        </row>
        <row r="39">
          <cell r="A39">
            <v>33100200</v>
          </cell>
          <cell r="B39">
            <v>4179.5150705882352</v>
          </cell>
          <cell r="C39">
            <v>2938.294117647059</v>
          </cell>
          <cell r="D39">
            <v>1509.4288002857143</v>
          </cell>
        </row>
        <row r="40">
          <cell r="A40">
            <v>33120200</v>
          </cell>
          <cell r="B40">
            <v>0</v>
          </cell>
          <cell r="C40">
            <v>0</v>
          </cell>
          <cell r="D40">
            <v>1509.4288002857143</v>
          </cell>
        </row>
        <row r="41">
          <cell r="A41">
            <v>33140200</v>
          </cell>
          <cell r="B41">
            <v>0</v>
          </cell>
          <cell r="C41">
            <v>0</v>
          </cell>
          <cell r="D41">
            <v>1509.4288002857143</v>
          </cell>
        </row>
        <row r="42">
          <cell r="A42">
            <v>33180200</v>
          </cell>
          <cell r="B42">
            <v>0</v>
          </cell>
          <cell r="C42">
            <v>0</v>
          </cell>
          <cell r="D42">
            <v>1509.4288002857143</v>
          </cell>
        </row>
        <row r="43">
          <cell r="A43">
            <v>33200200</v>
          </cell>
          <cell r="B43">
            <v>4190.4175000000005</v>
          </cell>
          <cell r="C43">
            <v>1960.25</v>
          </cell>
          <cell r="D43">
            <v>2595.4499999999998</v>
          </cell>
        </row>
        <row r="44">
          <cell r="A44">
            <v>33230200</v>
          </cell>
          <cell r="B44">
            <v>4190.4175000000005</v>
          </cell>
          <cell r="C44">
            <v>1960.25</v>
          </cell>
          <cell r="D44">
            <v>2595.4499999999998</v>
          </cell>
        </row>
        <row r="45">
          <cell r="A45">
            <v>33250200</v>
          </cell>
          <cell r="B45">
            <v>3499.5757094545452</v>
          </cell>
          <cell r="C45">
            <v>3336.409090909091</v>
          </cell>
          <cell r="D45">
            <v>3255.6093321818184</v>
          </cell>
        </row>
        <row r="46">
          <cell r="A46">
            <v>33330200</v>
          </cell>
          <cell r="B46">
            <v>5332.8292682926831</v>
          </cell>
          <cell r="C46">
            <v>2753.1707317073169</v>
          </cell>
          <cell r="D46">
            <v>3392.0975609756097</v>
          </cell>
        </row>
        <row r="47">
          <cell r="A47">
            <v>33340200</v>
          </cell>
          <cell r="B47">
            <v>5332.8292682926831</v>
          </cell>
          <cell r="C47">
            <v>2753.1707317073169</v>
          </cell>
          <cell r="D47">
            <v>3392.0975609756097</v>
          </cell>
        </row>
        <row r="48">
          <cell r="A48">
            <v>33350200</v>
          </cell>
          <cell r="B48">
            <v>5332.8292682926831</v>
          </cell>
          <cell r="C48">
            <v>2753.1707317073169</v>
          </cell>
          <cell r="D48">
            <v>3392.0975609756097</v>
          </cell>
        </row>
        <row r="49">
          <cell r="A49">
            <v>33400200</v>
          </cell>
          <cell r="B49">
            <v>3986.3940772000001</v>
          </cell>
          <cell r="C49">
            <v>958.73239436619713</v>
          </cell>
          <cell r="D49">
            <v>2005.9154929577464</v>
          </cell>
        </row>
        <row r="50">
          <cell r="A50">
            <v>33400201</v>
          </cell>
          <cell r="B50">
            <v>0</v>
          </cell>
          <cell r="C50">
            <v>958.73239436619713</v>
          </cell>
          <cell r="D50">
            <v>2005.9154929577464</v>
          </cell>
        </row>
        <row r="51">
          <cell r="A51">
            <v>33410200</v>
          </cell>
          <cell r="B51">
            <v>5060.4684754999998</v>
          </cell>
          <cell r="C51">
            <v>958.73239436619713</v>
          </cell>
          <cell r="D51">
            <v>2005.9154929577464</v>
          </cell>
        </row>
        <row r="52">
          <cell r="A52">
            <v>33420200</v>
          </cell>
          <cell r="B52">
            <v>0</v>
          </cell>
          <cell r="C52">
            <v>958.73239436619713</v>
          </cell>
          <cell r="D52">
            <v>2005.9154929577464</v>
          </cell>
        </row>
        <row r="53">
          <cell r="A53">
            <v>33430200</v>
          </cell>
          <cell r="B53">
            <v>3559.4615384615386</v>
          </cell>
          <cell r="C53">
            <v>958.73239436619713</v>
          </cell>
          <cell r="D53">
            <v>2005.9154929577464</v>
          </cell>
        </row>
        <row r="54">
          <cell r="A54">
            <v>33520200</v>
          </cell>
          <cell r="B54">
            <v>2084.2363636363634</v>
          </cell>
          <cell r="C54">
            <v>0</v>
          </cell>
          <cell r="D54">
            <v>1443.3363636363636</v>
          </cell>
        </row>
        <row r="55">
          <cell r="A55">
            <v>33530200</v>
          </cell>
          <cell r="B55">
            <v>5332.8292682926831</v>
          </cell>
          <cell r="C55">
            <v>2753.1707317073169</v>
          </cell>
          <cell r="D55">
            <v>3392.0975609756097</v>
          </cell>
        </row>
        <row r="56">
          <cell r="A56">
            <v>33560200</v>
          </cell>
          <cell r="B56">
            <v>5332.8292682926831</v>
          </cell>
          <cell r="C56">
            <v>2753.1707317073169</v>
          </cell>
          <cell r="D56">
            <v>3392.0975609756097</v>
          </cell>
        </row>
        <row r="57">
          <cell r="A57">
            <v>33580200</v>
          </cell>
          <cell r="B57">
            <v>5332.8292682926831</v>
          </cell>
          <cell r="C57">
            <v>2753.1707317073169</v>
          </cell>
          <cell r="D57">
            <v>3392.0975609756097</v>
          </cell>
        </row>
        <row r="58">
          <cell r="A58">
            <v>33805000</v>
          </cell>
          <cell r="B58">
            <v>0</v>
          </cell>
          <cell r="C58">
            <v>0</v>
          </cell>
          <cell r="D58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ldvies Scenerio - Final"/>
      <sheetName val="Maldvies Scenerio -1"/>
      <sheetName val="Maldives-COD revised"/>
      <sheetName val="Maldives-COD"/>
      <sheetName val="Assumptions"/>
      <sheetName val="Sheet1"/>
    </sheetNames>
    <sheetDataSet>
      <sheetData sheetId="0" refreshError="1"/>
      <sheetData sheetId="1" refreshError="1"/>
      <sheetData sheetId="2" refreshError="1"/>
      <sheetData sheetId="3" refreshError="1">
        <row r="7">
          <cell r="C7">
            <v>46</v>
          </cell>
        </row>
      </sheetData>
      <sheetData sheetId="4" refreshError="1"/>
      <sheetData sheetId="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-12-13"/>
      <sheetName val="Sheet1"/>
    </sheetNames>
    <sheetDataSet>
      <sheetData sheetId="0"/>
      <sheetData sheetId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 (2)"/>
      <sheetName val="Sheet1"/>
      <sheetName val="Sheet2"/>
      <sheetName val="Sheet3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on Services"/>
      <sheetName val="Area Details"/>
      <sheetName val="CAM Variables"/>
      <sheetName val="CAM Summary"/>
      <sheetName val="CAM Charges Calculation "/>
      <sheetName val="Spares and Consumables"/>
      <sheetName val="AMC"/>
      <sheetName val="Elect. Load"/>
      <sheetName val="Comm Electrical load"/>
      <sheetName val="Fire Extinguisher"/>
      <sheetName val="Deployment Plan-mgmt Staff"/>
      <sheetName val="Salary Breakup-UP"/>
      <sheetName val="HK-Equipment"/>
      <sheetName val="SinkingFundEstimation"/>
      <sheetName val="Power Consumption Detail-2013"/>
      <sheetName val="Running Hrs"/>
    </sheetNames>
    <sheetDataSet>
      <sheetData sheetId="0"/>
      <sheetData sheetId="1">
        <row r="4">
          <cell r="E4">
            <v>211750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"/>
  <sheetViews>
    <sheetView zoomScaleNormal="100" workbookViewId="0"/>
  </sheetViews>
  <sheetFormatPr defaultColWidth="9.140625" defaultRowHeight="17.25" customHeight="1"/>
  <cols>
    <col min="1" max="1" width="79.28515625" style="267" customWidth="1"/>
    <col min="2" max="16384" width="9.140625" style="267"/>
  </cols>
  <sheetData>
    <row r="1" spans="1:1" ht="21.75" customHeight="1">
      <c r="A1" s="266" t="s">
        <v>793</v>
      </c>
    </row>
    <row r="2" spans="1:1" ht="17.25" customHeight="1">
      <c r="A2" s="268" t="s">
        <v>336</v>
      </c>
    </row>
    <row r="3" spans="1:1" ht="17.25" customHeight="1">
      <c r="A3" s="622" t="s">
        <v>783</v>
      </c>
    </row>
    <row r="4" spans="1:1" ht="17.25" customHeight="1">
      <c r="A4" s="622" t="s">
        <v>784</v>
      </c>
    </row>
    <row r="5" spans="1:1" ht="17.25" customHeight="1">
      <c r="A5" s="622" t="s">
        <v>785</v>
      </c>
    </row>
    <row r="6" spans="1:1" ht="17.25" customHeight="1">
      <c r="A6" s="622" t="s">
        <v>786</v>
      </c>
    </row>
    <row r="7" spans="1:1" ht="17.25" customHeight="1">
      <c r="A7" s="269" t="s">
        <v>646</v>
      </c>
    </row>
    <row r="8" spans="1:1" ht="17.25" customHeight="1">
      <c r="A8" s="269" t="s">
        <v>337</v>
      </c>
    </row>
    <row r="9" spans="1:1" ht="17.25" customHeight="1">
      <c r="A9" s="621" t="s">
        <v>652</v>
      </c>
    </row>
    <row r="10" spans="1:1" ht="17.25" customHeight="1">
      <c r="A10" s="269" t="s">
        <v>338</v>
      </c>
    </row>
    <row r="11" spans="1:1" ht="17.25" customHeight="1">
      <c r="A11" s="269" t="s">
        <v>339</v>
      </c>
    </row>
    <row r="12" spans="1:1" ht="17.25" customHeight="1">
      <c r="A12" s="269" t="s">
        <v>340</v>
      </c>
    </row>
    <row r="13" spans="1:1" ht="17.25" customHeight="1">
      <c r="A13" s="269" t="s">
        <v>647</v>
      </c>
    </row>
    <row r="14" spans="1:1" ht="17.25" customHeight="1">
      <c r="A14" s="269" t="s">
        <v>648</v>
      </c>
    </row>
    <row r="15" spans="1:1" ht="17.25" customHeight="1">
      <c r="A15" s="269" t="s">
        <v>649</v>
      </c>
    </row>
    <row r="16" spans="1:1" ht="17.25" customHeight="1">
      <c r="A16" s="269" t="s">
        <v>650</v>
      </c>
    </row>
    <row r="17" spans="1:1" ht="17.25" customHeight="1">
      <c r="A17" s="269" t="s">
        <v>651</v>
      </c>
    </row>
    <row r="18" spans="1:1" ht="17.25" customHeight="1">
      <c r="A18" s="269" t="s">
        <v>341</v>
      </c>
    </row>
    <row r="19" spans="1:1" ht="17.25" customHeight="1">
      <c r="A19" s="269" t="s">
        <v>342</v>
      </c>
    </row>
  </sheetData>
  <sheetProtection selectLockedCells="1"/>
  <hyperlinks>
    <hyperlink ref="A8" location="'CAM Variables'!A1" display="CAM Variables" xr:uid="{00000000-0004-0000-0000-000000000000}"/>
    <hyperlink ref="A10" location="'CAM Charges'!A1" display="CAM Charge Calculation Sheet" xr:uid="{00000000-0004-0000-0000-000001000000}"/>
    <hyperlink ref="A11" location="'AMC Cost'!A1" display="AMC Cost " xr:uid="{00000000-0004-0000-0000-000002000000}"/>
    <hyperlink ref="A12" location="'Comm Electrical load'!A1" display="Common Electrical Load" xr:uid="{00000000-0004-0000-0000-000003000000}"/>
    <hyperlink ref="A14" location="'HVAC-Mall'!A1" display="HVAC Charges-Mall" xr:uid="{00000000-0004-0000-0000-000004000000}"/>
    <hyperlink ref="A16" location="Manpower!A1" display="Manpower Deplyment &amp; Costing" xr:uid="{00000000-0004-0000-0000-000005000000}"/>
    <hyperlink ref="A17" location="'Salary Breakup'!A1" display="Salary Breakup- Support Staff" xr:uid="{00000000-0004-0000-0000-000006000000}"/>
    <hyperlink ref="A18" location="'HK - Secr Equipments'!A1" display="Service Equipments Cost- HK, Security" xr:uid="{00000000-0004-0000-0000-000007000000}"/>
    <hyperlink ref="A19" location="SinkingFundEstimation!A1" display="Sinking Fund Calculation" xr:uid="{00000000-0004-0000-0000-000008000000}"/>
    <hyperlink ref="A7" location="'Common Services'!A1" display="Comm. Services" xr:uid="{00000000-0004-0000-0000-000009000000}"/>
    <hyperlink ref="A9" location="'CAM Charges Summary'!A1" display="CAM Charge Summary" xr:uid="{00000000-0004-0000-0000-00000A000000}"/>
    <hyperlink ref="A13" location="'Load Breakup'!A1" display="Electrical Load Breakup" xr:uid="{00000000-0004-0000-0000-00000B000000}"/>
    <hyperlink ref="A15" location="'Mall AHU Load'!A1" display="AHU Load- Mall" xr:uid="{00000000-0004-0000-0000-00000C000000}"/>
    <hyperlink ref="A6" location="'Area-Comm'!A1" display="Area Breakup- Common Area" xr:uid="{00000000-0004-0000-0000-00000D000000}"/>
    <hyperlink ref="A5" location="'Area-Office'!A1" display="Aarea Breakup- Office" xr:uid="{00000000-0004-0000-0000-00000E000000}"/>
    <hyperlink ref="A4" location="'Area-Mall'!A1" display="Area Breakup - Mall" xr:uid="{00000000-0004-0000-0000-00000F000000}"/>
    <hyperlink ref="A3" location="'Area Summary'!A1" display="Area Summary" xr:uid="{00000000-0004-0000-0000-000010000000}"/>
  </hyperlink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41"/>
  <sheetViews>
    <sheetView zoomScale="90" zoomScaleNormal="90" workbookViewId="0">
      <selection activeCell="C17" sqref="C17"/>
    </sheetView>
  </sheetViews>
  <sheetFormatPr defaultRowHeight="12.75"/>
  <cols>
    <col min="1" max="1" width="9.140625" style="358"/>
    <col min="2" max="2" width="26.28515625" style="358" bestFit="1" customWidth="1"/>
    <col min="3" max="4" width="18.85546875" style="362" customWidth="1"/>
    <col min="5" max="5" width="18.85546875" style="358" customWidth="1"/>
    <col min="6" max="6" width="9.140625" style="358"/>
    <col min="7" max="7" width="11" style="358" bestFit="1" customWidth="1"/>
    <col min="8" max="244" width="9.140625" style="358"/>
    <col min="245" max="245" width="4.7109375" style="358" customWidth="1"/>
    <col min="246" max="246" width="9.140625" style="358"/>
    <col min="247" max="247" width="32" style="358" customWidth="1"/>
    <col min="248" max="248" width="13.7109375" style="358" customWidth="1"/>
    <col min="249" max="249" width="15" style="358" customWidth="1"/>
    <col min="250" max="251" width="4.7109375" style="358" customWidth="1"/>
    <col min="252" max="252" width="12.42578125" style="358" customWidth="1"/>
    <col min="253" max="253" width="35.85546875" style="358" customWidth="1"/>
    <col min="254" max="254" width="14.5703125" style="358" customWidth="1"/>
    <col min="255" max="255" width="14.7109375" style="358" customWidth="1"/>
    <col min="256" max="256" width="5.5703125" style="358" customWidth="1"/>
    <col min="257" max="257" width="12.140625" style="358" customWidth="1"/>
    <col min="258" max="258" width="14.28515625" style="358" customWidth="1"/>
    <col min="259" max="500" width="9.140625" style="358"/>
    <col min="501" max="501" width="4.7109375" style="358" customWidth="1"/>
    <col min="502" max="502" width="9.140625" style="358"/>
    <col min="503" max="503" width="32" style="358" customWidth="1"/>
    <col min="504" max="504" width="13.7109375" style="358" customWidth="1"/>
    <col min="505" max="505" width="15" style="358" customWidth="1"/>
    <col min="506" max="507" width="4.7109375" style="358" customWidth="1"/>
    <col min="508" max="508" width="12.42578125" style="358" customWidth="1"/>
    <col min="509" max="509" width="35.85546875" style="358" customWidth="1"/>
    <col min="510" max="510" width="14.5703125" style="358" customWidth="1"/>
    <col min="511" max="511" width="14.7109375" style="358" customWidth="1"/>
    <col min="512" max="512" width="5.5703125" style="358" customWidth="1"/>
    <col min="513" max="513" width="12.140625" style="358" customWidth="1"/>
    <col min="514" max="514" width="14.28515625" style="358" customWidth="1"/>
    <col min="515" max="756" width="9.140625" style="358"/>
    <col min="757" max="757" width="4.7109375" style="358" customWidth="1"/>
    <col min="758" max="758" width="9.140625" style="358"/>
    <col min="759" max="759" width="32" style="358" customWidth="1"/>
    <col min="760" max="760" width="13.7109375" style="358" customWidth="1"/>
    <col min="761" max="761" width="15" style="358" customWidth="1"/>
    <col min="762" max="763" width="4.7109375" style="358" customWidth="1"/>
    <col min="764" max="764" width="12.42578125" style="358" customWidth="1"/>
    <col min="765" max="765" width="35.85546875" style="358" customWidth="1"/>
    <col min="766" max="766" width="14.5703125" style="358" customWidth="1"/>
    <col min="767" max="767" width="14.7109375" style="358" customWidth="1"/>
    <col min="768" max="768" width="5.5703125" style="358" customWidth="1"/>
    <col min="769" max="769" width="12.140625" style="358" customWidth="1"/>
    <col min="770" max="770" width="14.28515625" style="358" customWidth="1"/>
    <col min="771" max="1012" width="9.140625" style="358"/>
    <col min="1013" max="1013" width="4.7109375" style="358" customWidth="1"/>
    <col min="1014" max="1014" width="9.140625" style="358"/>
    <col min="1015" max="1015" width="32" style="358" customWidth="1"/>
    <col min="1016" max="1016" width="13.7109375" style="358" customWidth="1"/>
    <col min="1017" max="1017" width="15" style="358" customWidth="1"/>
    <col min="1018" max="1019" width="4.7109375" style="358" customWidth="1"/>
    <col min="1020" max="1020" width="12.42578125" style="358" customWidth="1"/>
    <col min="1021" max="1021" width="35.85546875" style="358" customWidth="1"/>
    <col min="1022" max="1022" width="14.5703125" style="358" customWidth="1"/>
    <col min="1023" max="1023" width="14.7109375" style="358" customWidth="1"/>
    <col min="1024" max="1024" width="5.5703125" style="358" customWidth="1"/>
    <col min="1025" max="1025" width="12.140625" style="358" customWidth="1"/>
    <col min="1026" max="1026" width="14.28515625" style="358" customWidth="1"/>
    <col min="1027" max="1268" width="9.140625" style="358"/>
    <col min="1269" max="1269" width="4.7109375" style="358" customWidth="1"/>
    <col min="1270" max="1270" width="9.140625" style="358"/>
    <col min="1271" max="1271" width="32" style="358" customWidth="1"/>
    <col min="1272" max="1272" width="13.7109375" style="358" customWidth="1"/>
    <col min="1273" max="1273" width="15" style="358" customWidth="1"/>
    <col min="1274" max="1275" width="4.7109375" style="358" customWidth="1"/>
    <col min="1276" max="1276" width="12.42578125" style="358" customWidth="1"/>
    <col min="1277" max="1277" width="35.85546875" style="358" customWidth="1"/>
    <col min="1278" max="1278" width="14.5703125" style="358" customWidth="1"/>
    <col min="1279" max="1279" width="14.7109375" style="358" customWidth="1"/>
    <col min="1280" max="1280" width="5.5703125" style="358" customWidth="1"/>
    <col min="1281" max="1281" width="12.140625" style="358" customWidth="1"/>
    <col min="1282" max="1282" width="14.28515625" style="358" customWidth="1"/>
    <col min="1283" max="1524" width="9.140625" style="358"/>
    <col min="1525" max="1525" width="4.7109375" style="358" customWidth="1"/>
    <col min="1526" max="1526" width="9.140625" style="358"/>
    <col min="1527" max="1527" width="32" style="358" customWidth="1"/>
    <col min="1528" max="1528" width="13.7109375" style="358" customWidth="1"/>
    <col min="1529" max="1529" width="15" style="358" customWidth="1"/>
    <col min="1530" max="1531" width="4.7109375" style="358" customWidth="1"/>
    <col min="1532" max="1532" width="12.42578125" style="358" customWidth="1"/>
    <col min="1533" max="1533" width="35.85546875" style="358" customWidth="1"/>
    <col min="1534" max="1534" width="14.5703125" style="358" customWidth="1"/>
    <col min="1535" max="1535" width="14.7109375" style="358" customWidth="1"/>
    <col min="1536" max="1536" width="5.5703125" style="358" customWidth="1"/>
    <col min="1537" max="1537" width="12.140625" style="358" customWidth="1"/>
    <col min="1538" max="1538" width="14.28515625" style="358" customWidth="1"/>
    <col min="1539" max="1780" width="9.140625" style="358"/>
    <col min="1781" max="1781" width="4.7109375" style="358" customWidth="1"/>
    <col min="1782" max="1782" width="9.140625" style="358"/>
    <col min="1783" max="1783" width="32" style="358" customWidth="1"/>
    <col min="1784" max="1784" width="13.7109375" style="358" customWidth="1"/>
    <col min="1785" max="1785" width="15" style="358" customWidth="1"/>
    <col min="1786" max="1787" width="4.7109375" style="358" customWidth="1"/>
    <col min="1788" max="1788" width="12.42578125" style="358" customWidth="1"/>
    <col min="1789" max="1789" width="35.85546875" style="358" customWidth="1"/>
    <col min="1790" max="1790" width="14.5703125" style="358" customWidth="1"/>
    <col min="1791" max="1791" width="14.7109375" style="358" customWidth="1"/>
    <col min="1792" max="1792" width="5.5703125" style="358" customWidth="1"/>
    <col min="1793" max="1793" width="12.140625" style="358" customWidth="1"/>
    <col min="1794" max="1794" width="14.28515625" style="358" customWidth="1"/>
    <col min="1795" max="2036" width="9.140625" style="358"/>
    <col min="2037" max="2037" width="4.7109375" style="358" customWidth="1"/>
    <col min="2038" max="2038" width="9.140625" style="358"/>
    <col min="2039" max="2039" width="32" style="358" customWidth="1"/>
    <col min="2040" max="2040" width="13.7109375" style="358" customWidth="1"/>
    <col min="2041" max="2041" width="15" style="358" customWidth="1"/>
    <col min="2042" max="2043" width="4.7109375" style="358" customWidth="1"/>
    <col min="2044" max="2044" width="12.42578125" style="358" customWidth="1"/>
    <col min="2045" max="2045" width="35.85546875" style="358" customWidth="1"/>
    <col min="2046" max="2046" width="14.5703125" style="358" customWidth="1"/>
    <col min="2047" max="2047" width="14.7109375" style="358" customWidth="1"/>
    <col min="2048" max="2048" width="5.5703125" style="358" customWidth="1"/>
    <col min="2049" max="2049" width="12.140625" style="358" customWidth="1"/>
    <col min="2050" max="2050" width="14.28515625" style="358" customWidth="1"/>
    <col min="2051" max="2292" width="9.140625" style="358"/>
    <col min="2293" max="2293" width="4.7109375" style="358" customWidth="1"/>
    <col min="2294" max="2294" width="9.140625" style="358"/>
    <col min="2295" max="2295" width="32" style="358" customWidth="1"/>
    <col min="2296" max="2296" width="13.7109375" style="358" customWidth="1"/>
    <col min="2297" max="2297" width="15" style="358" customWidth="1"/>
    <col min="2298" max="2299" width="4.7109375" style="358" customWidth="1"/>
    <col min="2300" max="2300" width="12.42578125" style="358" customWidth="1"/>
    <col min="2301" max="2301" width="35.85546875" style="358" customWidth="1"/>
    <col min="2302" max="2302" width="14.5703125" style="358" customWidth="1"/>
    <col min="2303" max="2303" width="14.7109375" style="358" customWidth="1"/>
    <col min="2304" max="2304" width="5.5703125" style="358" customWidth="1"/>
    <col min="2305" max="2305" width="12.140625" style="358" customWidth="1"/>
    <col min="2306" max="2306" width="14.28515625" style="358" customWidth="1"/>
    <col min="2307" max="2548" width="9.140625" style="358"/>
    <col min="2549" max="2549" width="4.7109375" style="358" customWidth="1"/>
    <col min="2550" max="2550" width="9.140625" style="358"/>
    <col min="2551" max="2551" width="32" style="358" customWidth="1"/>
    <col min="2552" max="2552" width="13.7109375" style="358" customWidth="1"/>
    <col min="2553" max="2553" width="15" style="358" customWidth="1"/>
    <col min="2554" max="2555" width="4.7109375" style="358" customWidth="1"/>
    <col min="2556" max="2556" width="12.42578125" style="358" customWidth="1"/>
    <col min="2557" max="2557" width="35.85546875" style="358" customWidth="1"/>
    <col min="2558" max="2558" width="14.5703125" style="358" customWidth="1"/>
    <col min="2559" max="2559" width="14.7109375" style="358" customWidth="1"/>
    <col min="2560" max="2560" width="5.5703125" style="358" customWidth="1"/>
    <col min="2561" max="2561" width="12.140625" style="358" customWidth="1"/>
    <col min="2562" max="2562" width="14.28515625" style="358" customWidth="1"/>
    <col min="2563" max="2804" width="9.140625" style="358"/>
    <col min="2805" max="2805" width="4.7109375" style="358" customWidth="1"/>
    <col min="2806" max="2806" width="9.140625" style="358"/>
    <col min="2807" max="2807" width="32" style="358" customWidth="1"/>
    <col min="2808" max="2808" width="13.7109375" style="358" customWidth="1"/>
    <col min="2809" max="2809" width="15" style="358" customWidth="1"/>
    <col min="2810" max="2811" width="4.7109375" style="358" customWidth="1"/>
    <col min="2812" max="2812" width="12.42578125" style="358" customWidth="1"/>
    <col min="2813" max="2813" width="35.85546875" style="358" customWidth="1"/>
    <col min="2814" max="2814" width="14.5703125" style="358" customWidth="1"/>
    <col min="2815" max="2815" width="14.7109375" style="358" customWidth="1"/>
    <col min="2816" max="2816" width="5.5703125" style="358" customWidth="1"/>
    <col min="2817" max="2817" width="12.140625" style="358" customWidth="1"/>
    <col min="2818" max="2818" width="14.28515625" style="358" customWidth="1"/>
    <col min="2819" max="3060" width="9.140625" style="358"/>
    <col min="3061" max="3061" width="4.7109375" style="358" customWidth="1"/>
    <col min="3062" max="3062" width="9.140625" style="358"/>
    <col min="3063" max="3063" width="32" style="358" customWidth="1"/>
    <col min="3064" max="3064" width="13.7109375" style="358" customWidth="1"/>
    <col min="3065" max="3065" width="15" style="358" customWidth="1"/>
    <col min="3066" max="3067" width="4.7109375" style="358" customWidth="1"/>
    <col min="3068" max="3068" width="12.42578125" style="358" customWidth="1"/>
    <col min="3069" max="3069" width="35.85546875" style="358" customWidth="1"/>
    <col min="3070" max="3070" width="14.5703125" style="358" customWidth="1"/>
    <col min="3071" max="3071" width="14.7109375" style="358" customWidth="1"/>
    <col min="3072" max="3072" width="5.5703125" style="358" customWidth="1"/>
    <col min="3073" max="3073" width="12.140625" style="358" customWidth="1"/>
    <col min="3074" max="3074" width="14.28515625" style="358" customWidth="1"/>
    <col min="3075" max="3316" width="9.140625" style="358"/>
    <col min="3317" max="3317" width="4.7109375" style="358" customWidth="1"/>
    <col min="3318" max="3318" width="9.140625" style="358"/>
    <col min="3319" max="3319" width="32" style="358" customWidth="1"/>
    <col min="3320" max="3320" width="13.7109375" style="358" customWidth="1"/>
    <col min="3321" max="3321" width="15" style="358" customWidth="1"/>
    <col min="3322" max="3323" width="4.7109375" style="358" customWidth="1"/>
    <col min="3324" max="3324" width="12.42578125" style="358" customWidth="1"/>
    <col min="3325" max="3325" width="35.85546875" style="358" customWidth="1"/>
    <col min="3326" max="3326" width="14.5703125" style="358" customWidth="1"/>
    <col min="3327" max="3327" width="14.7109375" style="358" customWidth="1"/>
    <col min="3328" max="3328" width="5.5703125" style="358" customWidth="1"/>
    <col min="3329" max="3329" width="12.140625" style="358" customWidth="1"/>
    <col min="3330" max="3330" width="14.28515625" style="358" customWidth="1"/>
    <col min="3331" max="3572" width="9.140625" style="358"/>
    <col min="3573" max="3573" width="4.7109375" style="358" customWidth="1"/>
    <col min="3574" max="3574" width="9.140625" style="358"/>
    <col min="3575" max="3575" width="32" style="358" customWidth="1"/>
    <col min="3576" max="3576" width="13.7109375" style="358" customWidth="1"/>
    <col min="3577" max="3577" width="15" style="358" customWidth="1"/>
    <col min="3578" max="3579" width="4.7109375" style="358" customWidth="1"/>
    <col min="3580" max="3580" width="12.42578125" style="358" customWidth="1"/>
    <col min="3581" max="3581" width="35.85546875" style="358" customWidth="1"/>
    <col min="3582" max="3582" width="14.5703125" style="358" customWidth="1"/>
    <col min="3583" max="3583" width="14.7109375" style="358" customWidth="1"/>
    <col min="3584" max="3584" width="5.5703125" style="358" customWidth="1"/>
    <col min="3585" max="3585" width="12.140625" style="358" customWidth="1"/>
    <col min="3586" max="3586" width="14.28515625" style="358" customWidth="1"/>
    <col min="3587" max="3828" width="9.140625" style="358"/>
    <col min="3829" max="3829" width="4.7109375" style="358" customWidth="1"/>
    <col min="3830" max="3830" width="9.140625" style="358"/>
    <col min="3831" max="3831" width="32" style="358" customWidth="1"/>
    <col min="3832" max="3832" width="13.7109375" style="358" customWidth="1"/>
    <col min="3833" max="3833" width="15" style="358" customWidth="1"/>
    <col min="3834" max="3835" width="4.7109375" style="358" customWidth="1"/>
    <col min="3836" max="3836" width="12.42578125" style="358" customWidth="1"/>
    <col min="3837" max="3837" width="35.85546875" style="358" customWidth="1"/>
    <col min="3838" max="3838" width="14.5703125" style="358" customWidth="1"/>
    <col min="3839" max="3839" width="14.7109375" style="358" customWidth="1"/>
    <col min="3840" max="3840" width="5.5703125" style="358" customWidth="1"/>
    <col min="3841" max="3841" width="12.140625" style="358" customWidth="1"/>
    <col min="3842" max="3842" width="14.28515625" style="358" customWidth="1"/>
    <col min="3843" max="4084" width="9.140625" style="358"/>
    <col min="4085" max="4085" width="4.7109375" style="358" customWidth="1"/>
    <col min="4086" max="4086" width="9.140625" style="358"/>
    <col min="4087" max="4087" width="32" style="358" customWidth="1"/>
    <col min="4088" max="4088" width="13.7109375" style="358" customWidth="1"/>
    <col min="4089" max="4089" width="15" style="358" customWidth="1"/>
    <col min="4090" max="4091" width="4.7109375" style="358" customWidth="1"/>
    <col min="4092" max="4092" width="12.42578125" style="358" customWidth="1"/>
    <col min="4093" max="4093" width="35.85546875" style="358" customWidth="1"/>
    <col min="4094" max="4094" width="14.5703125" style="358" customWidth="1"/>
    <col min="4095" max="4095" width="14.7109375" style="358" customWidth="1"/>
    <col min="4096" max="4096" width="5.5703125" style="358" customWidth="1"/>
    <col min="4097" max="4097" width="12.140625" style="358" customWidth="1"/>
    <col min="4098" max="4098" width="14.28515625" style="358" customWidth="1"/>
    <col min="4099" max="4340" width="9.140625" style="358"/>
    <col min="4341" max="4341" width="4.7109375" style="358" customWidth="1"/>
    <col min="4342" max="4342" width="9.140625" style="358"/>
    <col min="4343" max="4343" width="32" style="358" customWidth="1"/>
    <col min="4344" max="4344" width="13.7109375" style="358" customWidth="1"/>
    <col min="4345" max="4345" width="15" style="358" customWidth="1"/>
    <col min="4346" max="4347" width="4.7109375" style="358" customWidth="1"/>
    <col min="4348" max="4348" width="12.42578125" style="358" customWidth="1"/>
    <col min="4349" max="4349" width="35.85546875" style="358" customWidth="1"/>
    <col min="4350" max="4350" width="14.5703125" style="358" customWidth="1"/>
    <col min="4351" max="4351" width="14.7109375" style="358" customWidth="1"/>
    <col min="4352" max="4352" width="5.5703125" style="358" customWidth="1"/>
    <col min="4353" max="4353" width="12.140625" style="358" customWidth="1"/>
    <col min="4354" max="4354" width="14.28515625" style="358" customWidth="1"/>
    <col min="4355" max="4596" width="9.140625" style="358"/>
    <col min="4597" max="4597" width="4.7109375" style="358" customWidth="1"/>
    <col min="4598" max="4598" width="9.140625" style="358"/>
    <col min="4599" max="4599" width="32" style="358" customWidth="1"/>
    <col min="4600" max="4600" width="13.7109375" style="358" customWidth="1"/>
    <col min="4601" max="4601" width="15" style="358" customWidth="1"/>
    <col min="4602" max="4603" width="4.7109375" style="358" customWidth="1"/>
    <col min="4604" max="4604" width="12.42578125" style="358" customWidth="1"/>
    <col min="4605" max="4605" width="35.85546875" style="358" customWidth="1"/>
    <col min="4606" max="4606" width="14.5703125" style="358" customWidth="1"/>
    <col min="4607" max="4607" width="14.7109375" style="358" customWidth="1"/>
    <col min="4608" max="4608" width="5.5703125" style="358" customWidth="1"/>
    <col min="4609" max="4609" width="12.140625" style="358" customWidth="1"/>
    <col min="4610" max="4610" width="14.28515625" style="358" customWidth="1"/>
    <col min="4611" max="4852" width="9.140625" style="358"/>
    <col min="4853" max="4853" width="4.7109375" style="358" customWidth="1"/>
    <col min="4854" max="4854" width="9.140625" style="358"/>
    <col min="4855" max="4855" width="32" style="358" customWidth="1"/>
    <col min="4856" max="4856" width="13.7109375" style="358" customWidth="1"/>
    <col min="4857" max="4857" width="15" style="358" customWidth="1"/>
    <col min="4858" max="4859" width="4.7109375" style="358" customWidth="1"/>
    <col min="4860" max="4860" width="12.42578125" style="358" customWidth="1"/>
    <col min="4861" max="4861" width="35.85546875" style="358" customWidth="1"/>
    <col min="4862" max="4862" width="14.5703125" style="358" customWidth="1"/>
    <col min="4863" max="4863" width="14.7109375" style="358" customWidth="1"/>
    <col min="4864" max="4864" width="5.5703125" style="358" customWidth="1"/>
    <col min="4865" max="4865" width="12.140625" style="358" customWidth="1"/>
    <col min="4866" max="4866" width="14.28515625" style="358" customWidth="1"/>
    <col min="4867" max="5108" width="9.140625" style="358"/>
    <col min="5109" max="5109" width="4.7109375" style="358" customWidth="1"/>
    <col min="5110" max="5110" width="9.140625" style="358"/>
    <col min="5111" max="5111" width="32" style="358" customWidth="1"/>
    <col min="5112" max="5112" width="13.7109375" style="358" customWidth="1"/>
    <col min="5113" max="5113" width="15" style="358" customWidth="1"/>
    <col min="5114" max="5115" width="4.7109375" style="358" customWidth="1"/>
    <col min="5116" max="5116" width="12.42578125" style="358" customWidth="1"/>
    <col min="5117" max="5117" width="35.85546875" style="358" customWidth="1"/>
    <col min="5118" max="5118" width="14.5703125" style="358" customWidth="1"/>
    <col min="5119" max="5119" width="14.7109375" style="358" customWidth="1"/>
    <col min="5120" max="5120" width="5.5703125" style="358" customWidth="1"/>
    <col min="5121" max="5121" width="12.140625" style="358" customWidth="1"/>
    <col min="5122" max="5122" width="14.28515625" style="358" customWidth="1"/>
    <col min="5123" max="5364" width="9.140625" style="358"/>
    <col min="5365" max="5365" width="4.7109375" style="358" customWidth="1"/>
    <col min="5366" max="5366" width="9.140625" style="358"/>
    <col min="5367" max="5367" width="32" style="358" customWidth="1"/>
    <col min="5368" max="5368" width="13.7109375" style="358" customWidth="1"/>
    <col min="5369" max="5369" width="15" style="358" customWidth="1"/>
    <col min="5370" max="5371" width="4.7109375" style="358" customWidth="1"/>
    <col min="5372" max="5372" width="12.42578125" style="358" customWidth="1"/>
    <col min="5373" max="5373" width="35.85546875" style="358" customWidth="1"/>
    <col min="5374" max="5374" width="14.5703125" style="358" customWidth="1"/>
    <col min="5375" max="5375" width="14.7109375" style="358" customWidth="1"/>
    <col min="5376" max="5376" width="5.5703125" style="358" customWidth="1"/>
    <col min="5377" max="5377" width="12.140625" style="358" customWidth="1"/>
    <col min="5378" max="5378" width="14.28515625" style="358" customWidth="1"/>
    <col min="5379" max="5620" width="9.140625" style="358"/>
    <col min="5621" max="5621" width="4.7109375" style="358" customWidth="1"/>
    <col min="5622" max="5622" width="9.140625" style="358"/>
    <col min="5623" max="5623" width="32" style="358" customWidth="1"/>
    <col min="5624" max="5624" width="13.7109375" style="358" customWidth="1"/>
    <col min="5625" max="5625" width="15" style="358" customWidth="1"/>
    <col min="5626" max="5627" width="4.7109375" style="358" customWidth="1"/>
    <col min="5628" max="5628" width="12.42578125" style="358" customWidth="1"/>
    <col min="5629" max="5629" width="35.85546875" style="358" customWidth="1"/>
    <col min="5630" max="5630" width="14.5703125" style="358" customWidth="1"/>
    <col min="5631" max="5631" width="14.7109375" style="358" customWidth="1"/>
    <col min="5632" max="5632" width="5.5703125" style="358" customWidth="1"/>
    <col min="5633" max="5633" width="12.140625" style="358" customWidth="1"/>
    <col min="5634" max="5634" width="14.28515625" style="358" customWidth="1"/>
    <col min="5635" max="5876" width="9.140625" style="358"/>
    <col min="5877" max="5877" width="4.7109375" style="358" customWidth="1"/>
    <col min="5878" max="5878" width="9.140625" style="358"/>
    <col min="5879" max="5879" width="32" style="358" customWidth="1"/>
    <col min="5880" max="5880" width="13.7109375" style="358" customWidth="1"/>
    <col min="5881" max="5881" width="15" style="358" customWidth="1"/>
    <col min="5882" max="5883" width="4.7109375" style="358" customWidth="1"/>
    <col min="5884" max="5884" width="12.42578125" style="358" customWidth="1"/>
    <col min="5885" max="5885" width="35.85546875" style="358" customWidth="1"/>
    <col min="5886" max="5886" width="14.5703125" style="358" customWidth="1"/>
    <col min="5887" max="5887" width="14.7109375" style="358" customWidth="1"/>
    <col min="5888" max="5888" width="5.5703125" style="358" customWidth="1"/>
    <col min="5889" max="5889" width="12.140625" style="358" customWidth="1"/>
    <col min="5890" max="5890" width="14.28515625" style="358" customWidth="1"/>
    <col min="5891" max="6132" width="9.140625" style="358"/>
    <col min="6133" max="6133" width="4.7109375" style="358" customWidth="1"/>
    <col min="6134" max="6134" width="9.140625" style="358"/>
    <col min="6135" max="6135" width="32" style="358" customWidth="1"/>
    <col min="6136" max="6136" width="13.7109375" style="358" customWidth="1"/>
    <col min="6137" max="6137" width="15" style="358" customWidth="1"/>
    <col min="6138" max="6139" width="4.7109375" style="358" customWidth="1"/>
    <col min="6140" max="6140" width="12.42578125" style="358" customWidth="1"/>
    <col min="6141" max="6141" width="35.85546875" style="358" customWidth="1"/>
    <col min="6142" max="6142" width="14.5703125" style="358" customWidth="1"/>
    <col min="6143" max="6143" width="14.7109375" style="358" customWidth="1"/>
    <col min="6144" max="6144" width="5.5703125" style="358" customWidth="1"/>
    <col min="6145" max="6145" width="12.140625" style="358" customWidth="1"/>
    <col min="6146" max="6146" width="14.28515625" style="358" customWidth="1"/>
    <col min="6147" max="6388" width="9.140625" style="358"/>
    <col min="6389" max="6389" width="4.7109375" style="358" customWidth="1"/>
    <col min="6390" max="6390" width="9.140625" style="358"/>
    <col min="6391" max="6391" width="32" style="358" customWidth="1"/>
    <col min="6392" max="6392" width="13.7109375" style="358" customWidth="1"/>
    <col min="6393" max="6393" width="15" style="358" customWidth="1"/>
    <col min="6394" max="6395" width="4.7109375" style="358" customWidth="1"/>
    <col min="6396" max="6396" width="12.42578125" style="358" customWidth="1"/>
    <col min="6397" max="6397" width="35.85546875" style="358" customWidth="1"/>
    <col min="6398" max="6398" width="14.5703125" style="358" customWidth="1"/>
    <col min="6399" max="6399" width="14.7109375" style="358" customWidth="1"/>
    <col min="6400" max="6400" width="5.5703125" style="358" customWidth="1"/>
    <col min="6401" max="6401" width="12.140625" style="358" customWidth="1"/>
    <col min="6402" max="6402" width="14.28515625" style="358" customWidth="1"/>
    <col min="6403" max="6644" width="9.140625" style="358"/>
    <col min="6645" max="6645" width="4.7109375" style="358" customWidth="1"/>
    <col min="6646" max="6646" width="9.140625" style="358"/>
    <col min="6647" max="6647" width="32" style="358" customWidth="1"/>
    <col min="6648" max="6648" width="13.7109375" style="358" customWidth="1"/>
    <col min="6649" max="6649" width="15" style="358" customWidth="1"/>
    <col min="6650" max="6651" width="4.7109375" style="358" customWidth="1"/>
    <col min="6652" max="6652" width="12.42578125" style="358" customWidth="1"/>
    <col min="6653" max="6653" width="35.85546875" style="358" customWidth="1"/>
    <col min="6654" max="6654" width="14.5703125" style="358" customWidth="1"/>
    <col min="6655" max="6655" width="14.7109375" style="358" customWidth="1"/>
    <col min="6656" max="6656" width="5.5703125" style="358" customWidth="1"/>
    <col min="6657" max="6657" width="12.140625" style="358" customWidth="1"/>
    <col min="6658" max="6658" width="14.28515625" style="358" customWidth="1"/>
    <col min="6659" max="6900" width="9.140625" style="358"/>
    <col min="6901" max="6901" width="4.7109375" style="358" customWidth="1"/>
    <col min="6902" max="6902" width="9.140625" style="358"/>
    <col min="6903" max="6903" width="32" style="358" customWidth="1"/>
    <col min="6904" max="6904" width="13.7109375" style="358" customWidth="1"/>
    <col min="6905" max="6905" width="15" style="358" customWidth="1"/>
    <col min="6906" max="6907" width="4.7109375" style="358" customWidth="1"/>
    <col min="6908" max="6908" width="12.42578125" style="358" customWidth="1"/>
    <col min="6909" max="6909" width="35.85546875" style="358" customWidth="1"/>
    <col min="6910" max="6910" width="14.5703125" style="358" customWidth="1"/>
    <col min="6911" max="6911" width="14.7109375" style="358" customWidth="1"/>
    <col min="6912" max="6912" width="5.5703125" style="358" customWidth="1"/>
    <col min="6913" max="6913" width="12.140625" style="358" customWidth="1"/>
    <col min="6914" max="6914" width="14.28515625" style="358" customWidth="1"/>
    <col min="6915" max="7156" width="9.140625" style="358"/>
    <col min="7157" max="7157" width="4.7109375" style="358" customWidth="1"/>
    <col min="7158" max="7158" width="9.140625" style="358"/>
    <col min="7159" max="7159" width="32" style="358" customWidth="1"/>
    <col min="7160" max="7160" width="13.7109375" style="358" customWidth="1"/>
    <col min="7161" max="7161" width="15" style="358" customWidth="1"/>
    <col min="7162" max="7163" width="4.7109375" style="358" customWidth="1"/>
    <col min="7164" max="7164" width="12.42578125" style="358" customWidth="1"/>
    <col min="7165" max="7165" width="35.85546875" style="358" customWidth="1"/>
    <col min="7166" max="7166" width="14.5703125" style="358" customWidth="1"/>
    <col min="7167" max="7167" width="14.7109375" style="358" customWidth="1"/>
    <col min="7168" max="7168" width="5.5703125" style="358" customWidth="1"/>
    <col min="7169" max="7169" width="12.140625" style="358" customWidth="1"/>
    <col min="7170" max="7170" width="14.28515625" style="358" customWidth="1"/>
    <col min="7171" max="7412" width="9.140625" style="358"/>
    <col min="7413" max="7413" width="4.7109375" style="358" customWidth="1"/>
    <col min="7414" max="7414" width="9.140625" style="358"/>
    <col min="7415" max="7415" width="32" style="358" customWidth="1"/>
    <col min="7416" max="7416" width="13.7109375" style="358" customWidth="1"/>
    <col min="7417" max="7417" width="15" style="358" customWidth="1"/>
    <col min="7418" max="7419" width="4.7109375" style="358" customWidth="1"/>
    <col min="7420" max="7420" width="12.42578125" style="358" customWidth="1"/>
    <col min="7421" max="7421" width="35.85546875" style="358" customWidth="1"/>
    <col min="7422" max="7422" width="14.5703125" style="358" customWidth="1"/>
    <col min="7423" max="7423" width="14.7109375" style="358" customWidth="1"/>
    <col min="7424" max="7424" width="5.5703125" style="358" customWidth="1"/>
    <col min="7425" max="7425" width="12.140625" style="358" customWidth="1"/>
    <col min="7426" max="7426" width="14.28515625" style="358" customWidth="1"/>
    <col min="7427" max="7668" width="9.140625" style="358"/>
    <col min="7669" max="7669" width="4.7109375" style="358" customWidth="1"/>
    <col min="7670" max="7670" width="9.140625" style="358"/>
    <col min="7671" max="7671" width="32" style="358" customWidth="1"/>
    <col min="7672" max="7672" width="13.7109375" style="358" customWidth="1"/>
    <col min="7673" max="7673" width="15" style="358" customWidth="1"/>
    <col min="7674" max="7675" width="4.7109375" style="358" customWidth="1"/>
    <col min="7676" max="7676" width="12.42578125" style="358" customWidth="1"/>
    <col min="7677" max="7677" width="35.85546875" style="358" customWidth="1"/>
    <col min="7678" max="7678" width="14.5703125" style="358" customWidth="1"/>
    <col min="7679" max="7679" width="14.7109375" style="358" customWidth="1"/>
    <col min="7680" max="7680" width="5.5703125" style="358" customWidth="1"/>
    <col min="7681" max="7681" width="12.140625" style="358" customWidth="1"/>
    <col min="7682" max="7682" width="14.28515625" style="358" customWidth="1"/>
    <col min="7683" max="7924" width="9.140625" style="358"/>
    <col min="7925" max="7925" width="4.7109375" style="358" customWidth="1"/>
    <col min="7926" max="7926" width="9.140625" style="358"/>
    <col min="7927" max="7927" width="32" style="358" customWidth="1"/>
    <col min="7928" max="7928" width="13.7109375" style="358" customWidth="1"/>
    <col min="7929" max="7929" width="15" style="358" customWidth="1"/>
    <col min="7930" max="7931" width="4.7109375" style="358" customWidth="1"/>
    <col min="7932" max="7932" width="12.42578125" style="358" customWidth="1"/>
    <col min="7933" max="7933" width="35.85546875" style="358" customWidth="1"/>
    <col min="7934" max="7934" width="14.5703125" style="358" customWidth="1"/>
    <col min="7935" max="7935" width="14.7109375" style="358" customWidth="1"/>
    <col min="7936" max="7936" width="5.5703125" style="358" customWidth="1"/>
    <col min="7937" max="7937" width="12.140625" style="358" customWidth="1"/>
    <col min="7938" max="7938" width="14.28515625" style="358" customWidth="1"/>
    <col min="7939" max="8180" width="9.140625" style="358"/>
    <col min="8181" max="8181" width="4.7109375" style="358" customWidth="1"/>
    <col min="8182" max="8182" width="9.140625" style="358"/>
    <col min="8183" max="8183" width="32" style="358" customWidth="1"/>
    <col min="8184" max="8184" width="13.7109375" style="358" customWidth="1"/>
    <col min="8185" max="8185" width="15" style="358" customWidth="1"/>
    <col min="8186" max="8187" width="4.7109375" style="358" customWidth="1"/>
    <col min="8188" max="8188" width="12.42578125" style="358" customWidth="1"/>
    <col min="8189" max="8189" width="35.85546875" style="358" customWidth="1"/>
    <col min="8190" max="8190" width="14.5703125" style="358" customWidth="1"/>
    <col min="8191" max="8191" width="14.7109375" style="358" customWidth="1"/>
    <col min="8192" max="8192" width="5.5703125" style="358" customWidth="1"/>
    <col min="8193" max="8193" width="12.140625" style="358" customWidth="1"/>
    <col min="8194" max="8194" width="14.28515625" style="358" customWidth="1"/>
    <col min="8195" max="8436" width="9.140625" style="358"/>
    <col min="8437" max="8437" width="4.7109375" style="358" customWidth="1"/>
    <col min="8438" max="8438" width="9.140625" style="358"/>
    <col min="8439" max="8439" width="32" style="358" customWidth="1"/>
    <col min="8440" max="8440" width="13.7109375" style="358" customWidth="1"/>
    <col min="8441" max="8441" width="15" style="358" customWidth="1"/>
    <col min="8442" max="8443" width="4.7109375" style="358" customWidth="1"/>
    <col min="8444" max="8444" width="12.42578125" style="358" customWidth="1"/>
    <col min="8445" max="8445" width="35.85546875" style="358" customWidth="1"/>
    <col min="8446" max="8446" width="14.5703125" style="358" customWidth="1"/>
    <col min="8447" max="8447" width="14.7109375" style="358" customWidth="1"/>
    <col min="8448" max="8448" width="5.5703125" style="358" customWidth="1"/>
    <col min="8449" max="8449" width="12.140625" style="358" customWidth="1"/>
    <col min="8450" max="8450" width="14.28515625" style="358" customWidth="1"/>
    <col min="8451" max="8692" width="9.140625" style="358"/>
    <col min="8693" max="8693" width="4.7109375" style="358" customWidth="1"/>
    <col min="8694" max="8694" width="9.140625" style="358"/>
    <col min="8695" max="8695" width="32" style="358" customWidth="1"/>
    <col min="8696" max="8696" width="13.7109375" style="358" customWidth="1"/>
    <col min="8697" max="8697" width="15" style="358" customWidth="1"/>
    <col min="8698" max="8699" width="4.7109375" style="358" customWidth="1"/>
    <col min="8700" max="8700" width="12.42578125" style="358" customWidth="1"/>
    <col min="8701" max="8701" width="35.85546875" style="358" customWidth="1"/>
    <col min="8702" max="8702" width="14.5703125" style="358" customWidth="1"/>
    <col min="8703" max="8703" width="14.7109375" style="358" customWidth="1"/>
    <col min="8704" max="8704" width="5.5703125" style="358" customWidth="1"/>
    <col min="8705" max="8705" width="12.140625" style="358" customWidth="1"/>
    <col min="8706" max="8706" width="14.28515625" style="358" customWidth="1"/>
    <col min="8707" max="8948" width="9.140625" style="358"/>
    <col min="8949" max="8949" width="4.7109375" style="358" customWidth="1"/>
    <col min="8950" max="8950" width="9.140625" style="358"/>
    <col min="8951" max="8951" width="32" style="358" customWidth="1"/>
    <col min="8952" max="8952" width="13.7109375" style="358" customWidth="1"/>
    <col min="8953" max="8953" width="15" style="358" customWidth="1"/>
    <col min="8954" max="8955" width="4.7109375" style="358" customWidth="1"/>
    <col min="8956" max="8956" width="12.42578125" style="358" customWidth="1"/>
    <col min="8957" max="8957" width="35.85546875" style="358" customWidth="1"/>
    <col min="8958" max="8958" width="14.5703125" style="358" customWidth="1"/>
    <col min="8959" max="8959" width="14.7109375" style="358" customWidth="1"/>
    <col min="8960" max="8960" width="5.5703125" style="358" customWidth="1"/>
    <col min="8961" max="8961" width="12.140625" style="358" customWidth="1"/>
    <col min="8962" max="8962" width="14.28515625" style="358" customWidth="1"/>
    <col min="8963" max="9204" width="9.140625" style="358"/>
    <col min="9205" max="9205" width="4.7109375" style="358" customWidth="1"/>
    <col min="9206" max="9206" width="9.140625" style="358"/>
    <col min="9207" max="9207" width="32" style="358" customWidth="1"/>
    <col min="9208" max="9208" width="13.7109375" style="358" customWidth="1"/>
    <col min="9209" max="9209" width="15" style="358" customWidth="1"/>
    <col min="9210" max="9211" width="4.7109375" style="358" customWidth="1"/>
    <col min="9212" max="9212" width="12.42578125" style="358" customWidth="1"/>
    <col min="9213" max="9213" width="35.85546875" style="358" customWidth="1"/>
    <col min="9214" max="9214" width="14.5703125" style="358" customWidth="1"/>
    <col min="9215" max="9215" width="14.7109375" style="358" customWidth="1"/>
    <col min="9216" max="9216" width="5.5703125" style="358" customWidth="1"/>
    <col min="9217" max="9217" width="12.140625" style="358" customWidth="1"/>
    <col min="9218" max="9218" width="14.28515625" style="358" customWidth="1"/>
    <col min="9219" max="9460" width="9.140625" style="358"/>
    <col min="9461" max="9461" width="4.7109375" style="358" customWidth="1"/>
    <col min="9462" max="9462" width="9.140625" style="358"/>
    <col min="9463" max="9463" width="32" style="358" customWidth="1"/>
    <col min="9464" max="9464" width="13.7109375" style="358" customWidth="1"/>
    <col min="9465" max="9465" width="15" style="358" customWidth="1"/>
    <col min="9466" max="9467" width="4.7109375" style="358" customWidth="1"/>
    <col min="9468" max="9468" width="12.42578125" style="358" customWidth="1"/>
    <col min="9469" max="9469" width="35.85546875" style="358" customWidth="1"/>
    <col min="9470" max="9470" width="14.5703125" style="358" customWidth="1"/>
    <col min="9471" max="9471" width="14.7109375" style="358" customWidth="1"/>
    <col min="9472" max="9472" width="5.5703125" style="358" customWidth="1"/>
    <col min="9473" max="9473" width="12.140625" style="358" customWidth="1"/>
    <col min="9474" max="9474" width="14.28515625" style="358" customWidth="1"/>
    <col min="9475" max="9716" width="9.140625" style="358"/>
    <col min="9717" max="9717" width="4.7109375" style="358" customWidth="1"/>
    <col min="9718" max="9718" width="9.140625" style="358"/>
    <col min="9719" max="9719" width="32" style="358" customWidth="1"/>
    <col min="9720" max="9720" width="13.7109375" style="358" customWidth="1"/>
    <col min="9721" max="9721" width="15" style="358" customWidth="1"/>
    <col min="9722" max="9723" width="4.7109375" style="358" customWidth="1"/>
    <col min="9724" max="9724" width="12.42578125" style="358" customWidth="1"/>
    <col min="9725" max="9725" width="35.85546875" style="358" customWidth="1"/>
    <col min="9726" max="9726" width="14.5703125" style="358" customWidth="1"/>
    <col min="9727" max="9727" width="14.7109375" style="358" customWidth="1"/>
    <col min="9728" max="9728" width="5.5703125" style="358" customWidth="1"/>
    <col min="9729" max="9729" width="12.140625" style="358" customWidth="1"/>
    <col min="9730" max="9730" width="14.28515625" style="358" customWidth="1"/>
    <col min="9731" max="9972" width="9.140625" style="358"/>
    <col min="9973" max="9973" width="4.7109375" style="358" customWidth="1"/>
    <col min="9974" max="9974" width="9.140625" style="358"/>
    <col min="9975" max="9975" width="32" style="358" customWidth="1"/>
    <col min="9976" max="9976" width="13.7109375" style="358" customWidth="1"/>
    <col min="9977" max="9977" width="15" style="358" customWidth="1"/>
    <col min="9978" max="9979" width="4.7109375" style="358" customWidth="1"/>
    <col min="9980" max="9980" width="12.42578125" style="358" customWidth="1"/>
    <col min="9981" max="9981" width="35.85546875" style="358" customWidth="1"/>
    <col min="9982" max="9982" width="14.5703125" style="358" customWidth="1"/>
    <col min="9983" max="9983" width="14.7109375" style="358" customWidth="1"/>
    <col min="9984" max="9984" width="5.5703125" style="358" customWidth="1"/>
    <col min="9985" max="9985" width="12.140625" style="358" customWidth="1"/>
    <col min="9986" max="9986" width="14.28515625" style="358" customWidth="1"/>
    <col min="9987" max="10228" width="9.140625" style="358"/>
    <col min="10229" max="10229" width="4.7109375" style="358" customWidth="1"/>
    <col min="10230" max="10230" width="9.140625" style="358"/>
    <col min="10231" max="10231" width="32" style="358" customWidth="1"/>
    <col min="10232" max="10232" width="13.7109375" style="358" customWidth="1"/>
    <col min="10233" max="10233" width="15" style="358" customWidth="1"/>
    <col min="10234" max="10235" width="4.7109375" style="358" customWidth="1"/>
    <col min="10236" max="10236" width="12.42578125" style="358" customWidth="1"/>
    <col min="10237" max="10237" width="35.85546875" style="358" customWidth="1"/>
    <col min="10238" max="10238" width="14.5703125" style="358" customWidth="1"/>
    <col min="10239" max="10239" width="14.7109375" style="358" customWidth="1"/>
    <col min="10240" max="10240" width="5.5703125" style="358" customWidth="1"/>
    <col min="10241" max="10241" width="12.140625" style="358" customWidth="1"/>
    <col min="10242" max="10242" width="14.28515625" style="358" customWidth="1"/>
    <col min="10243" max="10484" width="9.140625" style="358"/>
    <col min="10485" max="10485" width="4.7109375" style="358" customWidth="1"/>
    <col min="10486" max="10486" width="9.140625" style="358"/>
    <col min="10487" max="10487" width="32" style="358" customWidth="1"/>
    <col min="10488" max="10488" width="13.7109375" style="358" customWidth="1"/>
    <col min="10489" max="10489" width="15" style="358" customWidth="1"/>
    <col min="10490" max="10491" width="4.7109375" style="358" customWidth="1"/>
    <col min="10492" max="10492" width="12.42578125" style="358" customWidth="1"/>
    <col min="10493" max="10493" width="35.85546875" style="358" customWidth="1"/>
    <col min="10494" max="10494" width="14.5703125" style="358" customWidth="1"/>
    <col min="10495" max="10495" width="14.7109375" style="358" customWidth="1"/>
    <col min="10496" max="10496" width="5.5703125" style="358" customWidth="1"/>
    <col min="10497" max="10497" width="12.140625" style="358" customWidth="1"/>
    <col min="10498" max="10498" width="14.28515625" style="358" customWidth="1"/>
    <col min="10499" max="10740" width="9.140625" style="358"/>
    <col min="10741" max="10741" width="4.7109375" style="358" customWidth="1"/>
    <col min="10742" max="10742" width="9.140625" style="358"/>
    <col min="10743" max="10743" width="32" style="358" customWidth="1"/>
    <col min="10744" max="10744" width="13.7109375" style="358" customWidth="1"/>
    <col min="10745" max="10745" width="15" style="358" customWidth="1"/>
    <col min="10746" max="10747" width="4.7109375" style="358" customWidth="1"/>
    <col min="10748" max="10748" width="12.42578125" style="358" customWidth="1"/>
    <col min="10749" max="10749" width="35.85546875" style="358" customWidth="1"/>
    <col min="10750" max="10750" width="14.5703125" style="358" customWidth="1"/>
    <col min="10751" max="10751" width="14.7109375" style="358" customWidth="1"/>
    <col min="10752" max="10752" width="5.5703125" style="358" customWidth="1"/>
    <col min="10753" max="10753" width="12.140625" style="358" customWidth="1"/>
    <col min="10754" max="10754" width="14.28515625" style="358" customWidth="1"/>
    <col min="10755" max="10996" width="9.140625" style="358"/>
    <col min="10997" max="10997" width="4.7109375" style="358" customWidth="1"/>
    <col min="10998" max="10998" width="9.140625" style="358"/>
    <col min="10999" max="10999" width="32" style="358" customWidth="1"/>
    <col min="11000" max="11000" width="13.7109375" style="358" customWidth="1"/>
    <col min="11001" max="11001" width="15" style="358" customWidth="1"/>
    <col min="11002" max="11003" width="4.7109375" style="358" customWidth="1"/>
    <col min="11004" max="11004" width="12.42578125" style="358" customWidth="1"/>
    <col min="11005" max="11005" width="35.85546875" style="358" customWidth="1"/>
    <col min="11006" max="11006" width="14.5703125" style="358" customWidth="1"/>
    <col min="11007" max="11007" width="14.7109375" style="358" customWidth="1"/>
    <col min="11008" max="11008" width="5.5703125" style="358" customWidth="1"/>
    <col min="11009" max="11009" width="12.140625" style="358" customWidth="1"/>
    <col min="11010" max="11010" width="14.28515625" style="358" customWidth="1"/>
    <col min="11011" max="11252" width="9.140625" style="358"/>
    <col min="11253" max="11253" width="4.7109375" style="358" customWidth="1"/>
    <col min="11254" max="11254" width="9.140625" style="358"/>
    <col min="11255" max="11255" width="32" style="358" customWidth="1"/>
    <col min="11256" max="11256" width="13.7109375" style="358" customWidth="1"/>
    <col min="11257" max="11257" width="15" style="358" customWidth="1"/>
    <col min="11258" max="11259" width="4.7109375" style="358" customWidth="1"/>
    <col min="11260" max="11260" width="12.42578125" style="358" customWidth="1"/>
    <col min="11261" max="11261" width="35.85546875" style="358" customWidth="1"/>
    <col min="11262" max="11262" width="14.5703125" style="358" customWidth="1"/>
    <col min="11263" max="11263" width="14.7109375" style="358" customWidth="1"/>
    <col min="11264" max="11264" width="5.5703125" style="358" customWidth="1"/>
    <col min="11265" max="11265" width="12.140625" style="358" customWidth="1"/>
    <col min="11266" max="11266" width="14.28515625" style="358" customWidth="1"/>
    <col min="11267" max="11508" width="9.140625" style="358"/>
    <col min="11509" max="11509" width="4.7109375" style="358" customWidth="1"/>
    <col min="11510" max="11510" width="9.140625" style="358"/>
    <col min="11511" max="11511" width="32" style="358" customWidth="1"/>
    <col min="11512" max="11512" width="13.7109375" style="358" customWidth="1"/>
    <col min="11513" max="11513" width="15" style="358" customWidth="1"/>
    <col min="11514" max="11515" width="4.7109375" style="358" customWidth="1"/>
    <col min="11516" max="11516" width="12.42578125" style="358" customWidth="1"/>
    <col min="11517" max="11517" width="35.85546875" style="358" customWidth="1"/>
    <col min="11518" max="11518" width="14.5703125" style="358" customWidth="1"/>
    <col min="11519" max="11519" width="14.7109375" style="358" customWidth="1"/>
    <col min="11520" max="11520" width="5.5703125" style="358" customWidth="1"/>
    <col min="11521" max="11521" width="12.140625" style="358" customWidth="1"/>
    <col min="11522" max="11522" width="14.28515625" style="358" customWidth="1"/>
    <col min="11523" max="11764" width="9.140625" style="358"/>
    <col min="11765" max="11765" width="4.7109375" style="358" customWidth="1"/>
    <col min="11766" max="11766" width="9.140625" style="358"/>
    <col min="11767" max="11767" width="32" style="358" customWidth="1"/>
    <col min="11768" max="11768" width="13.7109375" style="358" customWidth="1"/>
    <col min="11769" max="11769" width="15" style="358" customWidth="1"/>
    <col min="11770" max="11771" width="4.7109375" style="358" customWidth="1"/>
    <col min="11772" max="11772" width="12.42578125" style="358" customWidth="1"/>
    <col min="11773" max="11773" width="35.85546875" style="358" customWidth="1"/>
    <col min="11774" max="11774" width="14.5703125" style="358" customWidth="1"/>
    <col min="11775" max="11775" width="14.7109375" style="358" customWidth="1"/>
    <col min="11776" max="11776" width="5.5703125" style="358" customWidth="1"/>
    <col min="11777" max="11777" width="12.140625" style="358" customWidth="1"/>
    <col min="11778" max="11778" width="14.28515625" style="358" customWidth="1"/>
    <col min="11779" max="12020" width="9.140625" style="358"/>
    <col min="12021" max="12021" width="4.7109375" style="358" customWidth="1"/>
    <col min="12022" max="12022" width="9.140625" style="358"/>
    <col min="12023" max="12023" width="32" style="358" customWidth="1"/>
    <col min="12024" max="12024" width="13.7109375" style="358" customWidth="1"/>
    <col min="12025" max="12025" width="15" style="358" customWidth="1"/>
    <col min="12026" max="12027" width="4.7109375" style="358" customWidth="1"/>
    <col min="12028" max="12028" width="12.42578125" style="358" customWidth="1"/>
    <col min="12029" max="12029" width="35.85546875" style="358" customWidth="1"/>
    <col min="12030" max="12030" width="14.5703125" style="358" customWidth="1"/>
    <col min="12031" max="12031" width="14.7109375" style="358" customWidth="1"/>
    <col min="12032" max="12032" width="5.5703125" style="358" customWidth="1"/>
    <col min="12033" max="12033" width="12.140625" style="358" customWidth="1"/>
    <col min="12034" max="12034" width="14.28515625" style="358" customWidth="1"/>
    <col min="12035" max="12276" width="9.140625" style="358"/>
    <col min="12277" max="12277" width="4.7109375" style="358" customWidth="1"/>
    <col min="12278" max="12278" width="9.140625" style="358"/>
    <col min="12279" max="12279" width="32" style="358" customWidth="1"/>
    <col min="12280" max="12280" width="13.7109375" style="358" customWidth="1"/>
    <col min="12281" max="12281" width="15" style="358" customWidth="1"/>
    <col min="12282" max="12283" width="4.7109375" style="358" customWidth="1"/>
    <col min="12284" max="12284" width="12.42578125" style="358" customWidth="1"/>
    <col min="12285" max="12285" width="35.85546875" style="358" customWidth="1"/>
    <col min="12286" max="12286" width="14.5703125" style="358" customWidth="1"/>
    <col min="12287" max="12287" width="14.7109375" style="358" customWidth="1"/>
    <col min="12288" max="12288" width="5.5703125" style="358" customWidth="1"/>
    <col min="12289" max="12289" width="12.140625" style="358" customWidth="1"/>
    <col min="12290" max="12290" width="14.28515625" style="358" customWidth="1"/>
    <col min="12291" max="12532" width="9.140625" style="358"/>
    <col min="12533" max="12533" width="4.7109375" style="358" customWidth="1"/>
    <col min="12534" max="12534" width="9.140625" style="358"/>
    <col min="12535" max="12535" width="32" style="358" customWidth="1"/>
    <col min="12536" max="12536" width="13.7109375" style="358" customWidth="1"/>
    <col min="12537" max="12537" width="15" style="358" customWidth="1"/>
    <col min="12538" max="12539" width="4.7109375" style="358" customWidth="1"/>
    <col min="12540" max="12540" width="12.42578125" style="358" customWidth="1"/>
    <col min="12541" max="12541" width="35.85546875" style="358" customWidth="1"/>
    <col min="12542" max="12542" width="14.5703125" style="358" customWidth="1"/>
    <col min="12543" max="12543" width="14.7109375" style="358" customWidth="1"/>
    <col min="12544" max="12544" width="5.5703125" style="358" customWidth="1"/>
    <col min="12545" max="12545" width="12.140625" style="358" customWidth="1"/>
    <col min="12546" max="12546" width="14.28515625" style="358" customWidth="1"/>
    <col min="12547" max="12788" width="9.140625" style="358"/>
    <col min="12789" max="12789" width="4.7109375" style="358" customWidth="1"/>
    <col min="12790" max="12790" width="9.140625" style="358"/>
    <col min="12791" max="12791" width="32" style="358" customWidth="1"/>
    <col min="12792" max="12792" width="13.7109375" style="358" customWidth="1"/>
    <col min="12793" max="12793" width="15" style="358" customWidth="1"/>
    <col min="12794" max="12795" width="4.7109375" style="358" customWidth="1"/>
    <col min="12796" max="12796" width="12.42578125" style="358" customWidth="1"/>
    <col min="12797" max="12797" width="35.85546875" style="358" customWidth="1"/>
    <col min="12798" max="12798" width="14.5703125" style="358" customWidth="1"/>
    <col min="12799" max="12799" width="14.7109375" style="358" customWidth="1"/>
    <col min="12800" max="12800" width="5.5703125" style="358" customWidth="1"/>
    <col min="12801" max="12801" width="12.140625" style="358" customWidth="1"/>
    <col min="12802" max="12802" width="14.28515625" style="358" customWidth="1"/>
    <col min="12803" max="13044" width="9.140625" style="358"/>
    <col min="13045" max="13045" width="4.7109375" style="358" customWidth="1"/>
    <col min="13046" max="13046" width="9.140625" style="358"/>
    <col min="13047" max="13047" width="32" style="358" customWidth="1"/>
    <col min="13048" max="13048" width="13.7109375" style="358" customWidth="1"/>
    <col min="13049" max="13049" width="15" style="358" customWidth="1"/>
    <col min="13050" max="13051" width="4.7109375" style="358" customWidth="1"/>
    <col min="13052" max="13052" width="12.42578125" style="358" customWidth="1"/>
    <col min="13053" max="13053" width="35.85546875" style="358" customWidth="1"/>
    <col min="13054" max="13054" width="14.5703125" style="358" customWidth="1"/>
    <col min="13055" max="13055" width="14.7109375" style="358" customWidth="1"/>
    <col min="13056" max="13056" width="5.5703125" style="358" customWidth="1"/>
    <col min="13057" max="13057" width="12.140625" style="358" customWidth="1"/>
    <col min="13058" max="13058" width="14.28515625" style="358" customWidth="1"/>
    <col min="13059" max="13300" width="9.140625" style="358"/>
    <col min="13301" max="13301" width="4.7109375" style="358" customWidth="1"/>
    <col min="13302" max="13302" width="9.140625" style="358"/>
    <col min="13303" max="13303" width="32" style="358" customWidth="1"/>
    <col min="13304" max="13304" width="13.7109375" style="358" customWidth="1"/>
    <col min="13305" max="13305" width="15" style="358" customWidth="1"/>
    <col min="13306" max="13307" width="4.7109375" style="358" customWidth="1"/>
    <col min="13308" max="13308" width="12.42578125" style="358" customWidth="1"/>
    <col min="13309" max="13309" width="35.85546875" style="358" customWidth="1"/>
    <col min="13310" max="13310" width="14.5703125" style="358" customWidth="1"/>
    <col min="13311" max="13311" width="14.7109375" style="358" customWidth="1"/>
    <col min="13312" max="13312" width="5.5703125" style="358" customWidth="1"/>
    <col min="13313" max="13313" width="12.140625" style="358" customWidth="1"/>
    <col min="13314" max="13314" width="14.28515625" style="358" customWidth="1"/>
    <col min="13315" max="13556" width="9.140625" style="358"/>
    <col min="13557" max="13557" width="4.7109375" style="358" customWidth="1"/>
    <col min="13558" max="13558" width="9.140625" style="358"/>
    <col min="13559" max="13559" width="32" style="358" customWidth="1"/>
    <col min="13560" max="13560" width="13.7109375" style="358" customWidth="1"/>
    <col min="13561" max="13561" width="15" style="358" customWidth="1"/>
    <col min="13562" max="13563" width="4.7109375" style="358" customWidth="1"/>
    <col min="13564" max="13564" width="12.42578125" style="358" customWidth="1"/>
    <col min="13565" max="13565" width="35.85546875" style="358" customWidth="1"/>
    <col min="13566" max="13566" width="14.5703125" style="358" customWidth="1"/>
    <col min="13567" max="13567" width="14.7109375" style="358" customWidth="1"/>
    <col min="13568" max="13568" width="5.5703125" style="358" customWidth="1"/>
    <col min="13569" max="13569" width="12.140625" style="358" customWidth="1"/>
    <col min="13570" max="13570" width="14.28515625" style="358" customWidth="1"/>
    <col min="13571" max="13812" width="9.140625" style="358"/>
    <col min="13813" max="13813" width="4.7109375" style="358" customWidth="1"/>
    <col min="13814" max="13814" width="9.140625" style="358"/>
    <col min="13815" max="13815" width="32" style="358" customWidth="1"/>
    <col min="13816" max="13816" width="13.7109375" style="358" customWidth="1"/>
    <col min="13817" max="13817" width="15" style="358" customWidth="1"/>
    <col min="13818" max="13819" width="4.7109375" style="358" customWidth="1"/>
    <col min="13820" max="13820" width="12.42578125" style="358" customWidth="1"/>
    <col min="13821" max="13821" width="35.85546875" style="358" customWidth="1"/>
    <col min="13822" max="13822" width="14.5703125" style="358" customWidth="1"/>
    <col min="13823" max="13823" width="14.7109375" style="358" customWidth="1"/>
    <col min="13824" max="13824" width="5.5703125" style="358" customWidth="1"/>
    <col min="13825" max="13825" width="12.140625" style="358" customWidth="1"/>
    <col min="13826" max="13826" width="14.28515625" style="358" customWidth="1"/>
    <col min="13827" max="14068" width="9.140625" style="358"/>
    <col min="14069" max="14069" width="4.7109375" style="358" customWidth="1"/>
    <col min="14070" max="14070" width="9.140625" style="358"/>
    <col min="14071" max="14071" width="32" style="358" customWidth="1"/>
    <col min="14072" max="14072" width="13.7109375" style="358" customWidth="1"/>
    <col min="14073" max="14073" width="15" style="358" customWidth="1"/>
    <col min="14074" max="14075" width="4.7109375" style="358" customWidth="1"/>
    <col min="14076" max="14076" width="12.42578125" style="358" customWidth="1"/>
    <col min="14077" max="14077" width="35.85546875" style="358" customWidth="1"/>
    <col min="14078" max="14078" width="14.5703125" style="358" customWidth="1"/>
    <col min="14079" max="14079" width="14.7109375" style="358" customWidth="1"/>
    <col min="14080" max="14080" width="5.5703125" style="358" customWidth="1"/>
    <col min="14081" max="14081" width="12.140625" style="358" customWidth="1"/>
    <col min="14082" max="14082" width="14.28515625" style="358" customWidth="1"/>
    <col min="14083" max="14324" width="9.140625" style="358"/>
    <col min="14325" max="14325" width="4.7109375" style="358" customWidth="1"/>
    <col min="14326" max="14326" width="9.140625" style="358"/>
    <col min="14327" max="14327" width="32" style="358" customWidth="1"/>
    <col min="14328" max="14328" width="13.7109375" style="358" customWidth="1"/>
    <col min="14329" max="14329" width="15" style="358" customWidth="1"/>
    <col min="14330" max="14331" width="4.7109375" style="358" customWidth="1"/>
    <col min="14332" max="14332" width="12.42578125" style="358" customWidth="1"/>
    <col min="14333" max="14333" width="35.85546875" style="358" customWidth="1"/>
    <col min="14334" max="14334" width="14.5703125" style="358" customWidth="1"/>
    <col min="14335" max="14335" width="14.7109375" style="358" customWidth="1"/>
    <col min="14336" max="14336" width="5.5703125" style="358" customWidth="1"/>
    <col min="14337" max="14337" width="12.140625" style="358" customWidth="1"/>
    <col min="14338" max="14338" width="14.28515625" style="358" customWidth="1"/>
    <col min="14339" max="14580" width="9.140625" style="358"/>
    <col min="14581" max="14581" width="4.7109375" style="358" customWidth="1"/>
    <col min="14582" max="14582" width="9.140625" style="358"/>
    <col min="14583" max="14583" width="32" style="358" customWidth="1"/>
    <col min="14584" max="14584" width="13.7109375" style="358" customWidth="1"/>
    <col min="14585" max="14585" width="15" style="358" customWidth="1"/>
    <col min="14586" max="14587" width="4.7109375" style="358" customWidth="1"/>
    <col min="14588" max="14588" width="12.42578125" style="358" customWidth="1"/>
    <col min="14589" max="14589" width="35.85546875" style="358" customWidth="1"/>
    <col min="14590" max="14590" width="14.5703125" style="358" customWidth="1"/>
    <col min="14591" max="14591" width="14.7109375" style="358" customWidth="1"/>
    <col min="14592" max="14592" width="5.5703125" style="358" customWidth="1"/>
    <col min="14593" max="14593" width="12.140625" style="358" customWidth="1"/>
    <col min="14594" max="14594" width="14.28515625" style="358" customWidth="1"/>
    <col min="14595" max="14836" width="9.140625" style="358"/>
    <col min="14837" max="14837" width="4.7109375" style="358" customWidth="1"/>
    <col min="14838" max="14838" width="9.140625" style="358"/>
    <col min="14839" max="14839" width="32" style="358" customWidth="1"/>
    <col min="14840" max="14840" width="13.7109375" style="358" customWidth="1"/>
    <col min="14841" max="14841" width="15" style="358" customWidth="1"/>
    <col min="14842" max="14843" width="4.7109375" style="358" customWidth="1"/>
    <col min="14844" max="14844" width="12.42578125" style="358" customWidth="1"/>
    <col min="14845" max="14845" width="35.85546875" style="358" customWidth="1"/>
    <col min="14846" max="14846" width="14.5703125" style="358" customWidth="1"/>
    <col min="14847" max="14847" width="14.7109375" style="358" customWidth="1"/>
    <col min="14848" max="14848" width="5.5703125" style="358" customWidth="1"/>
    <col min="14849" max="14849" width="12.140625" style="358" customWidth="1"/>
    <col min="14850" max="14850" width="14.28515625" style="358" customWidth="1"/>
    <col min="14851" max="15092" width="9.140625" style="358"/>
    <col min="15093" max="15093" width="4.7109375" style="358" customWidth="1"/>
    <col min="15094" max="15094" width="9.140625" style="358"/>
    <col min="15095" max="15095" width="32" style="358" customWidth="1"/>
    <col min="15096" max="15096" width="13.7109375" style="358" customWidth="1"/>
    <col min="15097" max="15097" width="15" style="358" customWidth="1"/>
    <col min="15098" max="15099" width="4.7109375" style="358" customWidth="1"/>
    <col min="15100" max="15100" width="12.42578125" style="358" customWidth="1"/>
    <col min="15101" max="15101" width="35.85546875" style="358" customWidth="1"/>
    <col min="15102" max="15102" width="14.5703125" style="358" customWidth="1"/>
    <col min="15103" max="15103" width="14.7109375" style="358" customWidth="1"/>
    <col min="15104" max="15104" width="5.5703125" style="358" customWidth="1"/>
    <col min="15105" max="15105" width="12.140625" style="358" customWidth="1"/>
    <col min="15106" max="15106" width="14.28515625" style="358" customWidth="1"/>
    <col min="15107" max="15348" width="9.140625" style="358"/>
    <col min="15349" max="15349" width="4.7109375" style="358" customWidth="1"/>
    <col min="15350" max="15350" width="9.140625" style="358"/>
    <col min="15351" max="15351" width="32" style="358" customWidth="1"/>
    <col min="15352" max="15352" width="13.7109375" style="358" customWidth="1"/>
    <col min="15353" max="15353" width="15" style="358" customWidth="1"/>
    <col min="15354" max="15355" width="4.7109375" style="358" customWidth="1"/>
    <col min="15356" max="15356" width="12.42578125" style="358" customWidth="1"/>
    <col min="15357" max="15357" width="35.85546875" style="358" customWidth="1"/>
    <col min="15358" max="15358" width="14.5703125" style="358" customWidth="1"/>
    <col min="15359" max="15359" width="14.7109375" style="358" customWidth="1"/>
    <col min="15360" max="15360" width="5.5703125" style="358" customWidth="1"/>
    <col min="15361" max="15361" width="12.140625" style="358" customWidth="1"/>
    <col min="15362" max="15362" width="14.28515625" style="358" customWidth="1"/>
    <col min="15363" max="15604" width="9.140625" style="358"/>
    <col min="15605" max="15605" width="4.7109375" style="358" customWidth="1"/>
    <col min="15606" max="15606" width="9.140625" style="358"/>
    <col min="15607" max="15607" width="32" style="358" customWidth="1"/>
    <col min="15608" max="15608" width="13.7109375" style="358" customWidth="1"/>
    <col min="15609" max="15609" width="15" style="358" customWidth="1"/>
    <col min="15610" max="15611" width="4.7109375" style="358" customWidth="1"/>
    <col min="15612" max="15612" width="12.42578125" style="358" customWidth="1"/>
    <col min="15613" max="15613" width="35.85546875" style="358" customWidth="1"/>
    <col min="15614" max="15614" width="14.5703125" style="358" customWidth="1"/>
    <col min="15615" max="15615" width="14.7109375" style="358" customWidth="1"/>
    <col min="15616" max="15616" width="5.5703125" style="358" customWidth="1"/>
    <col min="15617" max="15617" width="12.140625" style="358" customWidth="1"/>
    <col min="15618" max="15618" width="14.28515625" style="358" customWidth="1"/>
    <col min="15619" max="15860" width="9.140625" style="358"/>
    <col min="15861" max="15861" width="4.7109375" style="358" customWidth="1"/>
    <col min="15862" max="15862" width="9.140625" style="358"/>
    <col min="15863" max="15863" width="32" style="358" customWidth="1"/>
    <col min="15864" max="15864" width="13.7109375" style="358" customWidth="1"/>
    <col min="15865" max="15865" width="15" style="358" customWidth="1"/>
    <col min="15866" max="15867" width="4.7109375" style="358" customWidth="1"/>
    <col min="15868" max="15868" width="12.42578125" style="358" customWidth="1"/>
    <col min="15869" max="15869" width="35.85546875" style="358" customWidth="1"/>
    <col min="15870" max="15870" width="14.5703125" style="358" customWidth="1"/>
    <col min="15871" max="15871" width="14.7109375" style="358" customWidth="1"/>
    <col min="15872" max="15872" width="5.5703125" style="358" customWidth="1"/>
    <col min="15873" max="15873" width="12.140625" style="358" customWidth="1"/>
    <col min="15874" max="15874" width="14.28515625" style="358" customWidth="1"/>
    <col min="15875" max="16116" width="9.140625" style="358"/>
    <col min="16117" max="16117" width="4.7109375" style="358" customWidth="1"/>
    <col min="16118" max="16118" width="9.140625" style="358"/>
    <col min="16119" max="16119" width="32" style="358" customWidth="1"/>
    <col min="16120" max="16120" width="13.7109375" style="358" customWidth="1"/>
    <col min="16121" max="16121" width="15" style="358" customWidth="1"/>
    <col min="16122" max="16123" width="4.7109375" style="358" customWidth="1"/>
    <col min="16124" max="16124" width="12.42578125" style="358" customWidth="1"/>
    <col min="16125" max="16125" width="35.85546875" style="358" customWidth="1"/>
    <col min="16126" max="16126" width="14.5703125" style="358" customWidth="1"/>
    <col min="16127" max="16127" width="14.7109375" style="358" customWidth="1"/>
    <col min="16128" max="16128" width="5.5703125" style="358" customWidth="1"/>
    <col min="16129" max="16129" width="12.140625" style="358" customWidth="1"/>
    <col min="16130" max="16130" width="14.28515625" style="358" customWidth="1"/>
    <col min="16131" max="16384" width="9.140625" style="358"/>
  </cols>
  <sheetData>
    <row r="1" spans="1:6" ht="22.5" customHeight="1">
      <c r="A1" s="901" t="s">
        <v>804</v>
      </c>
      <c r="B1" s="902"/>
      <c r="C1" s="902"/>
      <c r="D1" s="902"/>
      <c r="E1" s="903"/>
      <c r="F1" s="270" t="s">
        <v>336</v>
      </c>
    </row>
    <row r="2" spans="1:6" ht="15.75">
      <c r="A2" s="653" t="s">
        <v>351</v>
      </c>
      <c r="B2" s="359"/>
      <c r="C2" s="360"/>
      <c r="D2" s="360"/>
      <c r="E2" s="654"/>
    </row>
    <row r="3" spans="1:6" ht="15.75">
      <c r="A3" s="655"/>
      <c r="B3" s="359"/>
      <c r="C3" s="360"/>
      <c r="D3" s="360"/>
      <c r="E3" s="654"/>
    </row>
    <row r="4" spans="1:6">
      <c r="A4" s="656" t="s">
        <v>352</v>
      </c>
      <c r="C4" s="373"/>
      <c r="D4" s="373"/>
      <c r="E4" s="654"/>
    </row>
    <row r="5" spans="1:6" ht="15.75">
      <c r="A5" s="657"/>
      <c r="B5" s="363" t="s">
        <v>353</v>
      </c>
      <c r="C5" s="373"/>
      <c r="D5" s="373"/>
      <c r="E5" s="654"/>
    </row>
    <row r="6" spans="1:6" ht="15.75">
      <c r="A6" s="658"/>
      <c r="B6" s="364"/>
      <c r="C6" s="644"/>
      <c r="D6" s="365"/>
      <c r="E6" s="654"/>
    </row>
    <row r="7" spans="1:6" ht="15.75">
      <c r="A7" s="659" t="s">
        <v>354</v>
      </c>
      <c r="B7" s="363" t="s">
        <v>17</v>
      </c>
      <c r="C7" s="644" t="s">
        <v>679</v>
      </c>
      <c r="D7" s="365" t="s">
        <v>365</v>
      </c>
      <c r="E7" s="365" t="s">
        <v>674</v>
      </c>
    </row>
    <row r="8" spans="1:6" ht="15.75">
      <c r="A8" s="658"/>
      <c r="B8" s="364"/>
      <c r="C8" s="366"/>
      <c r="D8" s="360"/>
      <c r="E8" s="654"/>
    </row>
    <row r="9" spans="1:6" ht="15.75">
      <c r="A9" s="660" t="s">
        <v>74</v>
      </c>
      <c r="B9" s="363" t="s">
        <v>355</v>
      </c>
      <c r="C9" s="367"/>
      <c r="D9" s="368"/>
      <c r="E9" s="654"/>
    </row>
    <row r="10" spans="1:6" ht="15.75">
      <c r="A10" s="661">
        <v>1</v>
      </c>
      <c r="B10" s="364" t="s">
        <v>356</v>
      </c>
      <c r="C10" s="367">
        <v>70796.98079999999</v>
      </c>
      <c r="D10" s="368"/>
      <c r="E10" s="654"/>
    </row>
    <row r="11" spans="1:6" ht="15.75">
      <c r="A11" s="661">
        <v>2</v>
      </c>
      <c r="B11" s="364" t="s">
        <v>357</v>
      </c>
      <c r="C11" s="367">
        <v>70796.98079999999</v>
      </c>
      <c r="D11" s="368"/>
      <c r="E11" s="654"/>
    </row>
    <row r="12" spans="1:6" ht="18">
      <c r="A12" s="661">
        <v>3</v>
      </c>
      <c r="B12" s="364" t="s">
        <v>368</v>
      </c>
      <c r="C12" s="367">
        <v>70796.98079999999</v>
      </c>
      <c r="D12" s="368"/>
      <c r="E12" s="654"/>
    </row>
    <row r="13" spans="1:6" ht="18">
      <c r="A13" s="661">
        <v>4</v>
      </c>
      <c r="B13" s="364" t="s">
        <v>369</v>
      </c>
      <c r="C13" s="367">
        <v>66168.891359999994</v>
      </c>
      <c r="D13" s="626">
        <f>C13</f>
        <v>66168.891359999994</v>
      </c>
      <c r="E13" s="654"/>
    </row>
    <row r="14" spans="1:6" ht="15.75">
      <c r="A14" s="661"/>
      <c r="B14" s="364"/>
      <c r="C14" s="369">
        <f>SUM(C10:C13)</f>
        <v>278559.83375999995</v>
      </c>
      <c r="D14" s="370"/>
      <c r="E14" s="654"/>
    </row>
    <row r="15" spans="1:6" ht="15.75">
      <c r="A15" s="660" t="s">
        <v>87</v>
      </c>
      <c r="B15" s="363" t="s">
        <v>358</v>
      </c>
      <c r="C15" s="367"/>
      <c r="D15" s="368"/>
      <c r="E15" s="654"/>
    </row>
    <row r="16" spans="1:6" ht="15.75">
      <c r="A16" s="661">
        <v>2</v>
      </c>
      <c r="B16" s="364" t="s">
        <v>359</v>
      </c>
      <c r="C16" s="367">
        <f>'Area-Mall'!F17</f>
        <v>35978.67</v>
      </c>
      <c r="D16" s="367">
        <f>'Area-Mall'!I17</f>
        <v>44426.570075999989</v>
      </c>
      <c r="E16" s="654"/>
    </row>
    <row r="17" spans="1:7" ht="15.75">
      <c r="A17" s="661">
        <v>3</v>
      </c>
      <c r="B17" s="364" t="s">
        <v>360</v>
      </c>
      <c r="C17" s="367">
        <f>'Area-Mall'!F28</f>
        <v>34642.857599999996</v>
      </c>
      <c r="D17" s="367">
        <f>'Area-Mall'!I28</f>
        <v>46313.444735999998</v>
      </c>
      <c r="E17" s="654"/>
    </row>
    <row r="18" spans="1:7" ht="15.75">
      <c r="A18" s="661">
        <v>4</v>
      </c>
      <c r="B18" s="364" t="s">
        <v>361</v>
      </c>
      <c r="C18" s="367">
        <f>'Area-Mall'!F41</f>
        <v>36523.328399999991</v>
      </c>
      <c r="D18" s="367">
        <f>'Area-Mall'!I41</f>
        <v>51865.354476</v>
      </c>
      <c r="E18" s="654"/>
    </row>
    <row r="19" spans="1:7" ht="15.75">
      <c r="A19" s="661">
        <v>5</v>
      </c>
      <c r="B19" s="364" t="s">
        <v>362</v>
      </c>
      <c r="C19" s="367">
        <v>48631.752</v>
      </c>
      <c r="D19" s="367">
        <f>'Area-Mall'!I49</f>
        <v>44518</v>
      </c>
      <c r="E19" s="654"/>
    </row>
    <row r="20" spans="1:7" ht="15.75">
      <c r="A20" s="661"/>
      <c r="B20" s="375" t="s">
        <v>371</v>
      </c>
      <c r="C20" s="376">
        <f>SUM(C16:C19)</f>
        <v>155776.60800000001</v>
      </c>
      <c r="D20" s="376">
        <f>SUM(D16:D19)</f>
        <v>187123.36928799999</v>
      </c>
      <c r="E20" s="662">
        <f>D20*50%*90%</f>
        <v>84205.516179600003</v>
      </c>
      <c r="G20" s="802"/>
    </row>
    <row r="21" spans="1:7" ht="15.75">
      <c r="A21" s="661"/>
      <c r="B21" s="364"/>
      <c r="C21" s="369"/>
      <c r="D21" s="370"/>
      <c r="E21" s="654"/>
    </row>
    <row r="22" spans="1:7" ht="15.75">
      <c r="A22" s="660" t="s">
        <v>88</v>
      </c>
      <c r="B22" s="363" t="s">
        <v>363</v>
      </c>
      <c r="C22" s="367"/>
      <c r="D22" s="368"/>
      <c r="E22" s="654"/>
    </row>
    <row r="23" spans="1:7" ht="15.75">
      <c r="A23" s="661"/>
      <c r="B23" s="364"/>
      <c r="C23" s="367"/>
      <c r="D23" s="368"/>
      <c r="E23" s="654"/>
    </row>
    <row r="24" spans="1:7" ht="15.75">
      <c r="A24" s="661">
        <v>1</v>
      </c>
      <c r="B24" s="364" t="s">
        <v>778</v>
      </c>
      <c r="C24" s="367">
        <f>'Area-Office'!F11</f>
        <v>46058.079599999997</v>
      </c>
      <c r="D24" s="368">
        <f>'Area-Office'!I11</f>
        <v>58033.180296000006</v>
      </c>
      <c r="E24" s="654"/>
    </row>
    <row r="25" spans="1:7" ht="15.75">
      <c r="A25" s="661"/>
      <c r="B25" s="364" t="s">
        <v>779</v>
      </c>
      <c r="C25" s="367">
        <f>'Area-Office'!F20</f>
        <v>44248.651200000008</v>
      </c>
      <c r="D25" s="368">
        <f>'Area-Office'!I20</f>
        <v>55753.300512000002</v>
      </c>
      <c r="E25" s="654"/>
    </row>
    <row r="26" spans="1:7" ht="15.75">
      <c r="A26" s="661"/>
      <c r="B26" s="364" t="s">
        <v>780</v>
      </c>
      <c r="C26" s="367">
        <f>'Area-Office'!F29</f>
        <v>46058.079599999997</v>
      </c>
      <c r="D26" s="368">
        <f>'Area-Office'!I29</f>
        <v>58033.180296000006</v>
      </c>
      <c r="E26" s="654"/>
    </row>
    <row r="27" spans="1:7" ht="15.75">
      <c r="A27" s="661"/>
      <c r="B27" s="364" t="s">
        <v>781</v>
      </c>
      <c r="C27" s="367">
        <f>'Area-Office'!F37</f>
        <v>46058.079599999997</v>
      </c>
      <c r="D27" s="368">
        <f>'Area-Office'!I37</f>
        <v>58033.180296000006</v>
      </c>
      <c r="E27" s="654"/>
    </row>
    <row r="28" spans="1:7" ht="15.75">
      <c r="A28" s="661"/>
      <c r="B28" s="364" t="s">
        <v>782</v>
      </c>
      <c r="C28" s="367">
        <f>'Area-Office'!F45</f>
        <v>46058.079599999997</v>
      </c>
      <c r="D28" s="368">
        <f>'Area-Office'!I45</f>
        <v>58033.180296000006</v>
      </c>
      <c r="E28" s="654"/>
    </row>
    <row r="29" spans="1:7" ht="15.75">
      <c r="A29" s="661"/>
      <c r="B29" s="378" t="s">
        <v>370</v>
      </c>
      <c r="C29" s="376">
        <f>SUM(C25:C28)</f>
        <v>182422.89</v>
      </c>
      <c r="D29" s="377">
        <f>SUM(D24:D28)</f>
        <v>287886.02169600001</v>
      </c>
      <c r="E29" s="662">
        <f>D29*70%</f>
        <v>201520.2151872</v>
      </c>
    </row>
    <row r="30" spans="1:7" ht="15.75">
      <c r="A30" s="661"/>
      <c r="B30" s="364"/>
      <c r="C30" s="369"/>
      <c r="D30" s="370"/>
      <c r="E30" s="654"/>
    </row>
    <row r="31" spans="1:7">
      <c r="A31" s="663"/>
      <c r="B31" s="371"/>
      <c r="C31" s="372"/>
      <c r="D31" s="373"/>
      <c r="E31" s="654"/>
    </row>
    <row r="32" spans="1:7" ht="16.5" thickBot="1">
      <c r="A32" s="664"/>
      <c r="B32" s="665" t="s">
        <v>364</v>
      </c>
      <c r="C32" s="666"/>
      <c r="D32" s="667">
        <f>D20+D29</f>
        <v>475009.390984</v>
      </c>
      <c r="E32" s="668"/>
    </row>
    <row r="33" spans="1:4">
      <c r="A33" s="651"/>
      <c r="B33" s="651"/>
      <c r="C33" s="652"/>
      <c r="D33" s="373"/>
    </row>
    <row r="35" spans="1:4">
      <c r="A35" s="361"/>
    </row>
    <row r="36" spans="1:4">
      <c r="C36" s="374"/>
      <c r="D36" s="374"/>
    </row>
    <row r="38" spans="1:4">
      <c r="A38" s="361"/>
      <c r="C38" s="374"/>
      <c r="D38" s="374"/>
    </row>
    <row r="39" spans="1:4">
      <c r="C39" s="374"/>
      <c r="D39" s="374"/>
    </row>
    <row r="41" spans="1:4">
      <c r="A41" s="361"/>
      <c r="C41" s="374"/>
      <c r="D41" s="374"/>
    </row>
  </sheetData>
  <sheetProtection selectLockedCells="1" selectUnlockedCells="1"/>
  <mergeCells count="1">
    <mergeCell ref="A1:E1"/>
  </mergeCells>
  <hyperlinks>
    <hyperlink ref="F1" location="INDEX!A1" display="INDEX" xr:uid="{00000000-0004-0000-0100-000000000000}"/>
  </hyperlinks>
  <pageMargins left="0.74791666666666701" right="0.74791666666666701" top="0.98402777777777795" bottom="0.98402777777777795" header="0.51180555555555596" footer="0.51180555555555596"/>
  <pageSetup scale="97" firstPageNumber="0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59"/>
  <sheetViews>
    <sheetView zoomScale="80" zoomScaleNormal="80" workbookViewId="0">
      <selection sqref="A1:XFD1"/>
    </sheetView>
  </sheetViews>
  <sheetFormatPr defaultColWidth="9.140625" defaultRowHeight="18" customHeight="1"/>
  <cols>
    <col min="1" max="1" width="6.85546875" style="806" bestFit="1" customWidth="1"/>
    <col min="2" max="2" width="32.7109375" style="806" bestFit="1" customWidth="1"/>
    <col min="3" max="3" width="10.28515625" style="806" bestFit="1" customWidth="1"/>
    <col min="4" max="4" width="11.42578125" style="806" bestFit="1" customWidth="1"/>
    <col min="5" max="5" width="10.28515625" style="806" bestFit="1" customWidth="1"/>
    <col min="6" max="6" width="13.85546875" style="806" customWidth="1"/>
    <col min="7" max="7" width="13.42578125" style="806" bestFit="1" customWidth="1"/>
    <col min="8" max="8" width="11.28515625" style="806" bestFit="1" customWidth="1"/>
    <col min="9" max="9" width="13.5703125" style="806" bestFit="1" customWidth="1"/>
    <col min="10" max="10" width="15" style="806" bestFit="1" customWidth="1"/>
    <col min="11" max="11" width="4.5703125" style="806" bestFit="1" customWidth="1"/>
    <col min="12" max="12" width="29.7109375" style="806" bestFit="1" customWidth="1"/>
    <col min="13" max="16384" width="9.140625" style="806"/>
  </cols>
  <sheetData>
    <row r="1" spans="1:12" ht="18" customHeight="1" thickBot="1">
      <c r="A1" s="904" t="s">
        <v>804</v>
      </c>
      <c r="B1" s="905"/>
      <c r="C1" s="905"/>
      <c r="D1" s="905"/>
      <c r="E1" s="905"/>
      <c r="F1" s="905"/>
      <c r="G1" s="905"/>
      <c r="H1" s="905"/>
      <c r="I1" s="906"/>
    </row>
    <row r="2" spans="1:12" ht="18" customHeight="1">
      <c r="A2" s="907" t="s">
        <v>706</v>
      </c>
      <c r="B2" s="909" t="s">
        <v>17</v>
      </c>
      <c r="C2" s="911" t="s">
        <v>707</v>
      </c>
      <c r="D2" s="911"/>
      <c r="E2" s="911" t="s">
        <v>708</v>
      </c>
      <c r="F2" s="911"/>
      <c r="G2" s="808" t="s">
        <v>709</v>
      </c>
      <c r="H2" s="912" t="s">
        <v>710</v>
      </c>
      <c r="I2" s="913"/>
      <c r="J2" s="809" t="s">
        <v>711</v>
      </c>
      <c r="K2" s="807" t="s">
        <v>712</v>
      </c>
      <c r="L2" s="810"/>
    </row>
    <row r="3" spans="1:12" ht="18" customHeight="1" thickBot="1">
      <c r="A3" s="908"/>
      <c r="B3" s="910"/>
      <c r="C3" s="811" t="s">
        <v>713</v>
      </c>
      <c r="D3" s="811" t="s">
        <v>714</v>
      </c>
      <c r="E3" s="811" t="s">
        <v>713</v>
      </c>
      <c r="F3" s="811" t="s">
        <v>714</v>
      </c>
      <c r="G3" s="812" t="s">
        <v>715</v>
      </c>
      <c r="H3" s="811" t="s">
        <v>713</v>
      </c>
      <c r="I3" s="813" t="s">
        <v>714</v>
      </c>
      <c r="J3" s="814" t="s">
        <v>716</v>
      </c>
      <c r="K3" s="807"/>
      <c r="L3" s="807"/>
    </row>
    <row r="4" spans="1:12" ht="18" customHeight="1">
      <c r="A4" s="835"/>
      <c r="B4" s="836" t="s">
        <v>717</v>
      </c>
      <c r="C4" s="837"/>
      <c r="D4" s="837"/>
      <c r="E4" s="837"/>
      <c r="F4" s="838"/>
      <c r="G4" s="837"/>
      <c r="H4" s="839"/>
      <c r="I4" s="840"/>
      <c r="J4" s="807"/>
      <c r="K4" s="807"/>
      <c r="L4" s="807"/>
    </row>
    <row r="5" spans="1:12" ht="18" customHeight="1">
      <c r="A5" s="815">
        <v>1</v>
      </c>
      <c r="B5" s="816" t="s">
        <v>718</v>
      </c>
      <c r="C5" s="817">
        <v>107.3</v>
      </c>
      <c r="D5" s="817">
        <v>1154.9771999999998</v>
      </c>
      <c r="E5" s="817">
        <v>115.9</v>
      </c>
      <c r="F5" s="817">
        <v>1247.5475999999999</v>
      </c>
      <c r="G5" s="818">
        <v>0.62</v>
      </c>
      <c r="H5" s="819">
        <v>187.75800000000001</v>
      </c>
      <c r="I5" s="820">
        <v>2021.027112</v>
      </c>
      <c r="J5" s="821">
        <f t="shared" ref="J5:J14" si="0">D5/I5</f>
        <v>0.57148030976043618</v>
      </c>
      <c r="K5" s="822">
        <f t="shared" ref="K5:K14" si="1">F5/D5</f>
        <v>1.0801491146318734</v>
      </c>
      <c r="L5" s="807"/>
    </row>
    <row r="6" spans="1:12" ht="18" customHeight="1">
      <c r="A6" s="815">
        <v>2</v>
      </c>
      <c r="B6" s="816" t="s">
        <v>719</v>
      </c>
      <c r="C6" s="817">
        <v>36.4</v>
      </c>
      <c r="D6" s="817">
        <v>391.80959999999999</v>
      </c>
      <c r="E6" s="817">
        <v>40.299999999999997</v>
      </c>
      <c r="F6" s="817">
        <v>433.78919999999994</v>
      </c>
      <c r="G6" s="818">
        <v>0.67</v>
      </c>
      <c r="H6" s="819">
        <v>67.301000000000002</v>
      </c>
      <c r="I6" s="820">
        <v>724.42796399999997</v>
      </c>
      <c r="J6" s="821">
        <f t="shared" si="0"/>
        <v>0.54085377631833109</v>
      </c>
      <c r="K6" s="822">
        <f t="shared" si="1"/>
        <v>1.107142857142857</v>
      </c>
      <c r="L6" s="807"/>
    </row>
    <row r="7" spans="1:12" ht="18" customHeight="1">
      <c r="A7" s="815">
        <v>3</v>
      </c>
      <c r="B7" s="816" t="s">
        <v>720</v>
      </c>
      <c r="C7" s="817">
        <v>37.5</v>
      </c>
      <c r="D7" s="817">
        <v>403.65</v>
      </c>
      <c r="E7" s="817">
        <v>41.7</v>
      </c>
      <c r="F7" s="817">
        <v>448.85880000000003</v>
      </c>
      <c r="G7" s="818">
        <v>0.67</v>
      </c>
      <c r="H7" s="819">
        <v>69.63900000000001</v>
      </c>
      <c r="I7" s="820">
        <v>749.59419600000001</v>
      </c>
      <c r="J7" s="821">
        <f t="shared" si="0"/>
        <v>0.53849136259854391</v>
      </c>
      <c r="K7" s="822">
        <f t="shared" si="1"/>
        <v>1.1120000000000001</v>
      </c>
      <c r="L7" s="807"/>
    </row>
    <row r="8" spans="1:12" ht="18" customHeight="1">
      <c r="A8" s="815">
        <v>4</v>
      </c>
      <c r="B8" s="816" t="s">
        <v>721</v>
      </c>
      <c r="C8" s="817">
        <v>2244</v>
      </c>
      <c r="D8" s="817">
        <v>24154.415999999997</v>
      </c>
      <c r="E8" s="817">
        <v>2285.9</v>
      </c>
      <c r="F8" s="817">
        <v>24605.427599999999</v>
      </c>
      <c r="G8" s="818">
        <v>0.24</v>
      </c>
      <c r="H8" s="819">
        <v>2834.5160000000001</v>
      </c>
      <c r="I8" s="820">
        <v>30510.730223999999</v>
      </c>
      <c r="J8" s="821">
        <f t="shared" si="0"/>
        <v>0.79166954781698173</v>
      </c>
      <c r="K8" s="822">
        <f t="shared" si="1"/>
        <v>1.0186720142602497</v>
      </c>
      <c r="L8" s="807"/>
    </row>
    <row r="9" spans="1:12" ht="18" customHeight="1">
      <c r="A9" s="815">
        <v>5</v>
      </c>
      <c r="B9" s="816" t="s">
        <v>722</v>
      </c>
      <c r="C9" s="817">
        <v>35.9</v>
      </c>
      <c r="D9" s="817">
        <v>386.42759999999998</v>
      </c>
      <c r="E9" s="817">
        <v>39.200000000000003</v>
      </c>
      <c r="F9" s="817">
        <v>421.94880000000001</v>
      </c>
      <c r="G9" s="818">
        <v>0.67</v>
      </c>
      <c r="H9" s="819">
        <v>65.463999999999999</v>
      </c>
      <c r="I9" s="820">
        <v>704.65449599999999</v>
      </c>
      <c r="J9" s="821">
        <f t="shared" si="0"/>
        <v>0.54839300989857021</v>
      </c>
      <c r="K9" s="822">
        <f t="shared" si="1"/>
        <v>1.0919220055710308</v>
      </c>
      <c r="L9" s="807"/>
    </row>
    <row r="10" spans="1:12" ht="18" customHeight="1">
      <c r="A10" s="815">
        <v>6</v>
      </c>
      <c r="B10" s="816" t="s">
        <v>723</v>
      </c>
      <c r="C10" s="817">
        <v>61.8</v>
      </c>
      <c r="D10" s="817">
        <v>665.21519999999998</v>
      </c>
      <c r="E10" s="817">
        <v>69</v>
      </c>
      <c r="F10" s="817">
        <v>742.71600000000001</v>
      </c>
      <c r="G10" s="818">
        <v>0.65</v>
      </c>
      <c r="H10" s="819">
        <v>113.85</v>
      </c>
      <c r="I10" s="820">
        <v>1225.4813999999999</v>
      </c>
      <c r="J10" s="821">
        <f t="shared" si="0"/>
        <v>0.54281949934123852</v>
      </c>
      <c r="K10" s="822">
        <f t="shared" si="1"/>
        <v>1.116504854368932</v>
      </c>
      <c r="L10" s="807"/>
    </row>
    <row r="11" spans="1:12" ht="18" customHeight="1">
      <c r="A11" s="815">
        <v>7</v>
      </c>
      <c r="B11" s="816" t="s">
        <v>724</v>
      </c>
      <c r="C11" s="817">
        <v>63.1</v>
      </c>
      <c r="D11" s="817">
        <v>679.20839999999998</v>
      </c>
      <c r="E11" s="817">
        <v>70.2</v>
      </c>
      <c r="F11" s="817">
        <v>755.63279999999997</v>
      </c>
      <c r="G11" s="818">
        <v>0.65</v>
      </c>
      <c r="H11" s="819">
        <v>115.83000000000001</v>
      </c>
      <c r="I11" s="820">
        <v>1246.79412</v>
      </c>
      <c r="J11" s="821">
        <f t="shared" si="0"/>
        <v>0.54476387809721138</v>
      </c>
      <c r="K11" s="822">
        <f t="shared" si="1"/>
        <v>1.1125198098256734</v>
      </c>
      <c r="L11" s="807"/>
    </row>
    <row r="12" spans="1:12" ht="18" customHeight="1">
      <c r="A12" s="815">
        <v>8</v>
      </c>
      <c r="B12" s="816" t="s">
        <v>725</v>
      </c>
      <c r="C12" s="817">
        <v>58.4</v>
      </c>
      <c r="D12" s="817">
        <v>628.61759999999992</v>
      </c>
      <c r="E12" s="817">
        <v>63</v>
      </c>
      <c r="F12" s="817">
        <v>678.13199999999995</v>
      </c>
      <c r="G12" s="818">
        <v>0.65</v>
      </c>
      <c r="H12" s="819">
        <v>103.95</v>
      </c>
      <c r="I12" s="820">
        <v>1118.9177999999999</v>
      </c>
      <c r="J12" s="821">
        <f t="shared" si="0"/>
        <v>0.56180856180856176</v>
      </c>
      <c r="K12" s="822">
        <f t="shared" si="1"/>
        <v>1.0787671232876712</v>
      </c>
      <c r="L12" s="807"/>
    </row>
    <row r="13" spans="1:12" ht="18" customHeight="1">
      <c r="A13" s="815">
        <v>9</v>
      </c>
      <c r="B13" s="816" t="s">
        <v>726</v>
      </c>
      <c r="C13" s="817">
        <v>20.8</v>
      </c>
      <c r="D13" s="817">
        <v>223.8912</v>
      </c>
      <c r="E13" s="817">
        <v>23.3</v>
      </c>
      <c r="F13" s="817">
        <v>250.80119999999999</v>
      </c>
      <c r="G13" s="818">
        <v>0.67</v>
      </c>
      <c r="H13" s="819">
        <v>38.911000000000001</v>
      </c>
      <c r="I13" s="820">
        <v>418.83800400000001</v>
      </c>
      <c r="J13" s="821">
        <f t="shared" si="0"/>
        <v>0.53455321117421806</v>
      </c>
      <c r="K13" s="822">
        <f t="shared" si="1"/>
        <v>1.1201923076923077</v>
      </c>
      <c r="L13" s="807"/>
    </row>
    <row r="14" spans="1:12" ht="18" customHeight="1">
      <c r="A14" s="815">
        <v>10</v>
      </c>
      <c r="B14" s="816" t="s">
        <v>727</v>
      </c>
      <c r="C14" s="817">
        <v>58.7</v>
      </c>
      <c r="D14" s="817">
        <v>631.84680000000003</v>
      </c>
      <c r="E14" s="817">
        <v>64.599999999999994</v>
      </c>
      <c r="F14" s="817">
        <v>695.35439999999994</v>
      </c>
      <c r="G14" s="818">
        <v>0.65</v>
      </c>
      <c r="H14" s="819">
        <v>106.58999999999999</v>
      </c>
      <c r="I14" s="820">
        <v>1147.3347599999997</v>
      </c>
      <c r="J14" s="821">
        <f t="shared" si="0"/>
        <v>0.55070832160615457</v>
      </c>
      <c r="K14" s="822">
        <f t="shared" si="1"/>
        <v>1.1005110732538328</v>
      </c>
      <c r="L14" s="807"/>
    </row>
    <row r="15" spans="1:12" ht="18" customHeight="1">
      <c r="A15" s="815">
        <v>11</v>
      </c>
      <c r="B15" s="816" t="s">
        <v>728</v>
      </c>
      <c r="C15" s="817">
        <v>252.5</v>
      </c>
      <c r="D15" s="817">
        <v>2717.91</v>
      </c>
      <c r="E15" s="817">
        <v>264.7</v>
      </c>
      <c r="F15" s="817">
        <v>2849.2307999999998</v>
      </c>
      <c r="G15" s="818">
        <v>0.6</v>
      </c>
      <c r="H15" s="819">
        <v>221.94351542177631</v>
      </c>
      <c r="I15" s="820">
        <v>2389</v>
      </c>
      <c r="J15" s="821"/>
      <c r="K15" s="822"/>
      <c r="L15" s="807" t="s">
        <v>729</v>
      </c>
    </row>
    <row r="16" spans="1:12" ht="18" customHeight="1">
      <c r="A16" s="815">
        <v>12</v>
      </c>
      <c r="B16" s="816" t="s">
        <v>730</v>
      </c>
      <c r="C16" s="817">
        <v>252.5</v>
      </c>
      <c r="D16" s="817">
        <v>2717.91</v>
      </c>
      <c r="E16" s="817">
        <v>264.7</v>
      </c>
      <c r="F16" s="817">
        <v>2849.2307999999998</v>
      </c>
      <c r="G16" s="818">
        <v>0.6</v>
      </c>
      <c r="H16" s="819">
        <v>201.57655146785584</v>
      </c>
      <c r="I16" s="820">
        <v>2169.77</v>
      </c>
      <c r="J16" s="821">
        <f>D16/I16</f>
        <v>1.2526258543532263</v>
      </c>
      <c r="K16" s="822">
        <f>F16/D16</f>
        <v>1.0483168316831684</v>
      </c>
      <c r="L16" s="807" t="s">
        <v>729</v>
      </c>
    </row>
    <row r="17" spans="1:12" ht="18" customHeight="1" thickBot="1">
      <c r="A17" s="823"/>
      <c r="B17" s="824" t="s">
        <v>731</v>
      </c>
      <c r="C17" s="825"/>
      <c r="D17" s="825"/>
      <c r="E17" s="825"/>
      <c r="F17" s="825">
        <f>SUM(F5:F16)</f>
        <v>35978.67</v>
      </c>
      <c r="G17" s="826"/>
      <c r="H17" s="827">
        <v>4127.3290668896316</v>
      </c>
      <c r="I17" s="828">
        <v>44426.570075999989</v>
      </c>
      <c r="J17" s="821"/>
      <c r="K17" s="822"/>
      <c r="L17" s="807"/>
    </row>
    <row r="18" spans="1:12" ht="18" customHeight="1" thickBot="1">
      <c r="A18" s="841"/>
      <c r="B18" s="829"/>
      <c r="C18" s="830"/>
      <c r="D18" s="830"/>
      <c r="E18" s="830"/>
      <c r="F18" s="830"/>
      <c r="G18" s="831"/>
      <c r="H18" s="832"/>
      <c r="I18" s="842"/>
      <c r="J18" s="821"/>
      <c r="K18" s="822"/>
      <c r="L18" s="807"/>
    </row>
    <row r="19" spans="1:12" ht="18" customHeight="1">
      <c r="A19" s="835"/>
      <c r="B19" s="836" t="s">
        <v>732</v>
      </c>
      <c r="C19" s="837"/>
      <c r="D19" s="837"/>
      <c r="E19" s="837"/>
      <c r="F19" s="838"/>
      <c r="G19" s="837"/>
      <c r="H19" s="839"/>
      <c r="I19" s="840"/>
      <c r="J19" s="821"/>
      <c r="K19" s="822"/>
      <c r="L19" s="807"/>
    </row>
    <row r="20" spans="1:12" ht="18" customHeight="1">
      <c r="A20" s="815">
        <v>1</v>
      </c>
      <c r="B20" s="816" t="s">
        <v>733</v>
      </c>
      <c r="C20" s="817">
        <v>146.4</v>
      </c>
      <c r="D20" s="817">
        <v>1575.8496</v>
      </c>
      <c r="E20" s="817">
        <v>155</v>
      </c>
      <c r="F20" s="817">
        <v>1668.4199999999998</v>
      </c>
      <c r="G20" s="818">
        <v>0.6</v>
      </c>
      <c r="H20" s="819">
        <v>248</v>
      </c>
      <c r="I20" s="820">
        <v>2669.4719999999998</v>
      </c>
      <c r="J20" s="821">
        <f>D20/I20</f>
        <v>0.5903225806451613</v>
      </c>
      <c r="K20" s="822">
        <f>F20/D20</f>
        <v>1.0587431693989069</v>
      </c>
      <c r="L20" s="807"/>
    </row>
    <row r="21" spans="1:12" ht="18" customHeight="1">
      <c r="A21" s="815">
        <v>2</v>
      </c>
      <c r="B21" s="816" t="s">
        <v>734</v>
      </c>
      <c r="C21" s="817">
        <v>58.7</v>
      </c>
      <c r="D21" s="817">
        <v>631.84680000000003</v>
      </c>
      <c r="E21" s="817">
        <v>63.6</v>
      </c>
      <c r="F21" s="817">
        <v>684.59039999999993</v>
      </c>
      <c r="G21" s="818">
        <v>0.65</v>
      </c>
      <c r="H21" s="819">
        <v>104.94</v>
      </c>
      <c r="I21" s="820">
        <v>1129.5741599999999</v>
      </c>
      <c r="J21" s="821">
        <f t="shared" ref="J21:J27" si="2">D21/I21</f>
        <v>0.55936725748046512</v>
      </c>
      <c r="K21" s="822">
        <f t="shared" ref="K21:K27" si="3">F21/D21</f>
        <v>1.0834752981260645</v>
      </c>
      <c r="L21" s="807"/>
    </row>
    <row r="22" spans="1:12" ht="18" customHeight="1">
      <c r="A22" s="815">
        <v>3</v>
      </c>
      <c r="B22" s="816" t="s">
        <v>735</v>
      </c>
      <c r="C22" s="817">
        <v>28.8</v>
      </c>
      <c r="D22" s="817">
        <v>310.00319999999999</v>
      </c>
      <c r="E22" s="817">
        <v>30.7</v>
      </c>
      <c r="F22" s="817">
        <v>330.45479999999998</v>
      </c>
      <c r="G22" s="818">
        <v>0.67</v>
      </c>
      <c r="H22" s="819">
        <v>51.268999999999998</v>
      </c>
      <c r="I22" s="820">
        <v>551.85951599999999</v>
      </c>
      <c r="J22" s="821">
        <f t="shared" si="2"/>
        <v>0.56174296358423215</v>
      </c>
      <c r="K22" s="822">
        <f t="shared" si="3"/>
        <v>1.0659722222222221</v>
      </c>
      <c r="L22" s="807"/>
    </row>
    <row r="23" spans="1:12" ht="18" customHeight="1">
      <c r="A23" s="815">
        <v>4</v>
      </c>
      <c r="B23" s="816" t="s">
        <v>736</v>
      </c>
      <c r="C23" s="817">
        <v>2352</v>
      </c>
      <c r="D23" s="817">
        <v>25316.928</v>
      </c>
      <c r="E23" s="817">
        <v>2400</v>
      </c>
      <c r="F23" s="817">
        <v>25833.599999999999</v>
      </c>
      <c r="G23" s="818">
        <v>0.24</v>
      </c>
      <c r="H23" s="819">
        <v>2976</v>
      </c>
      <c r="I23" s="820">
        <v>32033.663999999997</v>
      </c>
      <c r="J23" s="821">
        <f t="shared" si="2"/>
        <v>0.79032258064516137</v>
      </c>
      <c r="K23" s="822">
        <f t="shared" si="3"/>
        <v>1.0204081632653061</v>
      </c>
      <c r="L23" s="807"/>
    </row>
    <row r="24" spans="1:12" ht="18" customHeight="1">
      <c r="A24" s="815">
        <v>5</v>
      </c>
      <c r="B24" s="816" t="s">
        <v>737</v>
      </c>
      <c r="C24" s="817">
        <v>80.3</v>
      </c>
      <c r="D24" s="817">
        <v>864.34919999999988</v>
      </c>
      <c r="E24" s="817">
        <v>84.5</v>
      </c>
      <c r="F24" s="817">
        <v>909.55799999999999</v>
      </c>
      <c r="G24" s="818">
        <v>0.65</v>
      </c>
      <c r="H24" s="819">
        <v>139.42500000000001</v>
      </c>
      <c r="I24" s="820">
        <v>1500.7707</v>
      </c>
      <c r="J24" s="821">
        <f t="shared" si="2"/>
        <v>0.57593688362919127</v>
      </c>
      <c r="K24" s="822">
        <f t="shared" si="3"/>
        <v>1.0523038605230388</v>
      </c>
      <c r="L24" s="807"/>
    </row>
    <row r="25" spans="1:12" ht="18" customHeight="1">
      <c r="A25" s="815">
        <v>6</v>
      </c>
      <c r="B25" s="816" t="s">
        <v>738</v>
      </c>
      <c r="C25" s="817">
        <v>89.8</v>
      </c>
      <c r="D25" s="817">
        <v>966.60719999999992</v>
      </c>
      <c r="E25" s="817">
        <v>96</v>
      </c>
      <c r="F25" s="817">
        <v>1033.3440000000001</v>
      </c>
      <c r="G25" s="818">
        <v>0.65</v>
      </c>
      <c r="H25" s="819">
        <v>158.4</v>
      </c>
      <c r="I25" s="820">
        <v>1705.0175999999999</v>
      </c>
      <c r="J25" s="821">
        <f t="shared" si="2"/>
        <v>0.56691919191919193</v>
      </c>
      <c r="K25" s="822">
        <f t="shared" si="3"/>
        <v>1.069042316258352</v>
      </c>
      <c r="L25" s="807"/>
    </row>
    <row r="26" spans="1:12" ht="18" customHeight="1">
      <c r="A26" s="815">
        <v>7</v>
      </c>
      <c r="B26" s="816" t="s">
        <v>739</v>
      </c>
      <c r="C26" s="817">
        <v>52.2</v>
      </c>
      <c r="D26" s="817">
        <v>561.88080000000002</v>
      </c>
      <c r="E26" s="817">
        <v>56.6</v>
      </c>
      <c r="F26" s="817">
        <v>609.24239999999998</v>
      </c>
      <c r="G26" s="818">
        <v>0.65</v>
      </c>
      <c r="H26" s="819">
        <v>93.39</v>
      </c>
      <c r="I26" s="820">
        <v>1005.24996</v>
      </c>
      <c r="J26" s="821">
        <f t="shared" si="2"/>
        <v>0.55894635399935755</v>
      </c>
      <c r="K26" s="822">
        <f t="shared" si="3"/>
        <v>1.0842911877394634</v>
      </c>
      <c r="L26" s="807"/>
    </row>
    <row r="27" spans="1:12" ht="18" customHeight="1">
      <c r="A27" s="815">
        <v>8</v>
      </c>
      <c r="B27" s="816" t="s">
        <v>740</v>
      </c>
      <c r="C27" s="817">
        <v>316.3</v>
      </c>
      <c r="D27" s="817">
        <v>3404.6531999999997</v>
      </c>
      <c r="E27" s="817">
        <v>332</v>
      </c>
      <c r="F27" s="817">
        <v>3573.6479999999997</v>
      </c>
      <c r="G27" s="818">
        <v>0.6</v>
      </c>
      <c r="H27" s="819">
        <v>531.20000000000005</v>
      </c>
      <c r="I27" s="820">
        <v>5717.8368</v>
      </c>
      <c r="J27" s="821">
        <f t="shared" si="2"/>
        <v>0.59544427710843373</v>
      </c>
      <c r="K27" s="822">
        <f t="shared" si="3"/>
        <v>1.0496364211191906</v>
      </c>
      <c r="L27" s="807"/>
    </row>
    <row r="28" spans="1:12" ht="18" customHeight="1" thickBot="1">
      <c r="A28" s="823"/>
      <c r="B28" s="824" t="s">
        <v>731</v>
      </c>
      <c r="C28" s="825"/>
      <c r="D28" s="825"/>
      <c r="E28" s="825"/>
      <c r="F28" s="825">
        <f>SUM(F20:F27)</f>
        <v>34642.857599999996</v>
      </c>
      <c r="G28" s="826"/>
      <c r="H28" s="827">
        <v>4302.6239999999998</v>
      </c>
      <c r="I28" s="828">
        <v>46313.444735999998</v>
      </c>
      <c r="J28" s="821"/>
      <c r="K28" s="822"/>
      <c r="L28" s="807"/>
    </row>
    <row r="29" spans="1:12" ht="18" customHeight="1" thickBot="1">
      <c r="A29" s="841"/>
      <c r="B29" s="829"/>
      <c r="C29" s="830"/>
      <c r="D29" s="830"/>
      <c r="E29" s="830"/>
      <c r="F29" s="830"/>
      <c r="G29" s="831"/>
      <c r="H29" s="832"/>
      <c r="I29" s="842"/>
      <c r="J29" s="821"/>
      <c r="K29" s="822"/>
    </row>
    <row r="30" spans="1:12" ht="18" customHeight="1">
      <c r="A30" s="835"/>
      <c r="B30" s="836" t="s">
        <v>741</v>
      </c>
      <c r="C30" s="837"/>
      <c r="D30" s="837"/>
      <c r="E30" s="837"/>
      <c r="F30" s="838"/>
      <c r="G30" s="837"/>
      <c r="H30" s="839"/>
      <c r="I30" s="840"/>
      <c r="J30" s="821"/>
      <c r="K30" s="822"/>
    </row>
    <row r="31" spans="1:12" ht="18" customHeight="1">
      <c r="A31" s="815">
        <v>1</v>
      </c>
      <c r="B31" s="816" t="s">
        <v>742</v>
      </c>
      <c r="C31" s="817">
        <v>66.2</v>
      </c>
      <c r="D31" s="817">
        <v>712.57679999999993</v>
      </c>
      <c r="E31" s="817">
        <v>72.599999999999994</v>
      </c>
      <c r="F31" s="817">
        <v>781.46639999999991</v>
      </c>
      <c r="G31" s="818">
        <v>0.65</v>
      </c>
      <c r="H31" s="819">
        <v>119.78999999999999</v>
      </c>
      <c r="I31" s="820">
        <v>1289.4195599999998</v>
      </c>
      <c r="J31" s="821">
        <f>D31/I31</f>
        <v>0.55263377577427164</v>
      </c>
      <c r="K31" s="822">
        <f>F31/D31</f>
        <v>1.0966767371601207</v>
      </c>
    </row>
    <row r="32" spans="1:12" ht="18" customHeight="1">
      <c r="A32" s="815">
        <v>2</v>
      </c>
      <c r="B32" s="816" t="s">
        <v>743</v>
      </c>
      <c r="C32" s="817">
        <v>66.8</v>
      </c>
      <c r="D32" s="817">
        <v>719.03519999999992</v>
      </c>
      <c r="E32" s="817">
        <v>72.3</v>
      </c>
      <c r="F32" s="817">
        <v>778.23719999999992</v>
      </c>
      <c r="G32" s="818">
        <v>0.65</v>
      </c>
      <c r="H32" s="819">
        <v>119.29499999999999</v>
      </c>
      <c r="I32" s="820">
        <v>1284.0913799999998</v>
      </c>
      <c r="J32" s="821">
        <f t="shared" ref="J32:J40" si="4">D32/I32</f>
        <v>0.55995641057881718</v>
      </c>
      <c r="K32" s="822">
        <f t="shared" ref="K32:K40" si="5">F32/D32</f>
        <v>1.0823353293413174</v>
      </c>
    </row>
    <row r="33" spans="1:12" ht="18" customHeight="1">
      <c r="A33" s="815">
        <v>3</v>
      </c>
      <c r="B33" s="816" t="s">
        <v>744</v>
      </c>
      <c r="C33" s="817">
        <v>33.299999999999997</v>
      </c>
      <c r="D33" s="817">
        <v>358.44119999999992</v>
      </c>
      <c r="E33" s="817">
        <v>37</v>
      </c>
      <c r="F33" s="817">
        <v>398.26799999999997</v>
      </c>
      <c r="G33" s="818">
        <v>0.67</v>
      </c>
      <c r="H33" s="819">
        <v>61.790000000000006</v>
      </c>
      <c r="I33" s="820">
        <v>665.10756000000003</v>
      </c>
      <c r="J33" s="821">
        <f t="shared" si="4"/>
        <v>0.53892215568862256</v>
      </c>
      <c r="K33" s="822">
        <f t="shared" si="5"/>
        <v>1.1111111111111112</v>
      </c>
    </row>
    <row r="34" spans="1:12" ht="18" customHeight="1">
      <c r="A34" s="815">
        <v>4</v>
      </c>
      <c r="B34" s="816" t="s">
        <v>745</v>
      </c>
      <c r="C34" s="817">
        <v>1800.8</v>
      </c>
      <c r="D34" s="817">
        <v>19383.8112</v>
      </c>
      <c r="E34" s="817">
        <v>1832.6</v>
      </c>
      <c r="F34" s="817">
        <v>19726.106399999997</v>
      </c>
      <c r="G34" s="818">
        <v>0.28000000000000003</v>
      </c>
      <c r="H34" s="819">
        <v>2345.7280000000001</v>
      </c>
      <c r="I34" s="820">
        <v>25249.416192000001</v>
      </c>
      <c r="J34" s="821">
        <f t="shared" si="4"/>
        <v>0.76769344101276871</v>
      </c>
      <c r="K34" s="822">
        <f t="shared" si="5"/>
        <v>1.0176588183029762</v>
      </c>
    </row>
    <row r="35" spans="1:12" ht="18" customHeight="1">
      <c r="A35" s="815">
        <v>5</v>
      </c>
      <c r="B35" s="816" t="s">
        <v>746</v>
      </c>
      <c r="C35" s="817">
        <v>16</v>
      </c>
      <c r="D35" s="817">
        <v>172.22399999999999</v>
      </c>
      <c r="E35" s="817">
        <v>19</v>
      </c>
      <c r="F35" s="817">
        <v>204.51599999999999</v>
      </c>
      <c r="G35" s="818">
        <v>0.67</v>
      </c>
      <c r="H35" s="819">
        <v>31.73</v>
      </c>
      <c r="I35" s="820">
        <v>341.54172</v>
      </c>
      <c r="J35" s="821">
        <f t="shared" si="4"/>
        <v>0.50425464859754177</v>
      </c>
      <c r="K35" s="822">
        <f t="shared" si="5"/>
        <v>1.1875</v>
      </c>
    </row>
    <row r="36" spans="1:12" ht="18" customHeight="1">
      <c r="A36" s="815">
        <v>6</v>
      </c>
      <c r="B36" s="816" t="s">
        <v>747</v>
      </c>
      <c r="C36" s="817">
        <v>96.7</v>
      </c>
      <c r="D36" s="817">
        <v>1040.8788</v>
      </c>
      <c r="E36" s="817">
        <v>102.6</v>
      </c>
      <c r="F36" s="817">
        <v>1104.3863999999999</v>
      </c>
      <c r="G36" s="818">
        <v>0.65</v>
      </c>
      <c r="H36" s="819">
        <v>169.29</v>
      </c>
      <c r="I36" s="820">
        <v>1822.2375599999998</v>
      </c>
      <c r="J36" s="821">
        <f t="shared" si="4"/>
        <v>0.57120916770039576</v>
      </c>
      <c r="K36" s="822">
        <f t="shared" si="5"/>
        <v>1.061013443640124</v>
      </c>
    </row>
    <row r="37" spans="1:12" ht="18" customHeight="1">
      <c r="A37" s="815">
        <v>7</v>
      </c>
      <c r="B37" s="816" t="s">
        <v>748</v>
      </c>
      <c r="C37" s="817">
        <v>220.3</v>
      </c>
      <c r="D37" s="817">
        <v>2371.3092000000001</v>
      </c>
      <c r="E37" s="817">
        <v>226.8</v>
      </c>
      <c r="F37" s="817">
        <v>2441.2752</v>
      </c>
      <c r="G37" s="818">
        <v>0.6</v>
      </c>
      <c r="H37" s="819">
        <v>362.88</v>
      </c>
      <c r="I37" s="820">
        <v>3906.0403199999996</v>
      </c>
      <c r="J37" s="821">
        <f t="shared" si="4"/>
        <v>0.60708774250440922</v>
      </c>
      <c r="K37" s="822">
        <f t="shared" si="5"/>
        <v>1.0295052201543349</v>
      </c>
    </row>
    <row r="38" spans="1:12" ht="18" customHeight="1">
      <c r="A38" s="815">
        <v>8</v>
      </c>
      <c r="B38" s="816" t="s">
        <v>749</v>
      </c>
      <c r="C38" s="817">
        <v>61.3</v>
      </c>
      <c r="D38" s="817">
        <v>659.83319999999992</v>
      </c>
      <c r="E38" s="817">
        <v>66.2</v>
      </c>
      <c r="F38" s="817">
        <v>712.57679999999993</v>
      </c>
      <c r="G38" s="818">
        <v>0.65</v>
      </c>
      <c r="H38" s="819">
        <v>109.23</v>
      </c>
      <c r="I38" s="820">
        <v>1175.75172</v>
      </c>
      <c r="J38" s="821">
        <f t="shared" si="4"/>
        <v>0.56120113521926207</v>
      </c>
      <c r="K38" s="822">
        <f t="shared" si="5"/>
        <v>1.0799347471451877</v>
      </c>
    </row>
    <row r="39" spans="1:12" ht="18" customHeight="1">
      <c r="A39" s="815">
        <v>9</v>
      </c>
      <c r="B39" s="816" t="s">
        <v>750</v>
      </c>
      <c r="C39" s="817">
        <v>898.5</v>
      </c>
      <c r="D39" s="817">
        <v>9671.4539999999997</v>
      </c>
      <c r="E39" s="817">
        <v>926.7</v>
      </c>
      <c r="F39" s="817">
        <v>9974.9987999999994</v>
      </c>
      <c r="G39" s="818">
        <v>0.55000000000000004</v>
      </c>
      <c r="H39" s="819">
        <v>1436.3850000000002</v>
      </c>
      <c r="I39" s="820">
        <v>15461.248140000002</v>
      </c>
      <c r="J39" s="821">
        <f t="shared" si="4"/>
        <v>0.62552867093432463</v>
      </c>
      <c r="K39" s="822">
        <f t="shared" si="5"/>
        <v>1.0313856427378965</v>
      </c>
    </row>
    <row r="40" spans="1:12" ht="18" customHeight="1">
      <c r="A40" s="815">
        <v>10</v>
      </c>
      <c r="B40" s="816" t="s">
        <v>751</v>
      </c>
      <c r="C40" s="817">
        <v>34</v>
      </c>
      <c r="D40" s="817">
        <v>365.976</v>
      </c>
      <c r="E40" s="817">
        <v>37.299999999999997</v>
      </c>
      <c r="F40" s="817">
        <v>401.49719999999996</v>
      </c>
      <c r="G40" s="818">
        <v>0.67</v>
      </c>
      <c r="H40" s="819">
        <v>62.290999999999997</v>
      </c>
      <c r="I40" s="820">
        <v>670.50032399999998</v>
      </c>
      <c r="J40" s="821">
        <f t="shared" si="4"/>
        <v>0.54582523960122653</v>
      </c>
      <c r="K40" s="822">
        <f t="shared" si="5"/>
        <v>1.0970588235294116</v>
      </c>
    </row>
    <row r="41" spans="1:12" ht="18" customHeight="1" thickBot="1">
      <c r="A41" s="823"/>
      <c r="B41" s="824" t="s">
        <v>731</v>
      </c>
      <c r="C41" s="825"/>
      <c r="D41" s="825"/>
      <c r="E41" s="825"/>
      <c r="F41" s="825">
        <f>SUM(F31:F40)</f>
        <v>36523.328399999991</v>
      </c>
      <c r="G41" s="826"/>
      <c r="H41" s="827">
        <v>4818.4090000000006</v>
      </c>
      <c r="I41" s="828">
        <v>51865.354476</v>
      </c>
      <c r="J41" s="821"/>
      <c r="K41" s="822"/>
    </row>
    <row r="42" spans="1:12" ht="18" customHeight="1" thickBot="1">
      <c r="A42" s="841"/>
      <c r="B42" s="829"/>
      <c r="C42" s="830"/>
      <c r="D42" s="830"/>
      <c r="E42" s="830"/>
      <c r="F42" s="830"/>
      <c r="G42" s="831"/>
      <c r="H42" s="832"/>
      <c r="I42" s="842"/>
      <c r="J42" s="821"/>
      <c r="K42" s="822"/>
    </row>
    <row r="43" spans="1:12" ht="18" customHeight="1">
      <c r="A43" s="835"/>
      <c r="B43" s="836" t="s">
        <v>752</v>
      </c>
      <c r="C43" s="837"/>
      <c r="D43" s="837"/>
      <c r="E43" s="837"/>
      <c r="F43" s="838"/>
      <c r="G43" s="837"/>
      <c r="H43" s="839"/>
      <c r="I43" s="840"/>
      <c r="J43" s="821"/>
      <c r="K43" s="822"/>
    </row>
    <row r="44" spans="1:12" ht="18" customHeight="1">
      <c r="A44" s="815">
        <v>1</v>
      </c>
      <c r="B44" s="816" t="s">
        <v>753</v>
      </c>
      <c r="C44" s="817"/>
      <c r="D44" s="817"/>
      <c r="E44" s="817"/>
      <c r="F44" s="817"/>
      <c r="G44" s="818"/>
      <c r="H44" s="819"/>
      <c r="I44" s="820">
        <v>20148</v>
      </c>
      <c r="J44" s="821"/>
      <c r="K44" s="822"/>
    </row>
    <row r="45" spans="1:12" ht="18" customHeight="1">
      <c r="A45" s="815">
        <v>2</v>
      </c>
      <c r="B45" s="816" t="s">
        <v>754</v>
      </c>
      <c r="C45" s="817"/>
      <c r="D45" s="817"/>
      <c r="E45" s="817"/>
      <c r="F45" s="817"/>
      <c r="G45" s="818"/>
      <c r="H45" s="819"/>
      <c r="I45" s="820">
        <v>4693</v>
      </c>
      <c r="J45" s="821"/>
      <c r="K45" s="822"/>
      <c r="L45" s="807"/>
    </row>
    <row r="46" spans="1:12" ht="18" customHeight="1">
      <c r="A46" s="815">
        <v>3</v>
      </c>
      <c r="B46" s="816" t="s">
        <v>755</v>
      </c>
      <c r="C46" s="817"/>
      <c r="D46" s="817"/>
      <c r="E46" s="817"/>
      <c r="F46" s="817"/>
      <c r="G46" s="818"/>
      <c r="H46" s="819"/>
      <c r="I46" s="820">
        <v>8219</v>
      </c>
      <c r="J46" s="821"/>
      <c r="K46" s="822"/>
      <c r="L46" s="807"/>
    </row>
    <row r="47" spans="1:12" ht="18" customHeight="1">
      <c r="A47" s="815">
        <v>4</v>
      </c>
      <c r="B47" s="816" t="s">
        <v>756</v>
      </c>
      <c r="C47" s="817"/>
      <c r="D47" s="817"/>
      <c r="E47" s="817"/>
      <c r="F47" s="817"/>
      <c r="G47" s="818"/>
      <c r="H47" s="819"/>
      <c r="I47" s="820">
        <v>3923</v>
      </c>
      <c r="J47" s="821"/>
      <c r="K47" s="822"/>
      <c r="L47" s="807"/>
    </row>
    <row r="48" spans="1:12" ht="18" customHeight="1">
      <c r="A48" s="815">
        <v>5</v>
      </c>
      <c r="B48" s="816" t="s">
        <v>757</v>
      </c>
      <c r="C48" s="817"/>
      <c r="D48" s="817"/>
      <c r="E48" s="817"/>
      <c r="F48" s="817"/>
      <c r="G48" s="818"/>
      <c r="H48" s="819"/>
      <c r="I48" s="820">
        <v>7535</v>
      </c>
      <c r="J48" s="821"/>
      <c r="K48" s="822"/>
      <c r="L48" s="807"/>
    </row>
    <row r="49" spans="1:12" ht="18" customHeight="1" thickBot="1">
      <c r="A49" s="823"/>
      <c r="B49" s="843"/>
      <c r="C49" s="844"/>
      <c r="D49" s="844"/>
      <c r="E49" s="844"/>
      <c r="F49" s="844"/>
      <c r="G49" s="845"/>
      <c r="H49" s="827" t="s">
        <v>731</v>
      </c>
      <c r="I49" s="828">
        <f>I44+I45+I46+I47+I48</f>
        <v>44518</v>
      </c>
      <c r="J49" s="821"/>
      <c r="K49" s="822"/>
      <c r="L49" s="807"/>
    </row>
    <row r="50" spans="1:12" ht="18" customHeight="1">
      <c r="C50" s="833"/>
      <c r="D50" s="833"/>
      <c r="E50" s="833"/>
      <c r="F50" s="833"/>
      <c r="G50" s="833"/>
      <c r="H50" s="833"/>
      <c r="I50" s="833"/>
    </row>
    <row r="51" spans="1:12" ht="18" customHeight="1">
      <c r="C51" s="833"/>
      <c r="D51" s="833"/>
      <c r="E51" s="833"/>
      <c r="F51" s="833"/>
      <c r="G51" s="833"/>
      <c r="H51" s="833"/>
      <c r="I51" s="833"/>
    </row>
    <row r="52" spans="1:12" ht="18" customHeight="1">
      <c r="C52" s="833"/>
      <c r="D52" s="833"/>
      <c r="E52" s="833"/>
      <c r="F52" s="833" t="s">
        <v>758</v>
      </c>
      <c r="G52" s="833"/>
      <c r="H52" s="833"/>
      <c r="I52" s="833">
        <f>I49+I41+I28+I17</f>
        <v>187123.36928799999</v>
      </c>
    </row>
    <row r="53" spans="1:12" ht="18" customHeight="1">
      <c r="C53" s="833"/>
      <c r="D53" s="833"/>
      <c r="E53" s="833"/>
      <c r="F53" s="833"/>
      <c r="G53" s="833"/>
      <c r="H53" s="833"/>
      <c r="I53" s="833"/>
    </row>
    <row r="54" spans="1:12" ht="18" customHeight="1">
      <c r="C54" s="833"/>
      <c r="D54" s="833"/>
      <c r="E54" s="833"/>
      <c r="F54" s="833"/>
      <c r="G54" s="833"/>
      <c r="H54" s="833"/>
      <c r="I54" s="833"/>
    </row>
    <row r="55" spans="1:12" ht="18" customHeight="1">
      <c r="C55" s="833"/>
      <c r="D55" s="833" t="s">
        <v>759</v>
      </c>
      <c r="E55" s="833"/>
      <c r="F55" s="833"/>
      <c r="G55" s="833"/>
      <c r="H55" s="833"/>
      <c r="I55" s="833">
        <f>I52-I23-I8</f>
        <v>124578.975064</v>
      </c>
      <c r="J55" s="834"/>
    </row>
    <row r="56" spans="1:12" ht="18" customHeight="1">
      <c r="C56" s="833"/>
      <c r="D56" s="833" t="s">
        <v>760</v>
      </c>
      <c r="E56" s="833"/>
      <c r="F56" s="833"/>
      <c r="G56" s="833"/>
      <c r="H56" s="833"/>
      <c r="I56" s="833">
        <f>I55*15</f>
        <v>1868684.6259599999</v>
      </c>
      <c r="J56" s="834"/>
    </row>
    <row r="57" spans="1:12" ht="18" customHeight="1">
      <c r="C57" s="833"/>
      <c r="D57" s="833" t="s">
        <v>761</v>
      </c>
      <c r="E57" s="833"/>
      <c r="F57" s="833"/>
      <c r="G57" s="833"/>
      <c r="H57" s="833"/>
      <c r="I57" s="833">
        <f>(D8+D23)*6</f>
        <v>296828.06400000001</v>
      </c>
      <c r="J57" s="834"/>
    </row>
    <row r="58" spans="1:12" ht="18" customHeight="1">
      <c r="C58" s="833"/>
      <c r="D58" s="833" t="s">
        <v>762</v>
      </c>
      <c r="E58" s="833"/>
      <c r="F58" s="833"/>
      <c r="G58" s="833"/>
      <c r="H58" s="833"/>
      <c r="I58" s="833">
        <f>I56+I57</f>
        <v>2165512.6899600001</v>
      </c>
      <c r="J58" s="834"/>
    </row>
    <row r="59" spans="1:12" ht="18" customHeight="1">
      <c r="J59" s="834"/>
    </row>
  </sheetData>
  <mergeCells count="6">
    <mergeCell ref="A1:I1"/>
    <mergeCell ref="A2:A3"/>
    <mergeCell ref="B2:B3"/>
    <mergeCell ref="C2:D2"/>
    <mergeCell ref="E2:F2"/>
    <mergeCell ref="H2:I2"/>
  </mergeCells>
  <pageMargins left="0.7" right="0.7" top="0.75" bottom="0.75" header="0.3" footer="0.3"/>
  <pageSetup scale="74" fitToHeight="2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49"/>
  <sheetViews>
    <sheetView zoomScale="80" zoomScaleNormal="80" workbookViewId="0">
      <selection activeCell="J50" sqref="J50"/>
    </sheetView>
  </sheetViews>
  <sheetFormatPr defaultColWidth="9.140625" defaultRowHeight="20.25" customHeight="1"/>
  <cols>
    <col min="1" max="1" width="6.85546875" style="846" bestFit="1" customWidth="1"/>
    <col min="2" max="2" width="14.140625" style="846" bestFit="1" customWidth="1"/>
    <col min="3" max="3" width="12.42578125" style="846" bestFit="1" customWidth="1"/>
    <col min="4" max="4" width="13.7109375" style="846" bestFit="1" customWidth="1"/>
    <col min="5" max="5" width="12.42578125" style="846" bestFit="1" customWidth="1"/>
    <col min="6" max="6" width="13.7109375" style="846" bestFit="1" customWidth="1"/>
    <col min="7" max="7" width="13.42578125" style="890" bestFit="1" customWidth="1"/>
    <col min="8" max="8" width="12.42578125" style="846" bestFit="1" customWidth="1"/>
    <col min="9" max="9" width="13.7109375" style="846" bestFit="1" customWidth="1"/>
    <col min="10" max="10" width="12.28515625" style="846" bestFit="1" customWidth="1"/>
    <col min="11" max="11" width="4.5703125" style="846" bestFit="1" customWidth="1"/>
    <col min="12" max="12" width="11" style="846" bestFit="1" customWidth="1"/>
    <col min="13" max="16384" width="9.140625" style="846"/>
  </cols>
  <sheetData>
    <row r="1" spans="1:13" ht="21" customHeight="1" thickBot="1">
      <c r="A1" s="904" t="s">
        <v>789</v>
      </c>
      <c r="B1" s="905"/>
      <c r="C1" s="905"/>
      <c r="D1" s="905"/>
      <c r="E1" s="905"/>
      <c r="F1" s="905"/>
      <c r="G1" s="905"/>
      <c r="H1" s="905"/>
      <c r="I1" s="906"/>
    </row>
    <row r="2" spans="1:13" ht="20.25" customHeight="1">
      <c r="A2" s="907" t="s">
        <v>706</v>
      </c>
      <c r="B2" s="909" t="s">
        <v>17</v>
      </c>
      <c r="C2" s="915" t="s">
        <v>707</v>
      </c>
      <c r="D2" s="915"/>
      <c r="E2" s="915" t="s">
        <v>708</v>
      </c>
      <c r="F2" s="915"/>
      <c r="G2" s="884" t="s">
        <v>709</v>
      </c>
      <c r="H2" s="912" t="s">
        <v>710</v>
      </c>
      <c r="I2" s="913"/>
      <c r="J2" s="850" t="s">
        <v>711</v>
      </c>
      <c r="K2" s="850" t="s">
        <v>712</v>
      </c>
      <c r="L2" s="851"/>
    </row>
    <row r="3" spans="1:13" ht="20.25" customHeight="1" thickBot="1">
      <c r="A3" s="908"/>
      <c r="B3" s="910"/>
      <c r="C3" s="853" t="s">
        <v>713</v>
      </c>
      <c r="D3" s="853" t="s">
        <v>714</v>
      </c>
      <c r="E3" s="853" t="s">
        <v>713</v>
      </c>
      <c r="F3" s="853" t="s">
        <v>714</v>
      </c>
      <c r="G3" s="854" t="s">
        <v>715</v>
      </c>
      <c r="H3" s="855" t="s">
        <v>713</v>
      </c>
      <c r="I3" s="856" t="s">
        <v>714</v>
      </c>
      <c r="J3" s="850" t="s">
        <v>716</v>
      </c>
      <c r="K3" s="850"/>
      <c r="L3" s="850"/>
    </row>
    <row r="4" spans="1:13" ht="20.25" customHeight="1">
      <c r="A4" s="872"/>
      <c r="B4" s="873" t="s">
        <v>763</v>
      </c>
      <c r="C4" s="873"/>
      <c r="D4" s="873"/>
      <c r="E4" s="873"/>
      <c r="F4" s="873"/>
      <c r="G4" s="885"/>
      <c r="H4" s="874"/>
      <c r="I4" s="875"/>
      <c r="J4" s="850"/>
      <c r="K4" s="850"/>
      <c r="L4" s="850"/>
    </row>
    <row r="5" spans="1:13" ht="20.25" customHeight="1">
      <c r="A5" s="857">
        <v>1</v>
      </c>
      <c r="B5" s="852" t="s">
        <v>764</v>
      </c>
      <c r="C5" s="858">
        <v>1086.5</v>
      </c>
      <c r="D5" s="858">
        <v>11695.085999999999</v>
      </c>
      <c r="E5" s="858">
        <v>1114.45</v>
      </c>
      <c r="F5" s="859">
        <v>11995.9398</v>
      </c>
      <c r="G5" s="886">
        <v>0.26</v>
      </c>
      <c r="H5" s="858">
        <v>1404.2070000000001</v>
      </c>
      <c r="I5" s="860">
        <v>15114.884148000001</v>
      </c>
      <c r="J5" s="861">
        <f>F5/I5</f>
        <v>0.79365079365079361</v>
      </c>
      <c r="K5" s="862">
        <f>F5/D5</f>
        <v>1.0257248044178555</v>
      </c>
      <c r="L5" s="850"/>
    </row>
    <row r="6" spans="1:13" ht="20.25" customHeight="1">
      <c r="A6" s="857">
        <v>2</v>
      </c>
      <c r="B6" s="852" t="s">
        <v>765</v>
      </c>
      <c r="C6" s="858">
        <v>718.45</v>
      </c>
      <c r="D6" s="858">
        <v>7733.3958000000002</v>
      </c>
      <c r="E6" s="858">
        <v>739.95</v>
      </c>
      <c r="F6" s="859">
        <v>7964.8217999999997</v>
      </c>
      <c r="G6" s="886">
        <v>0.26</v>
      </c>
      <c r="H6" s="858">
        <v>932.3370000000001</v>
      </c>
      <c r="I6" s="860">
        <v>10035.675468000001</v>
      </c>
      <c r="J6" s="861">
        <f t="shared" ref="J6:J10" si="0">F6/I6</f>
        <v>0.7936507936507935</v>
      </c>
      <c r="K6" s="862">
        <f t="shared" ref="K6:K10" si="1">F6/D6</f>
        <v>1.0299255341359872</v>
      </c>
      <c r="L6" s="850"/>
    </row>
    <row r="7" spans="1:13" ht="20.25" customHeight="1">
      <c r="A7" s="857">
        <v>3</v>
      </c>
      <c r="B7" s="852" t="s">
        <v>766</v>
      </c>
      <c r="C7" s="858">
        <v>518.1</v>
      </c>
      <c r="D7" s="858">
        <v>5576.8284000000003</v>
      </c>
      <c r="E7" s="858">
        <v>530.29999999999995</v>
      </c>
      <c r="F7" s="859">
        <v>5708.1491999999989</v>
      </c>
      <c r="G7" s="886">
        <v>0.26</v>
      </c>
      <c r="H7" s="858">
        <v>668.17799999999988</v>
      </c>
      <c r="I7" s="860">
        <v>7192.2679919999982</v>
      </c>
      <c r="J7" s="861">
        <f t="shared" si="0"/>
        <v>0.79365079365079372</v>
      </c>
      <c r="K7" s="862">
        <f t="shared" si="1"/>
        <v>1.0235475776877048</v>
      </c>
      <c r="L7" s="850"/>
    </row>
    <row r="8" spans="1:13" ht="20.25" customHeight="1">
      <c r="A8" s="857">
        <v>4</v>
      </c>
      <c r="B8" s="852" t="s">
        <v>767</v>
      </c>
      <c r="C8" s="858">
        <v>755</v>
      </c>
      <c r="D8" s="858">
        <v>8126.82</v>
      </c>
      <c r="E8" s="858">
        <v>778.3</v>
      </c>
      <c r="F8" s="859">
        <v>8377.6211999999996</v>
      </c>
      <c r="G8" s="886">
        <v>0.26</v>
      </c>
      <c r="H8" s="858">
        <v>980.6579999999999</v>
      </c>
      <c r="I8" s="860">
        <v>10555.802711999999</v>
      </c>
      <c r="J8" s="861">
        <f t="shared" si="0"/>
        <v>0.79365079365079372</v>
      </c>
      <c r="K8" s="862">
        <f t="shared" si="1"/>
        <v>1.0308609271523179</v>
      </c>
      <c r="L8" s="850"/>
    </row>
    <row r="9" spans="1:13" ht="20.25" customHeight="1">
      <c r="A9" s="857">
        <v>5</v>
      </c>
      <c r="B9" s="852" t="s">
        <v>768</v>
      </c>
      <c r="C9" s="858">
        <v>589.35</v>
      </c>
      <c r="D9" s="858">
        <v>6343.7633999999998</v>
      </c>
      <c r="E9" s="858">
        <v>604.5</v>
      </c>
      <c r="F9" s="859">
        <v>6506.8379999999997</v>
      </c>
      <c r="G9" s="886">
        <v>0.26</v>
      </c>
      <c r="H9" s="858">
        <v>761.67000000000007</v>
      </c>
      <c r="I9" s="860">
        <v>8198.6158799999994</v>
      </c>
      <c r="J9" s="861">
        <f t="shared" si="0"/>
        <v>0.79365079365079372</v>
      </c>
      <c r="K9" s="862">
        <f t="shared" si="1"/>
        <v>1.0257062865869178</v>
      </c>
      <c r="L9" s="850"/>
    </row>
    <row r="10" spans="1:13" ht="20.25" customHeight="1">
      <c r="A10" s="857">
        <v>6</v>
      </c>
      <c r="B10" s="852" t="s">
        <v>769</v>
      </c>
      <c r="C10" s="858">
        <v>492.52</v>
      </c>
      <c r="D10" s="858">
        <v>5301.4852799999999</v>
      </c>
      <c r="E10" s="858">
        <v>511.4</v>
      </c>
      <c r="F10" s="859">
        <v>5504.7095999999992</v>
      </c>
      <c r="G10" s="886">
        <v>0.26</v>
      </c>
      <c r="H10" s="858">
        <v>644.36400000000003</v>
      </c>
      <c r="I10" s="860">
        <v>6935.934096</v>
      </c>
      <c r="J10" s="861">
        <f t="shared" si="0"/>
        <v>0.7936507936507935</v>
      </c>
      <c r="K10" s="862">
        <f t="shared" si="1"/>
        <v>1.0383334686916266</v>
      </c>
      <c r="L10" s="850"/>
    </row>
    <row r="11" spans="1:13" ht="20.25" customHeight="1" thickBot="1">
      <c r="A11" s="863"/>
      <c r="B11" s="864" t="s">
        <v>731</v>
      </c>
      <c r="C11" s="865"/>
      <c r="D11" s="865"/>
      <c r="E11" s="865"/>
      <c r="F11" s="866">
        <f>SUM(F5:F10)</f>
        <v>46058.079599999997</v>
      </c>
      <c r="G11" s="887"/>
      <c r="H11" s="865">
        <v>5391.4140000000007</v>
      </c>
      <c r="I11" s="867">
        <v>58033.180296000006</v>
      </c>
      <c r="J11" s="861"/>
      <c r="K11" s="862"/>
      <c r="L11" s="850"/>
    </row>
    <row r="12" spans="1:13" ht="20.25" customHeight="1" thickBot="1">
      <c r="A12" s="876"/>
      <c r="B12" s="847"/>
      <c r="C12" s="848"/>
      <c r="D12" s="848"/>
      <c r="E12" s="848"/>
      <c r="F12" s="849"/>
      <c r="G12" s="888"/>
      <c r="H12" s="848"/>
      <c r="I12" s="877"/>
      <c r="J12" s="861"/>
      <c r="K12" s="862"/>
      <c r="L12" s="850"/>
    </row>
    <row r="13" spans="1:13" ht="20.25" customHeight="1">
      <c r="A13" s="872"/>
      <c r="B13" s="873" t="s">
        <v>770</v>
      </c>
      <c r="C13" s="873"/>
      <c r="D13" s="873"/>
      <c r="E13" s="873"/>
      <c r="F13" s="873"/>
      <c r="G13" s="885"/>
      <c r="H13" s="874"/>
      <c r="I13" s="875"/>
      <c r="J13" s="850"/>
      <c r="K13" s="850"/>
      <c r="L13" s="850"/>
    </row>
    <row r="14" spans="1:13" ht="20.25" customHeight="1">
      <c r="A14" s="857">
        <v>1</v>
      </c>
      <c r="B14" s="852" t="s">
        <v>764</v>
      </c>
      <c r="C14" s="858">
        <v>1086.5</v>
      </c>
      <c r="D14" s="858">
        <v>11695.085999999999</v>
      </c>
      <c r="E14" s="858">
        <v>1114.45</v>
      </c>
      <c r="F14" s="859">
        <v>11995.9398</v>
      </c>
      <c r="G14" s="886">
        <v>0.26</v>
      </c>
      <c r="H14" s="858">
        <v>1404.2070000000001</v>
      </c>
      <c r="I14" s="860">
        <v>15114.884148000001</v>
      </c>
      <c r="J14" s="861">
        <f>F14/I14</f>
        <v>0.79365079365079361</v>
      </c>
      <c r="K14" s="862">
        <f>F14/D14</f>
        <v>1.0257248044178555</v>
      </c>
      <c r="L14" s="850"/>
    </row>
    <row r="15" spans="1:13" ht="20.25" customHeight="1">
      <c r="A15" s="857">
        <v>2</v>
      </c>
      <c r="B15" s="852" t="s">
        <v>765</v>
      </c>
      <c r="C15" s="858">
        <v>706.45</v>
      </c>
      <c r="D15" s="858">
        <v>7604.2277999999997</v>
      </c>
      <c r="E15" s="858">
        <v>735.45</v>
      </c>
      <c r="F15" s="859">
        <v>7916.3837999999996</v>
      </c>
      <c r="G15" s="886">
        <v>0.26</v>
      </c>
      <c r="H15" s="858">
        <v>926.66700000000003</v>
      </c>
      <c r="I15" s="860">
        <v>9974.643587999999</v>
      </c>
      <c r="J15" s="861">
        <f t="shared" ref="J15:J19" si="2">F15/I15</f>
        <v>0.79365079365079372</v>
      </c>
      <c r="K15" s="862">
        <f t="shared" ref="K15:K19" si="3">F15/D15</f>
        <v>1.0410503220326988</v>
      </c>
      <c r="L15" s="914" t="s">
        <v>771</v>
      </c>
      <c r="M15" s="914"/>
    </row>
    <row r="16" spans="1:13" ht="20.25" customHeight="1">
      <c r="A16" s="857">
        <v>3</v>
      </c>
      <c r="B16" s="852" t="s">
        <v>766</v>
      </c>
      <c r="C16" s="858">
        <v>353.35</v>
      </c>
      <c r="D16" s="858">
        <v>3803.4594000000002</v>
      </c>
      <c r="E16" s="858">
        <v>366.7</v>
      </c>
      <c r="F16" s="859">
        <v>3947.1587999999997</v>
      </c>
      <c r="G16" s="886">
        <v>0.26</v>
      </c>
      <c r="H16" s="858">
        <v>462.04199999999997</v>
      </c>
      <c r="I16" s="860">
        <v>4973.4200879999999</v>
      </c>
      <c r="J16" s="861">
        <f t="shared" si="2"/>
        <v>0.79365079365079361</v>
      </c>
      <c r="K16" s="862">
        <f t="shared" si="3"/>
        <v>1.0377812367341162</v>
      </c>
      <c r="L16" s="914" t="s">
        <v>771</v>
      </c>
      <c r="M16" s="914"/>
    </row>
    <row r="17" spans="1:12" ht="20.25" customHeight="1">
      <c r="A17" s="857">
        <v>4</v>
      </c>
      <c r="B17" s="852" t="s">
        <v>767</v>
      </c>
      <c r="C17" s="858">
        <v>755</v>
      </c>
      <c r="D17" s="858">
        <v>8126.82</v>
      </c>
      <c r="E17" s="858">
        <v>778.3</v>
      </c>
      <c r="F17" s="859">
        <v>8377.6211999999996</v>
      </c>
      <c r="G17" s="886">
        <v>0.26</v>
      </c>
      <c r="H17" s="858">
        <v>980.6579999999999</v>
      </c>
      <c r="I17" s="860">
        <v>10555.802711999999</v>
      </c>
      <c r="J17" s="861">
        <f t="shared" si="2"/>
        <v>0.79365079365079372</v>
      </c>
      <c r="K17" s="862">
        <f t="shared" si="3"/>
        <v>1.0308609271523179</v>
      </c>
      <c r="L17" s="850"/>
    </row>
    <row r="18" spans="1:12" ht="20.25" customHeight="1">
      <c r="A18" s="857">
        <v>5</v>
      </c>
      <c r="B18" s="852" t="s">
        <v>768</v>
      </c>
      <c r="C18" s="858">
        <v>589.35</v>
      </c>
      <c r="D18" s="858">
        <v>6343.7633999999998</v>
      </c>
      <c r="E18" s="858">
        <v>604.5</v>
      </c>
      <c r="F18" s="859">
        <v>6506.8379999999997</v>
      </c>
      <c r="G18" s="886">
        <v>0.26</v>
      </c>
      <c r="H18" s="858">
        <v>761.67000000000007</v>
      </c>
      <c r="I18" s="860">
        <v>8198.6158799999994</v>
      </c>
      <c r="J18" s="861">
        <f t="shared" si="2"/>
        <v>0.79365079365079372</v>
      </c>
      <c r="K18" s="862">
        <f t="shared" si="3"/>
        <v>1.0257062865869178</v>
      </c>
      <c r="L18" s="850"/>
    </row>
    <row r="19" spans="1:12" ht="20.25" customHeight="1">
      <c r="A19" s="857">
        <v>6</v>
      </c>
      <c r="B19" s="852" t="s">
        <v>769</v>
      </c>
      <c r="C19" s="858">
        <v>492.52</v>
      </c>
      <c r="D19" s="858">
        <v>5301.4852799999999</v>
      </c>
      <c r="E19" s="858">
        <v>511.4</v>
      </c>
      <c r="F19" s="859">
        <v>5504.7095999999992</v>
      </c>
      <c r="G19" s="886">
        <v>0.26</v>
      </c>
      <c r="H19" s="858">
        <v>644.36400000000003</v>
      </c>
      <c r="I19" s="860">
        <v>6935.934096</v>
      </c>
      <c r="J19" s="861">
        <f t="shared" si="2"/>
        <v>0.7936507936507935</v>
      </c>
      <c r="K19" s="862">
        <f t="shared" si="3"/>
        <v>1.0383334686916266</v>
      </c>
      <c r="L19" s="850"/>
    </row>
    <row r="20" spans="1:12" ht="20.25" customHeight="1" thickBot="1">
      <c r="A20" s="868"/>
      <c r="B20" s="864" t="s">
        <v>731</v>
      </c>
      <c r="C20" s="865"/>
      <c r="D20" s="865"/>
      <c r="E20" s="865"/>
      <c r="F20" s="866">
        <f>SUM(F14:F19)</f>
        <v>44248.651200000008</v>
      </c>
      <c r="G20" s="887"/>
      <c r="H20" s="865">
        <v>5179.6080000000002</v>
      </c>
      <c r="I20" s="867">
        <v>55753.300512000002</v>
      </c>
      <c r="J20" s="861"/>
      <c r="K20" s="862"/>
      <c r="L20" s="850"/>
    </row>
    <row r="21" spans="1:12" ht="20.25" customHeight="1">
      <c r="A21" s="872"/>
      <c r="B21" s="873" t="s">
        <v>772</v>
      </c>
      <c r="C21" s="873"/>
      <c r="D21" s="873"/>
      <c r="E21" s="873"/>
      <c r="F21" s="873"/>
      <c r="G21" s="885"/>
      <c r="H21" s="874"/>
      <c r="I21" s="875"/>
      <c r="J21" s="850"/>
      <c r="K21" s="850"/>
      <c r="L21" s="850"/>
    </row>
    <row r="22" spans="1:12" ht="20.25" customHeight="1">
      <c r="A22" s="857">
        <v>1</v>
      </c>
      <c r="B22" s="852" t="s">
        <v>764</v>
      </c>
      <c r="C22" s="858">
        <v>1086.5</v>
      </c>
      <c r="D22" s="858">
        <v>11695.085999999999</v>
      </c>
      <c r="E22" s="858">
        <v>1114.45</v>
      </c>
      <c r="F22" s="859">
        <v>11995.9398</v>
      </c>
      <c r="G22" s="886">
        <v>0.26</v>
      </c>
      <c r="H22" s="858">
        <v>1404.2070000000001</v>
      </c>
      <c r="I22" s="860">
        <v>15114.884148000001</v>
      </c>
      <c r="J22" s="861">
        <f t="shared" ref="J22" si="4">F22/I22</f>
        <v>0.79365079365079361</v>
      </c>
      <c r="K22" s="862">
        <f t="shared" ref="K22" si="5">F22/D22</f>
        <v>1.0257248044178555</v>
      </c>
      <c r="L22" s="850"/>
    </row>
    <row r="23" spans="1:12" ht="20.25" customHeight="1">
      <c r="A23" s="857">
        <v>2</v>
      </c>
      <c r="B23" s="852" t="s">
        <v>765</v>
      </c>
      <c r="C23" s="858">
        <v>718.45</v>
      </c>
      <c r="D23" s="858">
        <v>7733.3958000000002</v>
      </c>
      <c r="E23" s="858">
        <v>739.95</v>
      </c>
      <c r="F23" s="859">
        <v>7964.8217999999997</v>
      </c>
      <c r="G23" s="886">
        <v>0.26</v>
      </c>
      <c r="H23" s="858">
        <v>932.3370000000001</v>
      </c>
      <c r="I23" s="860">
        <v>10035.675468000001</v>
      </c>
      <c r="J23" s="861">
        <f t="shared" ref="J23" si="6">F23/I23</f>
        <v>0.7936507936507935</v>
      </c>
      <c r="K23" s="862">
        <f t="shared" ref="K23" si="7">F23/D23</f>
        <v>1.0299255341359872</v>
      </c>
      <c r="L23" s="850"/>
    </row>
    <row r="24" spans="1:12" ht="20.25" customHeight="1">
      <c r="A24" s="857">
        <v>3</v>
      </c>
      <c r="B24" s="852" t="s">
        <v>773</v>
      </c>
      <c r="C24" s="858">
        <v>125.36</v>
      </c>
      <c r="D24" s="858">
        <v>1349.3750399999999</v>
      </c>
      <c r="E24" s="858">
        <v>128.30000000000001</v>
      </c>
      <c r="F24" s="859">
        <v>1381.0212000000001</v>
      </c>
      <c r="G24" s="886">
        <v>0.26</v>
      </c>
      <c r="H24" s="858">
        <v>161.65800000000002</v>
      </c>
      <c r="I24" s="860">
        <v>1740.086712</v>
      </c>
      <c r="J24" s="861">
        <f t="shared" ref="J24:J28" si="8">F24/I24</f>
        <v>0.79365079365079372</v>
      </c>
      <c r="K24" s="862">
        <f t="shared" ref="K24:K28" si="9">F24/D24</f>
        <v>1.0234524569240588</v>
      </c>
      <c r="L24" s="850"/>
    </row>
    <row r="25" spans="1:12" ht="20.25" customHeight="1">
      <c r="A25" s="857">
        <v>4</v>
      </c>
      <c r="B25" s="852" t="s">
        <v>774</v>
      </c>
      <c r="C25" s="858">
        <v>392.74</v>
      </c>
      <c r="D25" s="858">
        <v>4227.4533599999995</v>
      </c>
      <c r="E25" s="858">
        <v>402</v>
      </c>
      <c r="F25" s="859">
        <v>4327.1279999999997</v>
      </c>
      <c r="G25" s="886">
        <v>0.26</v>
      </c>
      <c r="H25" s="858">
        <v>506.52</v>
      </c>
      <c r="I25" s="860">
        <v>5452.1812799999998</v>
      </c>
      <c r="J25" s="861">
        <f t="shared" si="8"/>
        <v>0.79365079365079361</v>
      </c>
      <c r="K25" s="862">
        <f t="shared" si="9"/>
        <v>1.0235779396038092</v>
      </c>
      <c r="L25" s="850"/>
    </row>
    <row r="26" spans="1:12" ht="20.25" customHeight="1">
      <c r="A26" s="857">
        <v>5</v>
      </c>
      <c r="B26" s="852" t="s">
        <v>767</v>
      </c>
      <c r="C26" s="858">
        <v>755</v>
      </c>
      <c r="D26" s="858">
        <v>8126.82</v>
      </c>
      <c r="E26" s="858">
        <v>778.3</v>
      </c>
      <c r="F26" s="859">
        <v>8377.6211999999996</v>
      </c>
      <c r="G26" s="886">
        <v>0.26</v>
      </c>
      <c r="H26" s="858">
        <v>980.6579999999999</v>
      </c>
      <c r="I26" s="860">
        <v>10555.802711999999</v>
      </c>
      <c r="J26" s="861">
        <f t="shared" si="8"/>
        <v>0.79365079365079372</v>
      </c>
      <c r="K26" s="862">
        <f t="shared" si="9"/>
        <v>1.0308609271523179</v>
      </c>
      <c r="L26" s="850"/>
    </row>
    <row r="27" spans="1:12" ht="20.25" customHeight="1">
      <c r="A27" s="857">
        <v>6</v>
      </c>
      <c r="B27" s="852" t="s">
        <v>768</v>
      </c>
      <c r="C27" s="858">
        <v>589.35</v>
      </c>
      <c r="D27" s="858">
        <v>6343.7633999999998</v>
      </c>
      <c r="E27" s="858">
        <v>604.5</v>
      </c>
      <c r="F27" s="859">
        <v>6506.8379999999997</v>
      </c>
      <c r="G27" s="886">
        <v>0.26</v>
      </c>
      <c r="H27" s="858">
        <v>761.67000000000007</v>
      </c>
      <c r="I27" s="860">
        <v>8198.6158799999994</v>
      </c>
      <c r="J27" s="861">
        <f t="shared" si="8"/>
        <v>0.79365079365079372</v>
      </c>
      <c r="K27" s="862">
        <f t="shared" si="9"/>
        <v>1.0257062865869178</v>
      </c>
      <c r="L27" s="850"/>
    </row>
    <row r="28" spans="1:12" ht="20.25" customHeight="1">
      <c r="A28" s="857">
        <v>7</v>
      </c>
      <c r="B28" s="852" t="s">
        <v>769</v>
      </c>
      <c r="C28" s="858">
        <v>492.52</v>
      </c>
      <c r="D28" s="858">
        <v>5301.4852799999999</v>
      </c>
      <c r="E28" s="858">
        <v>511.4</v>
      </c>
      <c r="F28" s="859">
        <v>5504.7095999999992</v>
      </c>
      <c r="G28" s="886">
        <v>0.26</v>
      </c>
      <c r="H28" s="858">
        <v>644.36400000000003</v>
      </c>
      <c r="I28" s="860">
        <v>6935.934096</v>
      </c>
      <c r="J28" s="861">
        <f t="shared" si="8"/>
        <v>0.7936507936507935</v>
      </c>
      <c r="K28" s="862">
        <f t="shared" si="9"/>
        <v>1.0383334686916266</v>
      </c>
      <c r="L28" s="850"/>
    </row>
    <row r="29" spans="1:12" ht="20.25" customHeight="1" thickBot="1">
      <c r="A29" s="863"/>
      <c r="B29" s="864" t="s">
        <v>731</v>
      </c>
      <c r="C29" s="865"/>
      <c r="D29" s="865"/>
      <c r="E29" s="865"/>
      <c r="F29" s="866">
        <f>SUM(F22:F28)</f>
        <v>46058.079599999997</v>
      </c>
      <c r="G29" s="887"/>
      <c r="H29" s="865">
        <v>5391.4140000000007</v>
      </c>
      <c r="I29" s="867">
        <v>58033.180296000006</v>
      </c>
      <c r="J29" s="861"/>
      <c r="K29" s="862"/>
    </row>
    <row r="30" spans="1:12" ht="20.25" customHeight="1">
      <c r="A30" s="872"/>
      <c r="B30" s="873" t="s">
        <v>775</v>
      </c>
      <c r="C30" s="873"/>
      <c r="D30" s="873"/>
      <c r="E30" s="873"/>
      <c r="F30" s="873"/>
      <c r="G30" s="885"/>
      <c r="H30" s="874"/>
      <c r="I30" s="875"/>
      <c r="J30" s="850"/>
      <c r="K30" s="850"/>
    </row>
    <row r="31" spans="1:12" ht="20.25" customHeight="1">
      <c r="A31" s="857">
        <v>1</v>
      </c>
      <c r="B31" s="852" t="s">
        <v>764</v>
      </c>
      <c r="C31" s="858">
        <v>1086.5</v>
      </c>
      <c r="D31" s="858">
        <v>11695.085999999999</v>
      </c>
      <c r="E31" s="858">
        <v>1114.45</v>
      </c>
      <c r="F31" s="859">
        <v>11995.9398</v>
      </c>
      <c r="G31" s="886">
        <v>0.26</v>
      </c>
      <c r="H31" s="858">
        <v>1404.2070000000001</v>
      </c>
      <c r="I31" s="860">
        <v>15114.884148000001</v>
      </c>
      <c r="J31" s="861">
        <f t="shared" ref="J31" si="10">F31/I31</f>
        <v>0.79365079365079361</v>
      </c>
      <c r="K31" s="862">
        <f t="shared" ref="K31" si="11">F31/D31</f>
        <v>1.0257248044178555</v>
      </c>
    </row>
    <row r="32" spans="1:12" ht="20.25" customHeight="1">
      <c r="A32" s="857">
        <v>2</v>
      </c>
      <c r="B32" s="852" t="s">
        <v>765</v>
      </c>
      <c r="C32" s="858">
        <v>718.45</v>
      </c>
      <c r="D32" s="858">
        <v>7733.3958000000002</v>
      </c>
      <c r="E32" s="858">
        <v>739.95</v>
      </c>
      <c r="F32" s="859">
        <v>7964.8217999999997</v>
      </c>
      <c r="G32" s="886">
        <v>0.26</v>
      </c>
      <c r="H32" s="858">
        <v>932.3370000000001</v>
      </c>
      <c r="I32" s="860">
        <v>10035.675468000001</v>
      </c>
      <c r="J32" s="861">
        <f t="shared" ref="J32:J36" si="12">F32/I32</f>
        <v>0.7936507936507935</v>
      </c>
      <c r="K32" s="862">
        <f t="shared" ref="K32:K36" si="13">F32/D32</f>
        <v>1.0299255341359872</v>
      </c>
    </row>
    <row r="33" spans="1:11" ht="20.25" customHeight="1">
      <c r="A33" s="857">
        <v>3</v>
      </c>
      <c r="B33" s="852" t="s">
        <v>766</v>
      </c>
      <c r="C33" s="858">
        <v>518.1</v>
      </c>
      <c r="D33" s="858">
        <v>5576.8284000000003</v>
      </c>
      <c r="E33" s="858">
        <v>530.29999999999995</v>
      </c>
      <c r="F33" s="859">
        <v>5708.1491999999989</v>
      </c>
      <c r="G33" s="886">
        <v>0.26</v>
      </c>
      <c r="H33" s="858">
        <v>668.17799999999988</v>
      </c>
      <c r="I33" s="860">
        <v>7192.2679919999982</v>
      </c>
      <c r="J33" s="861">
        <f t="shared" si="12"/>
        <v>0.79365079365079372</v>
      </c>
      <c r="K33" s="862">
        <f t="shared" si="13"/>
        <v>1.0235475776877048</v>
      </c>
    </row>
    <row r="34" spans="1:11" ht="20.25" customHeight="1">
      <c r="A34" s="857">
        <v>4</v>
      </c>
      <c r="B34" s="852" t="s">
        <v>767</v>
      </c>
      <c r="C34" s="858">
        <v>755</v>
      </c>
      <c r="D34" s="858">
        <v>8126.82</v>
      </c>
      <c r="E34" s="858">
        <v>778.3</v>
      </c>
      <c r="F34" s="859">
        <v>8377.6211999999996</v>
      </c>
      <c r="G34" s="886">
        <v>0.26</v>
      </c>
      <c r="H34" s="858">
        <v>980.6579999999999</v>
      </c>
      <c r="I34" s="860">
        <v>10555.802711999999</v>
      </c>
      <c r="J34" s="861">
        <f t="shared" si="12"/>
        <v>0.79365079365079372</v>
      </c>
      <c r="K34" s="862">
        <f t="shared" si="13"/>
        <v>1.0308609271523179</v>
      </c>
    </row>
    <row r="35" spans="1:11" ht="20.25" customHeight="1">
      <c r="A35" s="857">
        <v>5</v>
      </c>
      <c r="B35" s="852" t="s">
        <v>768</v>
      </c>
      <c r="C35" s="858">
        <v>589.35</v>
      </c>
      <c r="D35" s="858">
        <v>6343.7633999999998</v>
      </c>
      <c r="E35" s="858">
        <v>604.5</v>
      </c>
      <c r="F35" s="859">
        <v>6506.8379999999997</v>
      </c>
      <c r="G35" s="886">
        <v>0.26</v>
      </c>
      <c r="H35" s="858">
        <v>761.67000000000007</v>
      </c>
      <c r="I35" s="860">
        <v>8198.6158799999994</v>
      </c>
      <c r="J35" s="861">
        <f t="shared" si="12"/>
        <v>0.79365079365079372</v>
      </c>
      <c r="K35" s="862">
        <f t="shared" si="13"/>
        <v>1.0257062865869178</v>
      </c>
    </row>
    <row r="36" spans="1:11" ht="20.25" customHeight="1">
      <c r="A36" s="857">
        <v>6</v>
      </c>
      <c r="B36" s="852" t="s">
        <v>769</v>
      </c>
      <c r="C36" s="858">
        <v>492.52</v>
      </c>
      <c r="D36" s="858">
        <v>5301.4852799999999</v>
      </c>
      <c r="E36" s="858">
        <v>511.4</v>
      </c>
      <c r="F36" s="859">
        <v>5504.7095999999992</v>
      </c>
      <c r="G36" s="886">
        <v>0.26</v>
      </c>
      <c r="H36" s="858">
        <v>644.36400000000003</v>
      </c>
      <c r="I36" s="860">
        <v>6935.934096</v>
      </c>
      <c r="J36" s="861">
        <f t="shared" si="12"/>
        <v>0.7936507936507935</v>
      </c>
      <c r="K36" s="862">
        <f t="shared" si="13"/>
        <v>1.0383334686916266</v>
      </c>
    </row>
    <row r="37" spans="1:11" ht="20.25" customHeight="1" thickBot="1">
      <c r="A37" s="868"/>
      <c r="B37" s="864" t="s">
        <v>731</v>
      </c>
      <c r="C37" s="865"/>
      <c r="D37" s="865"/>
      <c r="E37" s="865"/>
      <c r="F37" s="866">
        <f>SUM(F31:F36)</f>
        <v>46058.079599999997</v>
      </c>
      <c r="G37" s="887"/>
      <c r="H37" s="865">
        <v>5391.4140000000007</v>
      </c>
      <c r="I37" s="867">
        <v>58033.180296000006</v>
      </c>
      <c r="J37" s="861"/>
      <c r="K37" s="862"/>
    </row>
    <row r="38" spans="1:11" ht="20.25" customHeight="1">
      <c r="A38" s="872"/>
      <c r="B38" s="873" t="s">
        <v>776</v>
      </c>
      <c r="C38" s="873"/>
      <c r="D38" s="873"/>
      <c r="E38" s="873"/>
      <c r="F38" s="873"/>
      <c r="G38" s="885"/>
      <c r="H38" s="874"/>
      <c r="I38" s="875"/>
      <c r="J38" s="850"/>
      <c r="K38" s="850"/>
    </row>
    <row r="39" spans="1:11" ht="20.25" customHeight="1">
      <c r="A39" s="857">
        <v>1</v>
      </c>
      <c r="B39" s="852" t="s">
        <v>764</v>
      </c>
      <c r="C39" s="858">
        <v>1086.5</v>
      </c>
      <c r="D39" s="858">
        <v>11695.085999999999</v>
      </c>
      <c r="E39" s="858">
        <v>1114.45</v>
      </c>
      <c r="F39" s="859">
        <v>11995.9398</v>
      </c>
      <c r="G39" s="886">
        <v>0.26</v>
      </c>
      <c r="H39" s="858">
        <v>1404.2070000000001</v>
      </c>
      <c r="I39" s="860">
        <v>15114.884148000001</v>
      </c>
      <c r="J39" s="861">
        <f t="shared" ref="J39" si="14">F39/I39</f>
        <v>0.79365079365079361</v>
      </c>
      <c r="K39" s="862">
        <f t="shared" ref="K39" si="15">F39/D39</f>
        <v>1.0257248044178555</v>
      </c>
    </row>
    <row r="40" spans="1:11" ht="20.25" customHeight="1">
      <c r="A40" s="857">
        <v>2</v>
      </c>
      <c r="B40" s="852" t="s">
        <v>765</v>
      </c>
      <c r="C40" s="858">
        <v>718.45</v>
      </c>
      <c r="D40" s="858">
        <v>7733.3958000000002</v>
      </c>
      <c r="E40" s="858">
        <v>739.95</v>
      </c>
      <c r="F40" s="859">
        <v>7964.8217999999997</v>
      </c>
      <c r="G40" s="886">
        <v>0.26</v>
      </c>
      <c r="H40" s="858">
        <v>932.3370000000001</v>
      </c>
      <c r="I40" s="860">
        <v>10035.675468000001</v>
      </c>
      <c r="J40" s="861">
        <f t="shared" ref="J40:J44" si="16">F40/I40</f>
        <v>0.7936507936507935</v>
      </c>
      <c r="K40" s="862">
        <f t="shared" ref="K40:K44" si="17">F40/D40</f>
        <v>1.0299255341359872</v>
      </c>
    </row>
    <row r="41" spans="1:11" ht="20.25" customHeight="1">
      <c r="A41" s="857">
        <v>3</v>
      </c>
      <c r="B41" s="852" t="s">
        <v>766</v>
      </c>
      <c r="C41" s="858">
        <v>518.1</v>
      </c>
      <c r="D41" s="858">
        <v>5576.8284000000003</v>
      </c>
      <c r="E41" s="858">
        <v>530.29999999999995</v>
      </c>
      <c r="F41" s="859">
        <v>5708.1491999999989</v>
      </c>
      <c r="G41" s="886">
        <v>0.26</v>
      </c>
      <c r="H41" s="858">
        <v>668.17799999999988</v>
      </c>
      <c r="I41" s="860">
        <v>7192.2679919999982</v>
      </c>
      <c r="J41" s="861">
        <f t="shared" si="16"/>
        <v>0.79365079365079372</v>
      </c>
      <c r="K41" s="862">
        <f t="shared" si="17"/>
        <v>1.0235475776877048</v>
      </c>
    </row>
    <row r="42" spans="1:11" ht="20.25" customHeight="1">
      <c r="A42" s="857">
        <v>4</v>
      </c>
      <c r="B42" s="852" t="s">
        <v>767</v>
      </c>
      <c r="C42" s="858">
        <v>755</v>
      </c>
      <c r="D42" s="858">
        <v>8126.82</v>
      </c>
      <c r="E42" s="858">
        <v>778.3</v>
      </c>
      <c r="F42" s="859">
        <v>8377.6211999999996</v>
      </c>
      <c r="G42" s="886">
        <v>0.26</v>
      </c>
      <c r="H42" s="858">
        <v>980.6579999999999</v>
      </c>
      <c r="I42" s="860">
        <v>10555.802711999999</v>
      </c>
      <c r="J42" s="861">
        <f t="shared" si="16"/>
        <v>0.79365079365079372</v>
      </c>
      <c r="K42" s="862">
        <f t="shared" si="17"/>
        <v>1.0308609271523179</v>
      </c>
    </row>
    <row r="43" spans="1:11" ht="20.25" customHeight="1">
      <c r="A43" s="857">
        <v>5</v>
      </c>
      <c r="B43" s="852" t="s">
        <v>768</v>
      </c>
      <c r="C43" s="858">
        <v>589.35</v>
      </c>
      <c r="D43" s="858">
        <v>6343.7633999999998</v>
      </c>
      <c r="E43" s="858">
        <v>604.5</v>
      </c>
      <c r="F43" s="859">
        <v>6506.8379999999997</v>
      </c>
      <c r="G43" s="886">
        <v>0.26</v>
      </c>
      <c r="H43" s="858">
        <v>761.67000000000007</v>
      </c>
      <c r="I43" s="860">
        <v>8198.6158799999994</v>
      </c>
      <c r="J43" s="861">
        <f t="shared" si="16"/>
        <v>0.79365079365079372</v>
      </c>
      <c r="K43" s="862">
        <f t="shared" si="17"/>
        <v>1.0257062865869178</v>
      </c>
    </row>
    <row r="44" spans="1:11" ht="20.25" customHeight="1">
      <c r="A44" s="857">
        <v>6</v>
      </c>
      <c r="B44" s="852" t="s">
        <v>769</v>
      </c>
      <c r="C44" s="858">
        <v>492.52</v>
      </c>
      <c r="D44" s="858">
        <v>5301.4852799999999</v>
      </c>
      <c r="E44" s="858">
        <v>511.4</v>
      </c>
      <c r="F44" s="859">
        <v>5504.7095999999992</v>
      </c>
      <c r="G44" s="886">
        <v>0.26</v>
      </c>
      <c r="H44" s="858">
        <v>644.36400000000003</v>
      </c>
      <c r="I44" s="860">
        <v>6935.934096</v>
      </c>
      <c r="J44" s="861">
        <f t="shared" si="16"/>
        <v>0.7936507936507935</v>
      </c>
      <c r="K44" s="862">
        <f t="shared" si="17"/>
        <v>1.0383334686916266</v>
      </c>
    </row>
    <row r="45" spans="1:11" ht="20.25" customHeight="1" thickBot="1">
      <c r="A45" s="868"/>
      <c r="B45" s="864" t="s">
        <v>731</v>
      </c>
      <c r="C45" s="865"/>
      <c r="D45" s="865"/>
      <c r="E45" s="865"/>
      <c r="F45" s="866">
        <f>SUM(F39:F44)</f>
        <v>46058.079599999997</v>
      </c>
      <c r="G45" s="887"/>
      <c r="H45" s="865">
        <v>5391.4140000000007</v>
      </c>
      <c r="I45" s="867">
        <v>58033.180296000006</v>
      </c>
      <c r="J45" s="861"/>
      <c r="K45" s="862"/>
    </row>
    <row r="46" spans="1:11" ht="20.25" customHeight="1" thickBot="1">
      <c r="A46" s="878"/>
      <c r="B46" s="879" t="s">
        <v>86</v>
      </c>
      <c r="C46" s="880">
        <v>20622.850000000002</v>
      </c>
      <c r="D46" s="881">
        <v>221984.35740000001</v>
      </c>
      <c r="E46" s="880">
        <v>21226.400000000001</v>
      </c>
      <c r="F46" s="882">
        <v>228480.96960000001</v>
      </c>
      <c r="G46" s="889" t="s">
        <v>777</v>
      </c>
      <c r="H46" s="880">
        <v>26745.264000000003</v>
      </c>
      <c r="I46" s="883">
        <v>287886.02169600001</v>
      </c>
      <c r="J46" s="850"/>
      <c r="K46" s="850"/>
    </row>
    <row r="48" spans="1:11" ht="20.25" customHeight="1">
      <c r="A48" s="850"/>
      <c r="B48" s="850"/>
      <c r="C48" s="850"/>
      <c r="D48" s="850"/>
      <c r="E48" s="850"/>
      <c r="F48" s="869"/>
      <c r="G48" s="891"/>
      <c r="H48" s="870"/>
      <c r="I48" s="871"/>
      <c r="J48" s="850"/>
      <c r="K48" s="850"/>
    </row>
    <row r="49" spans="1:11" ht="20.25" customHeight="1">
      <c r="A49" s="850"/>
      <c r="B49" s="850"/>
      <c r="C49" s="850"/>
      <c r="D49" s="850"/>
      <c r="E49" s="850"/>
      <c r="F49" s="869"/>
      <c r="G49" s="891"/>
      <c r="H49" s="870"/>
      <c r="I49" s="871"/>
      <c r="J49" s="850"/>
      <c r="K49" s="850"/>
    </row>
  </sheetData>
  <mergeCells count="8">
    <mergeCell ref="A1:I1"/>
    <mergeCell ref="L16:M16"/>
    <mergeCell ref="A2:A3"/>
    <mergeCell ref="B2:B3"/>
    <mergeCell ref="C2:D2"/>
    <mergeCell ref="E2:F2"/>
    <mergeCell ref="H2:I2"/>
    <mergeCell ref="L15:M15"/>
  </mergeCells>
  <pageMargins left="0.7" right="0.7" top="0.75" bottom="0.75" header="0.3" footer="0.3"/>
  <pageSetup scale="75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45"/>
  <sheetViews>
    <sheetView workbookViewId="0">
      <pane xSplit="17" ySplit="2" topLeftCell="R3" activePane="bottomRight" state="frozen"/>
      <selection pane="topRight" activeCell="T1" sqref="T1"/>
      <selection pane="bottomLeft" activeCell="A3" sqref="A3"/>
      <selection pane="bottomRight" activeCell="S9" sqref="S9"/>
    </sheetView>
  </sheetViews>
  <sheetFormatPr defaultColWidth="9.140625" defaultRowHeight="21.75" customHeight="1" outlineLevelRow="1"/>
  <cols>
    <col min="1" max="1" width="9.140625" style="64"/>
    <col min="2" max="2" width="29.85546875" style="64" customWidth="1"/>
    <col min="3" max="5" width="6.5703125" style="382" bestFit="1" customWidth="1"/>
    <col min="6" max="6" width="8" style="382" bestFit="1" customWidth="1"/>
    <col min="7" max="15" width="6.5703125" style="382" bestFit="1" customWidth="1"/>
    <col min="16" max="16" width="12.42578125" style="382" customWidth="1"/>
    <col min="17" max="17" width="12.140625" style="382" customWidth="1"/>
    <col min="18" max="18" width="11" style="64" bestFit="1" customWidth="1"/>
    <col min="19" max="19" width="10" style="488" bestFit="1" customWidth="1"/>
    <col min="20" max="16384" width="9.140625" style="64"/>
  </cols>
  <sheetData>
    <row r="1" spans="1:21" ht="21.75" customHeight="1">
      <c r="B1" s="918" t="s">
        <v>796</v>
      </c>
      <c r="C1" s="918"/>
      <c r="D1" s="918"/>
      <c r="E1" s="918"/>
      <c r="F1" s="918"/>
      <c r="G1" s="918"/>
      <c r="H1" s="918"/>
      <c r="I1" s="918"/>
      <c r="J1" s="918"/>
      <c r="K1" s="918"/>
      <c r="L1" s="918"/>
      <c r="M1" s="918"/>
      <c r="N1" s="918"/>
      <c r="O1" s="918"/>
      <c r="P1" s="918"/>
      <c r="Q1" s="918"/>
      <c r="R1" s="270" t="s">
        <v>336</v>
      </c>
      <c r="S1" s="270"/>
    </row>
    <row r="2" spans="1:21" ht="21.75" customHeight="1">
      <c r="B2" s="916" t="s">
        <v>385</v>
      </c>
      <c r="C2" s="485" t="s">
        <v>372</v>
      </c>
      <c r="D2" s="485" t="s">
        <v>373</v>
      </c>
      <c r="E2" s="485" t="s">
        <v>374</v>
      </c>
      <c r="F2" s="485" t="s">
        <v>375</v>
      </c>
      <c r="G2" s="485" t="s">
        <v>376</v>
      </c>
      <c r="H2" s="485" t="s">
        <v>377</v>
      </c>
      <c r="I2" s="485" t="s">
        <v>378</v>
      </c>
      <c r="J2" s="485" t="s">
        <v>379</v>
      </c>
      <c r="K2" s="485" t="s">
        <v>380</v>
      </c>
      <c r="L2" s="485" t="s">
        <v>381</v>
      </c>
      <c r="M2" s="485" t="s">
        <v>382</v>
      </c>
      <c r="N2" s="485" t="s">
        <v>383</v>
      </c>
      <c r="O2" s="485" t="s">
        <v>384</v>
      </c>
      <c r="P2" s="486" t="s">
        <v>644</v>
      </c>
      <c r="Q2" s="486" t="s">
        <v>643</v>
      </c>
    </row>
    <row r="3" spans="1:21" ht="21.75" customHeight="1">
      <c r="B3" s="917"/>
      <c r="C3" s="383"/>
      <c r="D3" s="383"/>
      <c r="E3" s="383"/>
      <c r="F3" s="383"/>
      <c r="G3" s="383"/>
      <c r="H3" s="383"/>
      <c r="I3" s="383"/>
      <c r="J3" s="383"/>
      <c r="K3" s="383"/>
      <c r="L3" s="383"/>
      <c r="M3" s="383"/>
      <c r="N3" s="383"/>
      <c r="O3" s="383"/>
      <c r="P3" s="383"/>
    </row>
    <row r="4" spans="1:21" ht="21.75" customHeight="1">
      <c r="A4" s="64" t="s">
        <v>414</v>
      </c>
      <c r="B4" s="381" t="s">
        <v>242</v>
      </c>
      <c r="C4" s="384">
        <f>SUM(C5:C21)</f>
        <v>745.79999999999984</v>
      </c>
      <c r="D4" s="384">
        <f t="shared" ref="D4:P4" si="0">SUM(D5:D21)</f>
        <v>451.17</v>
      </c>
      <c r="E4" s="384">
        <f t="shared" si="0"/>
        <v>451.7</v>
      </c>
      <c r="F4" s="384">
        <f t="shared" si="0"/>
        <v>2937.9999999999995</v>
      </c>
      <c r="G4" s="384">
        <f t="shared" si="0"/>
        <v>219.3</v>
      </c>
      <c r="H4" s="384">
        <f t="shared" si="0"/>
        <v>225.50000000000003</v>
      </c>
      <c r="I4" s="384">
        <f t="shared" si="0"/>
        <v>362.09999999999997</v>
      </c>
      <c r="J4" s="384">
        <f t="shared" si="0"/>
        <v>297.29999999999995</v>
      </c>
      <c r="K4" s="384">
        <f t="shared" si="0"/>
        <v>186.58</v>
      </c>
      <c r="L4" s="384">
        <f t="shared" si="0"/>
        <v>169.24</v>
      </c>
      <c r="M4" s="384">
        <f t="shared" si="0"/>
        <v>168.28</v>
      </c>
      <c r="N4" s="384">
        <f t="shared" si="0"/>
        <v>168.28</v>
      </c>
      <c r="O4" s="384">
        <f t="shared" si="0"/>
        <v>168.28</v>
      </c>
      <c r="P4" s="384">
        <f t="shared" si="0"/>
        <v>6551.5300000000007</v>
      </c>
      <c r="Q4" s="487">
        <f>P4*10.764</f>
        <v>70520.668919999996</v>
      </c>
    </row>
    <row r="5" spans="1:21" ht="21.75" customHeight="1" outlineLevel="1">
      <c r="A5" s="64" t="s">
        <v>414</v>
      </c>
      <c r="B5" s="238" t="s">
        <v>386</v>
      </c>
      <c r="C5" s="383"/>
      <c r="D5" s="383">
        <v>47</v>
      </c>
      <c r="E5" s="383"/>
      <c r="F5" s="383">
        <v>70</v>
      </c>
      <c r="G5" s="383"/>
      <c r="H5" s="383"/>
      <c r="I5" s="383">
        <v>84.2</v>
      </c>
      <c r="J5" s="383">
        <v>80.400000000000006</v>
      </c>
      <c r="K5" s="383"/>
      <c r="L5" s="383"/>
      <c r="M5" s="383"/>
      <c r="N5" s="383"/>
      <c r="O5" s="383"/>
      <c r="P5" s="383">
        <f t="shared" ref="P5:P15" si="1">SUM(C5:O5)</f>
        <v>281.60000000000002</v>
      </c>
    </row>
    <row r="6" spans="1:21" ht="21.75" customHeight="1" outlineLevel="1">
      <c r="A6" s="64" t="s">
        <v>414</v>
      </c>
      <c r="B6" s="238" t="s">
        <v>387</v>
      </c>
      <c r="C6" s="383">
        <v>276.7</v>
      </c>
      <c r="D6" s="383">
        <v>260.47000000000003</v>
      </c>
      <c r="E6" s="383">
        <v>308</v>
      </c>
      <c r="F6" s="383">
        <v>319</v>
      </c>
      <c r="G6" s="383">
        <v>73.5</v>
      </c>
      <c r="H6" s="383">
        <v>102</v>
      </c>
      <c r="I6" s="383">
        <v>157</v>
      </c>
      <c r="J6" s="383">
        <v>97</v>
      </c>
      <c r="K6" s="383">
        <v>57.5</v>
      </c>
      <c r="L6" s="383">
        <v>57.5</v>
      </c>
      <c r="M6" s="383">
        <v>57.5</v>
      </c>
      <c r="N6" s="383">
        <v>57.5</v>
      </c>
      <c r="O6" s="383">
        <v>57.5</v>
      </c>
      <c r="P6" s="383">
        <f t="shared" si="1"/>
        <v>1881.17</v>
      </c>
      <c r="U6" s="367"/>
    </row>
    <row r="7" spans="1:21" ht="21.75" customHeight="1" outlineLevel="1">
      <c r="A7" s="64" t="s">
        <v>414</v>
      </c>
      <c r="B7" s="238" t="s">
        <v>406</v>
      </c>
      <c r="C7" s="383"/>
      <c r="D7" s="383"/>
      <c r="E7" s="383"/>
      <c r="F7" s="383">
        <v>554.6</v>
      </c>
      <c r="G7" s="383"/>
      <c r="H7" s="383"/>
      <c r="I7" s="383"/>
      <c r="J7" s="383"/>
      <c r="K7" s="383"/>
      <c r="L7" s="383"/>
      <c r="M7" s="383"/>
      <c r="N7" s="383"/>
      <c r="O7" s="383"/>
      <c r="P7" s="383">
        <f t="shared" si="1"/>
        <v>554.6</v>
      </c>
    </row>
    <row r="8" spans="1:21" ht="21.75" customHeight="1" outlineLevel="1">
      <c r="A8" s="64" t="s">
        <v>414</v>
      </c>
      <c r="B8" s="238" t="s">
        <v>388</v>
      </c>
      <c r="C8" s="383"/>
      <c r="D8" s="383"/>
      <c r="E8" s="383"/>
      <c r="F8" s="383">
        <v>619.1</v>
      </c>
      <c r="G8" s="383"/>
      <c r="H8" s="383"/>
      <c r="I8" s="383"/>
      <c r="J8" s="383"/>
      <c r="K8" s="383"/>
      <c r="L8" s="383"/>
      <c r="M8" s="383"/>
      <c r="N8" s="383"/>
      <c r="O8" s="383"/>
      <c r="P8" s="383">
        <f t="shared" si="1"/>
        <v>619.1</v>
      </c>
    </row>
    <row r="9" spans="1:21" ht="21.75" customHeight="1" outlineLevel="1">
      <c r="A9" s="64" t="s">
        <v>414</v>
      </c>
      <c r="B9" s="238" t="s">
        <v>389</v>
      </c>
      <c r="C9" s="383"/>
      <c r="D9" s="383"/>
      <c r="E9" s="383"/>
      <c r="F9" s="383">
        <v>264.39999999999998</v>
      </c>
      <c r="G9" s="383"/>
      <c r="H9" s="383"/>
      <c r="I9" s="383"/>
      <c r="J9" s="383"/>
      <c r="K9" s="383"/>
      <c r="L9" s="383"/>
      <c r="M9" s="383"/>
      <c r="N9" s="383"/>
      <c r="O9" s="383"/>
      <c r="P9" s="383">
        <f t="shared" si="1"/>
        <v>264.39999999999998</v>
      </c>
    </row>
    <row r="10" spans="1:21" ht="21.75" customHeight="1" outlineLevel="1">
      <c r="A10" s="64" t="s">
        <v>414</v>
      </c>
      <c r="B10" s="238" t="s">
        <v>390</v>
      </c>
      <c r="C10" s="383"/>
      <c r="D10" s="383"/>
      <c r="E10" s="383"/>
      <c r="F10" s="383">
        <v>197.3</v>
      </c>
      <c r="G10" s="383"/>
      <c r="H10" s="383"/>
      <c r="I10" s="383"/>
      <c r="J10" s="383"/>
      <c r="K10" s="383"/>
      <c r="L10" s="383"/>
      <c r="M10" s="383"/>
      <c r="N10" s="383"/>
      <c r="O10" s="383"/>
      <c r="P10" s="383">
        <f t="shared" si="1"/>
        <v>197.3</v>
      </c>
    </row>
    <row r="11" spans="1:21" ht="21.75" customHeight="1" outlineLevel="1">
      <c r="A11" s="64" t="s">
        <v>414</v>
      </c>
      <c r="B11" s="238" t="s">
        <v>391</v>
      </c>
      <c r="C11" s="383"/>
      <c r="D11" s="383"/>
      <c r="E11" s="383"/>
      <c r="F11" s="383">
        <v>48.4</v>
      </c>
      <c r="G11" s="383"/>
      <c r="H11" s="383"/>
      <c r="I11" s="383"/>
      <c r="J11" s="383"/>
      <c r="K11" s="383"/>
      <c r="L11" s="383"/>
      <c r="M11" s="383"/>
      <c r="N11" s="383"/>
      <c r="O11" s="383"/>
      <c r="P11" s="383">
        <f t="shared" si="1"/>
        <v>48.4</v>
      </c>
    </row>
    <row r="12" spans="1:21" ht="21.75" customHeight="1" outlineLevel="1">
      <c r="A12" s="64" t="s">
        <v>414</v>
      </c>
      <c r="B12" s="238" t="s">
        <v>217</v>
      </c>
      <c r="C12" s="383">
        <v>325.39999999999998</v>
      </c>
      <c r="D12" s="383"/>
      <c r="E12" s="383"/>
      <c r="F12" s="383"/>
      <c r="G12" s="383"/>
      <c r="H12" s="383"/>
      <c r="I12" s="383"/>
      <c r="J12" s="383"/>
      <c r="K12" s="383"/>
      <c r="L12" s="383"/>
      <c r="M12" s="383"/>
      <c r="N12" s="383"/>
      <c r="O12" s="383"/>
      <c r="P12" s="383">
        <f t="shared" si="1"/>
        <v>325.39999999999998</v>
      </c>
    </row>
    <row r="13" spans="1:21" ht="21.75" customHeight="1" outlineLevel="1">
      <c r="A13" s="64" t="s">
        <v>414</v>
      </c>
      <c r="B13" s="238" t="s">
        <v>218</v>
      </c>
      <c r="C13" s="383"/>
      <c r="D13" s="383"/>
      <c r="E13" s="383"/>
      <c r="F13" s="383"/>
      <c r="G13" s="383"/>
      <c r="H13" s="383"/>
      <c r="I13" s="383"/>
      <c r="J13" s="383"/>
      <c r="K13" s="383"/>
      <c r="L13" s="383"/>
      <c r="M13" s="383"/>
      <c r="N13" s="383"/>
      <c r="O13" s="383"/>
      <c r="P13" s="383">
        <f t="shared" si="1"/>
        <v>0</v>
      </c>
    </row>
    <row r="14" spans="1:21" ht="21.75" customHeight="1" outlineLevel="1">
      <c r="A14" s="64" t="s">
        <v>414</v>
      </c>
      <c r="B14" s="238" t="s">
        <v>192</v>
      </c>
      <c r="C14" s="383"/>
      <c r="D14" s="383"/>
      <c r="E14" s="383"/>
      <c r="F14" s="383">
        <v>692.3</v>
      </c>
      <c r="G14" s="383"/>
      <c r="H14" s="383"/>
      <c r="I14" s="383"/>
      <c r="J14" s="383"/>
      <c r="K14" s="383"/>
      <c r="L14" s="383"/>
      <c r="M14" s="383"/>
      <c r="N14" s="383"/>
      <c r="O14" s="383"/>
      <c r="P14" s="383">
        <f t="shared" si="1"/>
        <v>692.3</v>
      </c>
    </row>
    <row r="15" spans="1:21" ht="21.75" customHeight="1" outlineLevel="1">
      <c r="A15" s="64" t="s">
        <v>414</v>
      </c>
      <c r="B15" s="238" t="s">
        <v>392</v>
      </c>
      <c r="C15" s="383"/>
      <c r="D15" s="383"/>
      <c r="E15" s="383"/>
      <c r="F15" s="383">
        <v>31.7</v>
      </c>
      <c r="G15" s="383"/>
      <c r="H15" s="383"/>
      <c r="I15" s="383"/>
      <c r="J15" s="383"/>
      <c r="K15" s="383"/>
      <c r="L15" s="383"/>
      <c r="M15" s="383"/>
      <c r="N15" s="383"/>
      <c r="O15" s="383"/>
      <c r="P15" s="383">
        <f t="shared" si="1"/>
        <v>31.7</v>
      </c>
    </row>
    <row r="16" spans="1:21" ht="21.75" customHeight="1" outlineLevel="1">
      <c r="A16" s="64" t="s">
        <v>414</v>
      </c>
      <c r="B16" s="238" t="s">
        <v>393</v>
      </c>
      <c r="C16" s="383">
        <v>28.8</v>
      </c>
      <c r="D16" s="383">
        <v>28.8</v>
      </c>
      <c r="E16" s="383">
        <v>28.8</v>
      </c>
      <c r="F16" s="383">
        <v>28.8</v>
      </c>
      <c r="G16" s="383">
        <v>24</v>
      </c>
      <c r="H16" s="383">
        <v>34.299999999999997</v>
      </c>
      <c r="I16" s="383">
        <v>29.3</v>
      </c>
      <c r="J16" s="383">
        <v>27</v>
      </c>
      <c r="K16" s="383">
        <v>28.14</v>
      </c>
      <c r="L16" s="383">
        <v>29.1</v>
      </c>
      <c r="M16" s="383">
        <v>28.14</v>
      </c>
      <c r="N16" s="383">
        <v>28.14</v>
      </c>
      <c r="O16" s="383">
        <v>28.14</v>
      </c>
      <c r="P16" s="383">
        <f>SUM(C16:O16)</f>
        <v>371.46</v>
      </c>
    </row>
    <row r="17" spans="1:17" ht="21.75" customHeight="1" outlineLevel="1">
      <c r="A17" s="64" t="s">
        <v>414</v>
      </c>
      <c r="B17" s="238" t="s">
        <v>394</v>
      </c>
      <c r="C17" s="383"/>
      <c r="D17" s="383"/>
      <c r="E17" s="383"/>
      <c r="F17" s="383"/>
      <c r="G17" s="383"/>
      <c r="H17" s="383"/>
      <c r="I17" s="383"/>
      <c r="J17" s="383"/>
      <c r="K17" s="383"/>
      <c r="L17" s="383"/>
      <c r="M17" s="383"/>
      <c r="N17" s="383"/>
      <c r="O17" s="383"/>
      <c r="P17" s="383">
        <f t="shared" ref="P17:P21" si="2">SUM(C17:O17)</f>
        <v>0</v>
      </c>
    </row>
    <row r="18" spans="1:17" ht="21.75" customHeight="1" outlineLevel="1">
      <c r="A18" s="64" t="s">
        <v>414</v>
      </c>
      <c r="B18" s="238" t="s">
        <v>395</v>
      </c>
      <c r="C18" s="383">
        <v>29.5</v>
      </c>
      <c r="D18" s="383">
        <v>29.5</v>
      </c>
      <c r="E18" s="383">
        <v>29.5</v>
      </c>
      <c r="F18" s="383">
        <v>27</v>
      </c>
      <c r="G18" s="383">
        <v>61</v>
      </c>
      <c r="H18" s="383">
        <v>28.4</v>
      </c>
      <c r="I18" s="383">
        <v>29.2</v>
      </c>
      <c r="J18" s="383">
        <v>29.2</v>
      </c>
      <c r="K18" s="383">
        <v>44.8</v>
      </c>
      <c r="L18" s="383">
        <v>26.5</v>
      </c>
      <c r="M18" s="383">
        <v>26.5</v>
      </c>
      <c r="N18" s="383">
        <v>26.5</v>
      </c>
      <c r="O18" s="383">
        <v>26.5</v>
      </c>
      <c r="P18" s="383">
        <f t="shared" si="2"/>
        <v>414.1</v>
      </c>
    </row>
    <row r="19" spans="1:17" ht="21.75" customHeight="1" outlineLevel="1">
      <c r="A19" s="64" t="s">
        <v>414</v>
      </c>
      <c r="B19" s="238" t="s">
        <v>396</v>
      </c>
      <c r="C19" s="383">
        <v>30.4</v>
      </c>
      <c r="D19" s="383">
        <v>30.4</v>
      </c>
      <c r="E19" s="383">
        <v>30.4</v>
      </c>
      <c r="F19" s="383">
        <v>30.4</v>
      </c>
      <c r="G19" s="383">
        <v>30.4</v>
      </c>
      <c r="H19" s="383">
        <v>30.4</v>
      </c>
      <c r="I19" s="383">
        <v>30.4</v>
      </c>
      <c r="J19" s="383">
        <v>33.299999999999997</v>
      </c>
      <c r="K19" s="383">
        <v>25.74</v>
      </c>
      <c r="L19" s="383">
        <v>25.74</v>
      </c>
      <c r="M19" s="383">
        <v>25.74</v>
      </c>
      <c r="N19" s="383">
        <v>25.74</v>
      </c>
      <c r="O19" s="383">
        <v>25.74</v>
      </c>
      <c r="P19" s="383">
        <f t="shared" si="2"/>
        <v>374.80000000000007</v>
      </c>
    </row>
    <row r="20" spans="1:17" ht="21.75" customHeight="1" outlineLevel="1">
      <c r="A20" s="64" t="s">
        <v>414</v>
      </c>
      <c r="B20" s="238" t="s">
        <v>397</v>
      </c>
      <c r="C20" s="383">
        <v>30.4</v>
      </c>
      <c r="D20" s="383">
        <v>30.4</v>
      </c>
      <c r="E20" s="383">
        <v>30.4</v>
      </c>
      <c r="F20" s="383">
        <v>30.4</v>
      </c>
      <c r="G20" s="383">
        <v>30.4</v>
      </c>
      <c r="H20" s="383">
        <v>30.4</v>
      </c>
      <c r="I20" s="383">
        <v>32</v>
      </c>
      <c r="J20" s="383">
        <v>30.4</v>
      </c>
      <c r="K20" s="383">
        <v>30.4</v>
      </c>
      <c r="L20" s="383">
        <v>30.4</v>
      </c>
      <c r="M20" s="383">
        <v>30.4</v>
      </c>
      <c r="N20" s="383">
        <v>30.4</v>
      </c>
      <c r="O20" s="383">
        <v>30.4</v>
      </c>
      <c r="P20" s="383">
        <f t="shared" si="2"/>
        <v>396.7999999999999</v>
      </c>
    </row>
    <row r="21" spans="1:17" ht="21.75" customHeight="1" outlineLevel="1">
      <c r="A21" s="64" t="s">
        <v>414</v>
      </c>
      <c r="B21" s="238" t="s">
        <v>398</v>
      </c>
      <c r="C21" s="383">
        <v>24.6</v>
      </c>
      <c r="D21" s="383">
        <v>24.6</v>
      </c>
      <c r="E21" s="383">
        <v>24.6</v>
      </c>
      <c r="F21" s="383">
        <v>24.6</v>
      </c>
      <c r="G21" s="383"/>
      <c r="H21" s="383"/>
      <c r="I21" s="383"/>
      <c r="J21" s="383"/>
      <c r="K21" s="383"/>
      <c r="L21" s="383"/>
      <c r="M21" s="383"/>
      <c r="N21" s="383"/>
      <c r="O21" s="383"/>
      <c r="P21" s="383">
        <f t="shared" si="2"/>
        <v>98.4</v>
      </c>
    </row>
    <row r="22" spans="1:17" ht="21.75" customHeight="1">
      <c r="B22" s="238"/>
      <c r="C22" s="383"/>
      <c r="D22" s="383"/>
      <c r="E22" s="383"/>
      <c r="F22" s="383"/>
      <c r="G22" s="383"/>
      <c r="H22" s="383"/>
      <c r="I22" s="383"/>
      <c r="J22" s="383"/>
      <c r="K22" s="383"/>
      <c r="L22" s="383"/>
      <c r="M22" s="383"/>
      <c r="N22" s="383"/>
      <c r="O22" s="383"/>
      <c r="P22" s="383"/>
    </row>
    <row r="23" spans="1:17" ht="21.75" customHeight="1">
      <c r="A23" s="64" t="s">
        <v>414</v>
      </c>
      <c r="B23" s="381" t="s">
        <v>680</v>
      </c>
      <c r="C23" s="384">
        <f t="shared" ref="C23:P23" si="3">SUM(C24:C26)</f>
        <v>45.8</v>
      </c>
      <c r="D23" s="384">
        <f t="shared" si="3"/>
        <v>45.8</v>
      </c>
      <c r="E23" s="384">
        <f t="shared" si="3"/>
        <v>45.8</v>
      </c>
      <c r="F23" s="384">
        <f t="shared" si="3"/>
        <v>56</v>
      </c>
      <c r="G23" s="384">
        <f t="shared" si="3"/>
        <v>56</v>
      </c>
      <c r="H23" s="384">
        <f t="shared" si="3"/>
        <v>56</v>
      </c>
      <c r="I23" s="384">
        <f t="shared" si="3"/>
        <v>56</v>
      </c>
      <c r="J23" s="384">
        <f t="shared" si="3"/>
        <v>33.6</v>
      </c>
      <c r="K23" s="384">
        <f t="shared" si="3"/>
        <v>0</v>
      </c>
      <c r="L23" s="384">
        <f t="shared" si="3"/>
        <v>0</v>
      </c>
      <c r="M23" s="384">
        <f t="shared" si="3"/>
        <v>0</v>
      </c>
      <c r="N23" s="384">
        <f t="shared" si="3"/>
        <v>0</v>
      </c>
      <c r="O23" s="384">
        <f t="shared" si="3"/>
        <v>0</v>
      </c>
      <c r="P23" s="384">
        <f t="shared" si="3"/>
        <v>395</v>
      </c>
      <c r="Q23" s="487">
        <f>P23*10.764</f>
        <v>4251.78</v>
      </c>
    </row>
    <row r="24" spans="1:17" ht="21.75" customHeight="1" outlineLevel="1">
      <c r="A24" s="64" t="s">
        <v>414</v>
      </c>
      <c r="B24" s="238" t="s">
        <v>399</v>
      </c>
      <c r="C24" s="383">
        <v>16.8</v>
      </c>
      <c r="D24" s="383">
        <v>16.8</v>
      </c>
      <c r="E24" s="383">
        <v>16.8</v>
      </c>
      <c r="F24" s="383">
        <v>16.8</v>
      </c>
      <c r="G24" s="383">
        <v>16.8</v>
      </c>
      <c r="H24" s="383">
        <v>16.8</v>
      </c>
      <c r="I24" s="383">
        <v>16.8</v>
      </c>
      <c r="J24" s="383">
        <v>16.8</v>
      </c>
      <c r="K24" s="383"/>
      <c r="L24" s="383"/>
      <c r="M24" s="383"/>
      <c r="N24" s="383"/>
      <c r="O24" s="383"/>
      <c r="P24" s="383">
        <f t="shared" ref="P24:P26" si="4">SUM(C24:O24)</f>
        <v>134.4</v>
      </c>
    </row>
    <row r="25" spans="1:17" ht="21.75" customHeight="1" outlineLevel="1">
      <c r="A25" s="64" t="s">
        <v>414</v>
      </c>
      <c r="B25" s="238" t="s">
        <v>400</v>
      </c>
      <c r="C25" s="383">
        <v>16.8</v>
      </c>
      <c r="D25" s="383">
        <v>16.8</v>
      </c>
      <c r="E25" s="383">
        <v>16.8</v>
      </c>
      <c r="F25" s="383">
        <v>16.8</v>
      </c>
      <c r="G25" s="383">
        <v>16.8</v>
      </c>
      <c r="H25" s="383">
        <v>16.8</v>
      </c>
      <c r="I25" s="383">
        <v>16.8</v>
      </c>
      <c r="J25" s="383">
        <v>16.8</v>
      </c>
      <c r="K25" s="383"/>
      <c r="L25" s="383"/>
      <c r="M25" s="383"/>
      <c r="N25" s="383"/>
      <c r="O25" s="383"/>
      <c r="P25" s="383">
        <f t="shared" si="4"/>
        <v>134.4</v>
      </c>
    </row>
    <row r="26" spans="1:17" ht="21.75" customHeight="1" outlineLevel="1">
      <c r="A26" s="64" t="s">
        <v>414</v>
      </c>
      <c r="B26" s="238" t="s">
        <v>403</v>
      </c>
      <c r="C26" s="383">
        <v>12.2</v>
      </c>
      <c r="D26" s="383">
        <v>12.2</v>
      </c>
      <c r="E26" s="383">
        <v>12.2</v>
      </c>
      <c r="F26" s="383">
        <v>22.4</v>
      </c>
      <c r="G26" s="383">
        <v>22.4</v>
      </c>
      <c r="H26" s="383">
        <v>22.4</v>
      </c>
      <c r="I26" s="383">
        <v>22.4</v>
      </c>
      <c r="J26" s="383"/>
      <c r="K26" s="383"/>
      <c r="L26" s="383"/>
      <c r="M26" s="383"/>
      <c r="N26" s="383"/>
      <c r="O26" s="383"/>
      <c r="P26" s="383">
        <f t="shared" si="4"/>
        <v>126.19999999999999</v>
      </c>
    </row>
    <row r="27" spans="1:17" ht="21.75" customHeight="1" outlineLevel="1">
      <c r="A27" s="64" t="s">
        <v>414</v>
      </c>
      <c r="B27" s="238" t="s">
        <v>408</v>
      </c>
      <c r="C27" s="383"/>
      <c r="D27" s="383"/>
      <c r="E27" s="383"/>
      <c r="F27" s="383"/>
      <c r="G27" s="383">
        <v>104.3</v>
      </c>
      <c r="H27" s="383">
        <v>54.17</v>
      </c>
      <c r="I27" s="383">
        <v>56.14</v>
      </c>
      <c r="J27" s="383">
        <v>276.2</v>
      </c>
      <c r="K27" s="383"/>
      <c r="L27" s="383"/>
      <c r="M27" s="383"/>
      <c r="N27" s="383"/>
      <c r="O27" s="383"/>
      <c r="P27" s="383">
        <f>SUM(C27:O27)</f>
        <v>490.81</v>
      </c>
    </row>
    <row r="28" spans="1:17" ht="21.75" customHeight="1" outlineLevel="1">
      <c r="B28" s="238" t="s">
        <v>642</v>
      </c>
      <c r="C28" s="383"/>
      <c r="D28" s="383">
        <v>47</v>
      </c>
      <c r="E28" s="383"/>
      <c r="F28" s="383">
        <v>70</v>
      </c>
      <c r="G28" s="383"/>
      <c r="H28" s="383"/>
      <c r="I28" s="383">
        <v>84.2</v>
      </c>
      <c r="J28" s="383">
        <v>80.400000000000006</v>
      </c>
      <c r="K28" s="383"/>
      <c r="L28" s="383"/>
      <c r="M28" s="383"/>
      <c r="N28" s="383"/>
      <c r="O28" s="383"/>
      <c r="P28" s="383">
        <f t="shared" ref="P28" si="5">SUM(C28:O28)</f>
        <v>281.60000000000002</v>
      </c>
    </row>
    <row r="29" spans="1:17" ht="21.75" customHeight="1">
      <c r="B29" s="238"/>
      <c r="C29" s="383"/>
      <c r="D29" s="383"/>
      <c r="E29" s="383"/>
      <c r="F29" s="383"/>
      <c r="G29" s="383"/>
      <c r="H29" s="383"/>
      <c r="I29" s="383"/>
      <c r="J29" s="383"/>
      <c r="K29" s="383"/>
      <c r="L29" s="383"/>
      <c r="M29" s="383"/>
      <c r="N29" s="383"/>
      <c r="O29" s="383"/>
      <c r="P29" s="383"/>
    </row>
    <row r="30" spans="1:17" ht="21.75" customHeight="1">
      <c r="A30" s="64" t="s">
        <v>413</v>
      </c>
      <c r="B30" s="381" t="s">
        <v>681</v>
      </c>
      <c r="C30" s="384">
        <f t="shared" ref="C30:P30" si="6">SUM(C31:C33)</f>
        <v>17</v>
      </c>
      <c r="D30" s="384">
        <f t="shared" si="6"/>
        <v>17</v>
      </c>
      <c r="E30" s="384">
        <f t="shared" si="6"/>
        <v>17</v>
      </c>
      <c r="F30" s="384">
        <f t="shared" si="6"/>
        <v>707.80000000000007</v>
      </c>
      <c r="G30" s="384">
        <f t="shared" si="6"/>
        <v>476</v>
      </c>
      <c r="H30" s="384">
        <f t="shared" si="6"/>
        <v>302</v>
      </c>
      <c r="I30" s="384">
        <f t="shared" si="6"/>
        <v>771.48</v>
      </c>
      <c r="J30" s="384">
        <f t="shared" si="6"/>
        <v>907.4</v>
      </c>
      <c r="K30" s="384">
        <f t="shared" si="6"/>
        <v>0</v>
      </c>
      <c r="L30" s="384">
        <f t="shared" si="6"/>
        <v>0</v>
      </c>
      <c r="M30" s="384">
        <f t="shared" si="6"/>
        <v>0</v>
      </c>
      <c r="N30" s="384">
        <f t="shared" si="6"/>
        <v>0</v>
      </c>
      <c r="O30" s="384">
        <f t="shared" si="6"/>
        <v>0</v>
      </c>
      <c r="P30" s="384">
        <f t="shared" si="6"/>
        <v>3215.6800000000003</v>
      </c>
      <c r="Q30" s="487">
        <f>P30*10.764</f>
        <v>34613.579519999999</v>
      </c>
    </row>
    <row r="31" spans="1:17" ht="21.75" customHeight="1" outlineLevel="1">
      <c r="A31" s="64" t="s">
        <v>413</v>
      </c>
      <c r="B31" s="238" t="s">
        <v>405</v>
      </c>
      <c r="C31" s="383"/>
      <c r="D31" s="383"/>
      <c r="E31" s="383"/>
      <c r="F31" s="383">
        <v>677.7</v>
      </c>
      <c r="G31" s="383"/>
      <c r="H31" s="383"/>
      <c r="I31" s="383"/>
      <c r="J31" s="383"/>
      <c r="K31" s="383"/>
      <c r="L31" s="383"/>
      <c r="M31" s="383"/>
      <c r="N31" s="383"/>
      <c r="O31" s="383"/>
      <c r="P31" s="383">
        <f>SUM(C31:O31)</f>
        <v>677.7</v>
      </c>
    </row>
    <row r="32" spans="1:17" ht="21.75" customHeight="1" outlineLevel="1">
      <c r="A32" s="64" t="s">
        <v>413</v>
      </c>
      <c r="B32" s="238" t="s">
        <v>412</v>
      </c>
      <c r="C32" s="383">
        <v>17</v>
      </c>
      <c r="D32" s="383">
        <v>17</v>
      </c>
      <c r="E32" s="383">
        <v>17</v>
      </c>
      <c r="F32" s="383">
        <v>30.1</v>
      </c>
      <c r="G32" s="383"/>
      <c r="H32" s="383"/>
      <c r="I32" s="383"/>
      <c r="J32" s="383"/>
      <c r="K32" s="383"/>
      <c r="L32" s="383"/>
      <c r="M32" s="383"/>
      <c r="N32" s="383"/>
      <c r="O32" s="383"/>
      <c r="P32" s="383">
        <f t="shared" ref="P32:P33" si="7">SUM(C32:O32)</f>
        <v>81.099999999999994</v>
      </c>
    </row>
    <row r="33" spans="1:19" ht="21.75" customHeight="1" outlineLevel="1">
      <c r="A33" s="64" t="s">
        <v>413</v>
      </c>
      <c r="B33" s="238" t="s">
        <v>409</v>
      </c>
      <c r="C33" s="383"/>
      <c r="D33" s="383"/>
      <c r="E33" s="383"/>
      <c r="F33" s="383"/>
      <c r="G33" s="383">
        <v>476</v>
      </c>
      <c r="H33" s="383">
        <v>302</v>
      </c>
      <c r="I33" s="383">
        <v>771.48</v>
      </c>
      <c r="J33" s="383">
        <v>907.4</v>
      </c>
      <c r="K33" s="383"/>
      <c r="L33" s="383"/>
      <c r="M33" s="383"/>
      <c r="N33" s="383"/>
      <c r="O33" s="383"/>
      <c r="P33" s="383">
        <f t="shared" si="7"/>
        <v>2456.88</v>
      </c>
    </row>
    <row r="34" spans="1:19" ht="21.75" customHeight="1">
      <c r="B34" s="238"/>
      <c r="C34" s="383"/>
      <c r="D34" s="383"/>
      <c r="E34" s="383"/>
      <c r="F34" s="383"/>
      <c r="G34" s="383"/>
      <c r="H34" s="383"/>
      <c r="I34" s="383"/>
      <c r="J34" s="383"/>
      <c r="K34" s="383"/>
      <c r="L34" s="383"/>
      <c r="M34" s="383"/>
      <c r="N34" s="383"/>
      <c r="O34" s="383"/>
      <c r="P34" s="383"/>
    </row>
    <row r="35" spans="1:19" ht="21.75" customHeight="1">
      <c r="A35" s="64" t="s">
        <v>414</v>
      </c>
      <c r="B35" s="381" t="s">
        <v>363</v>
      </c>
      <c r="C35" s="384">
        <f t="shared" ref="C35:O35" si="8">SUM(C36:C39)</f>
        <v>34.799999999999997</v>
      </c>
      <c r="D35" s="384">
        <f t="shared" si="8"/>
        <v>34.799999999999997</v>
      </c>
      <c r="E35" s="384">
        <f t="shared" si="8"/>
        <v>34.799999999999997</v>
      </c>
      <c r="F35" s="384">
        <f t="shared" si="8"/>
        <v>80.099999999999994</v>
      </c>
      <c r="G35" s="384">
        <f t="shared" si="8"/>
        <v>34.799999999999997</v>
      </c>
      <c r="H35" s="384">
        <f t="shared" si="8"/>
        <v>34.799999999999997</v>
      </c>
      <c r="I35" s="384">
        <f t="shared" si="8"/>
        <v>34.799999999999997</v>
      </c>
      <c r="J35" s="384">
        <f t="shared" si="8"/>
        <v>34.799999999999997</v>
      </c>
      <c r="K35" s="384">
        <f t="shared" si="8"/>
        <v>64.3</v>
      </c>
      <c r="L35" s="384">
        <f t="shared" si="8"/>
        <v>215.3</v>
      </c>
      <c r="M35" s="384">
        <f t="shared" si="8"/>
        <v>64.3</v>
      </c>
      <c r="N35" s="384">
        <f t="shared" si="8"/>
        <v>64.3</v>
      </c>
      <c r="O35" s="384">
        <f t="shared" si="8"/>
        <v>64.3</v>
      </c>
      <c r="P35" s="384">
        <f>SUM(P36:P38)</f>
        <v>603.40000000000009</v>
      </c>
      <c r="Q35" s="487">
        <f>P35*10.764</f>
        <v>6494.9976000000006</v>
      </c>
      <c r="S35" s="488">
        <f>Q35+Q41</f>
        <v>8982.0198</v>
      </c>
    </row>
    <row r="36" spans="1:19" ht="21.75" customHeight="1" outlineLevel="1">
      <c r="A36" s="64" t="s">
        <v>414</v>
      </c>
      <c r="B36" s="238" t="s">
        <v>401</v>
      </c>
      <c r="C36" s="383">
        <v>26.1</v>
      </c>
      <c r="D36" s="383">
        <v>26.1</v>
      </c>
      <c r="E36" s="383">
        <v>26.1</v>
      </c>
      <c r="F36" s="383">
        <v>26.1</v>
      </c>
      <c r="G36" s="383">
        <v>26.1</v>
      </c>
      <c r="H36" s="383">
        <v>26.1</v>
      </c>
      <c r="I36" s="383">
        <v>26.1</v>
      </c>
      <c r="J36" s="383">
        <v>26.1</v>
      </c>
      <c r="K36" s="383">
        <v>26.1</v>
      </c>
      <c r="L36" s="383">
        <v>26.1</v>
      </c>
      <c r="M36" s="383">
        <v>26.1</v>
      </c>
      <c r="N36" s="383">
        <v>26.1</v>
      </c>
      <c r="O36" s="383">
        <v>26.1</v>
      </c>
      <c r="P36" s="383">
        <f>SUM(C36:O36)</f>
        <v>339.30000000000007</v>
      </c>
    </row>
    <row r="37" spans="1:19" ht="21.75" customHeight="1" outlineLevel="1">
      <c r="A37" s="64" t="s">
        <v>414</v>
      </c>
      <c r="B37" s="238" t="s">
        <v>402</v>
      </c>
      <c r="C37" s="383">
        <v>8.6999999999999993</v>
      </c>
      <c r="D37" s="383">
        <v>8.6999999999999993</v>
      </c>
      <c r="E37" s="383">
        <v>8.6999999999999993</v>
      </c>
      <c r="F37" s="383">
        <v>8.6999999999999993</v>
      </c>
      <c r="G37" s="383">
        <v>8.6999999999999993</v>
      </c>
      <c r="H37" s="383">
        <v>8.6999999999999993</v>
      </c>
      <c r="I37" s="383">
        <v>8.6999999999999993</v>
      </c>
      <c r="J37" s="383">
        <v>8.6999999999999993</v>
      </c>
      <c r="K37" s="383">
        <v>8.6999999999999993</v>
      </c>
      <c r="L37" s="383">
        <v>8.6999999999999993</v>
      </c>
      <c r="M37" s="383">
        <v>8.6999999999999993</v>
      </c>
      <c r="N37" s="383">
        <v>8.6999999999999993</v>
      </c>
      <c r="O37" s="383">
        <v>8.6999999999999993</v>
      </c>
      <c r="P37" s="383">
        <f>SUM(C37:O37)</f>
        <v>113.10000000000002</v>
      </c>
    </row>
    <row r="38" spans="1:19" ht="21.75" customHeight="1" outlineLevel="1">
      <c r="A38" s="64" t="s">
        <v>414</v>
      </c>
      <c r="B38" s="238" t="s">
        <v>407</v>
      </c>
      <c r="C38" s="383"/>
      <c r="D38" s="383"/>
      <c r="E38" s="383"/>
      <c r="F38" s="383"/>
      <c r="G38" s="383"/>
      <c r="H38" s="383"/>
      <c r="I38" s="383"/>
      <c r="J38" s="383"/>
      <c r="K38" s="383"/>
      <c r="L38" s="383">
        <v>151</v>
      </c>
      <c r="M38" s="383"/>
      <c r="N38" s="383"/>
      <c r="O38" s="383"/>
      <c r="P38" s="383">
        <f>SUM(C38:O38)</f>
        <v>151</v>
      </c>
    </row>
    <row r="39" spans="1:19" ht="21.75" customHeight="1" outlineLevel="1">
      <c r="A39" s="64" t="s">
        <v>414</v>
      </c>
      <c r="B39" s="238" t="s">
        <v>410</v>
      </c>
      <c r="C39" s="383"/>
      <c r="D39" s="383"/>
      <c r="E39" s="383"/>
      <c r="F39" s="383">
        <v>45.3</v>
      </c>
      <c r="G39" s="383"/>
      <c r="H39" s="383"/>
      <c r="I39" s="383"/>
      <c r="J39" s="383"/>
      <c r="K39" s="383">
        <v>29.5</v>
      </c>
      <c r="L39" s="383">
        <v>29.5</v>
      </c>
      <c r="M39" s="383">
        <v>29.5</v>
      </c>
      <c r="N39" s="383">
        <v>29.5</v>
      </c>
      <c r="O39" s="383">
        <v>29.5</v>
      </c>
      <c r="P39" s="383"/>
    </row>
    <row r="40" spans="1:19" ht="21.75" customHeight="1">
      <c r="B40" s="238"/>
      <c r="C40" s="383"/>
      <c r="D40" s="383"/>
      <c r="E40" s="383"/>
      <c r="F40" s="383"/>
      <c r="G40" s="383"/>
      <c r="H40" s="383"/>
      <c r="I40" s="383"/>
      <c r="J40" s="383"/>
      <c r="K40" s="383"/>
      <c r="L40" s="383"/>
      <c r="M40" s="383"/>
      <c r="N40" s="383"/>
      <c r="O40" s="383"/>
      <c r="P40" s="383"/>
    </row>
    <row r="41" spans="1:19" ht="21.75" customHeight="1">
      <c r="A41" s="64" t="s">
        <v>413</v>
      </c>
      <c r="B41" s="381" t="s">
        <v>404</v>
      </c>
      <c r="C41" s="384">
        <f t="shared" ref="C41:P41" si="9">SUM(C42:C43)</f>
        <v>24.35</v>
      </c>
      <c r="D41" s="384">
        <f t="shared" si="9"/>
        <v>24.35</v>
      </c>
      <c r="E41" s="384">
        <f t="shared" si="9"/>
        <v>24.35</v>
      </c>
      <c r="F41" s="384">
        <f t="shared" si="9"/>
        <v>42</v>
      </c>
      <c r="G41" s="384">
        <f t="shared" si="9"/>
        <v>116</v>
      </c>
      <c r="H41" s="384">
        <f t="shared" si="9"/>
        <v>0</v>
      </c>
      <c r="I41" s="384">
        <f t="shared" si="9"/>
        <v>0</v>
      </c>
      <c r="J41" s="384">
        <f t="shared" si="9"/>
        <v>0</v>
      </c>
      <c r="K41" s="384">
        <f t="shared" si="9"/>
        <v>228</v>
      </c>
      <c r="L41" s="384">
        <f t="shared" si="9"/>
        <v>271.8</v>
      </c>
      <c r="M41" s="384">
        <f t="shared" si="9"/>
        <v>228</v>
      </c>
      <c r="N41" s="384">
        <f t="shared" si="9"/>
        <v>228</v>
      </c>
      <c r="O41" s="384">
        <f t="shared" si="9"/>
        <v>228</v>
      </c>
      <c r="P41" s="384">
        <f t="shared" si="9"/>
        <v>231.05</v>
      </c>
      <c r="Q41" s="487">
        <f>P41*10.764</f>
        <v>2487.0221999999999</v>
      </c>
      <c r="R41" s="490"/>
    </row>
    <row r="42" spans="1:19" ht="21.75" customHeight="1" outlineLevel="1">
      <c r="A42" s="64" t="s">
        <v>413</v>
      </c>
      <c r="B42" s="238" t="s">
        <v>404</v>
      </c>
      <c r="C42" s="383">
        <v>24.35</v>
      </c>
      <c r="D42" s="383">
        <v>24.35</v>
      </c>
      <c r="E42" s="383">
        <v>24.35</v>
      </c>
      <c r="F42" s="383">
        <v>42</v>
      </c>
      <c r="G42" s="383">
        <v>116</v>
      </c>
      <c r="H42" s="383"/>
      <c r="I42" s="383"/>
      <c r="J42" s="383"/>
      <c r="K42" s="383"/>
      <c r="L42" s="383"/>
      <c r="M42" s="383"/>
      <c r="N42" s="383"/>
      <c r="O42" s="383"/>
      <c r="P42" s="383">
        <f t="shared" ref="P42" si="10">SUM(C42:O42)</f>
        <v>231.05</v>
      </c>
    </row>
    <row r="43" spans="1:19" ht="21.75" customHeight="1" outlineLevel="1">
      <c r="A43" s="64" t="s">
        <v>413</v>
      </c>
      <c r="B43" s="238" t="s">
        <v>411</v>
      </c>
      <c r="C43" s="383"/>
      <c r="D43" s="383"/>
      <c r="E43" s="383"/>
      <c r="F43" s="383"/>
      <c r="G43" s="383"/>
      <c r="H43" s="383"/>
      <c r="I43" s="383"/>
      <c r="J43" s="383"/>
      <c r="K43" s="383">
        <v>228</v>
      </c>
      <c r="L43" s="383">
        <v>271.8</v>
      </c>
      <c r="M43" s="383">
        <v>228</v>
      </c>
      <c r="N43" s="383">
        <v>228</v>
      </c>
      <c r="O43" s="383">
        <v>228</v>
      </c>
      <c r="P43" s="383"/>
    </row>
    <row r="44" spans="1:19" ht="21.75" customHeight="1">
      <c r="R44" s="490"/>
    </row>
    <row r="45" spans="1:19" ht="21.75" customHeight="1">
      <c r="P45" s="489">
        <f>SUM(P4,P23,P30,P35,P41)</f>
        <v>10996.66</v>
      </c>
      <c r="Q45" s="489">
        <f>SUM(Q4,Q23,Q30,Q35,Q41)</f>
        <v>118368.04824</v>
      </c>
    </row>
  </sheetData>
  <mergeCells count="2">
    <mergeCell ref="B2:B3"/>
    <mergeCell ref="B1:Q1"/>
  </mergeCells>
  <hyperlinks>
    <hyperlink ref="R1" location="INDEX!A1" display="INDEX" xr:uid="{00000000-0004-0000-0400-000000000000}"/>
  </hyperlinks>
  <pageMargins left="0.7" right="0.7" top="0.75" bottom="0.75" header="0.3" footer="0.3"/>
  <pageSetup paperSize="9" scale="63" fitToHeight="2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">
    <tabColor rgb="FFFF0000"/>
  </sheetPr>
  <dimension ref="A1:E51"/>
  <sheetViews>
    <sheetView zoomScale="87" zoomScaleNormal="87" zoomScaleSheetLayoutView="90" workbookViewId="0">
      <selection sqref="A1:XFD1"/>
    </sheetView>
  </sheetViews>
  <sheetFormatPr defaultRowHeight="24" customHeight="1"/>
  <cols>
    <col min="1" max="1" width="5.85546875" style="15" customWidth="1"/>
    <col min="2" max="2" width="45.85546875" style="16" customWidth="1"/>
    <col min="3" max="3" width="86.28515625" style="15" customWidth="1"/>
    <col min="4" max="8" width="11.42578125" style="13" customWidth="1"/>
    <col min="9" max="11" width="12" style="13" customWidth="1"/>
    <col min="12" max="256" width="9.140625" style="13"/>
    <col min="257" max="257" width="5.85546875" style="13" customWidth="1"/>
    <col min="258" max="258" width="45.85546875" style="13" customWidth="1"/>
    <col min="259" max="259" width="78" style="13" bestFit="1" customWidth="1"/>
    <col min="260" max="264" width="11.42578125" style="13" customWidth="1"/>
    <col min="265" max="267" width="12" style="13" customWidth="1"/>
    <col min="268" max="512" width="9.140625" style="13"/>
    <col min="513" max="513" width="5.85546875" style="13" customWidth="1"/>
    <col min="514" max="514" width="45.85546875" style="13" customWidth="1"/>
    <col min="515" max="515" width="78" style="13" bestFit="1" customWidth="1"/>
    <col min="516" max="520" width="11.42578125" style="13" customWidth="1"/>
    <col min="521" max="523" width="12" style="13" customWidth="1"/>
    <col min="524" max="768" width="9.140625" style="13"/>
    <col min="769" max="769" width="5.85546875" style="13" customWidth="1"/>
    <col min="770" max="770" width="45.85546875" style="13" customWidth="1"/>
    <col min="771" max="771" width="78" style="13" bestFit="1" customWidth="1"/>
    <col min="772" max="776" width="11.42578125" style="13" customWidth="1"/>
    <col min="777" max="779" width="12" style="13" customWidth="1"/>
    <col min="780" max="1024" width="9.140625" style="13"/>
    <col min="1025" max="1025" width="5.85546875" style="13" customWidth="1"/>
    <col min="1026" max="1026" width="45.85546875" style="13" customWidth="1"/>
    <col min="1027" max="1027" width="78" style="13" bestFit="1" customWidth="1"/>
    <col min="1028" max="1032" width="11.42578125" style="13" customWidth="1"/>
    <col min="1033" max="1035" width="12" style="13" customWidth="1"/>
    <col min="1036" max="1280" width="9.140625" style="13"/>
    <col min="1281" max="1281" width="5.85546875" style="13" customWidth="1"/>
    <col min="1282" max="1282" width="45.85546875" style="13" customWidth="1"/>
    <col min="1283" max="1283" width="78" style="13" bestFit="1" customWidth="1"/>
    <col min="1284" max="1288" width="11.42578125" style="13" customWidth="1"/>
    <col min="1289" max="1291" width="12" style="13" customWidth="1"/>
    <col min="1292" max="1536" width="9.140625" style="13"/>
    <col min="1537" max="1537" width="5.85546875" style="13" customWidth="1"/>
    <col min="1538" max="1538" width="45.85546875" style="13" customWidth="1"/>
    <col min="1539" max="1539" width="78" style="13" bestFit="1" customWidth="1"/>
    <col min="1540" max="1544" width="11.42578125" style="13" customWidth="1"/>
    <col min="1545" max="1547" width="12" style="13" customWidth="1"/>
    <col min="1548" max="1792" width="9.140625" style="13"/>
    <col min="1793" max="1793" width="5.85546875" style="13" customWidth="1"/>
    <col min="1794" max="1794" width="45.85546875" style="13" customWidth="1"/>
    <col min="1795" max="1795" width="78" style="13" bestFit="1" customWidth="1"/>
    <col min="1796" max="1800" width="11.42578125" style="13" customWidth="1"/>
    <col min="1801" max="1803" width="12" style="13" customWidth="1"/>
    <col min="1804" max="2048" width="9.140625" style="13"/>
    <col min="2049" max="2049" width="5.85546875" style="13" customWidth="1"/>
    <col min="2050" max="2050" width="45.85546875" style="13" customWidth="1"/>
    <col min="2051" max="2051" width="78" style="13" bestFit="1" customWidth="1"/>
    <col min="2052" max="2056" width="11.42578125" style="13" customWidth="1"/>
    <col min="2057" max="2059" width="12" style="13" customWidth="1"/>
    <col min="2060" max="2304" width="9.140625" style="13"/>
    <col min="2305" max="2305" width="5.85546875" style="13" customWidth="1"/>
    <col min="2306" max="2306" width="45.85546875" style="13" customWidth="1"/>
    <col min="2307" max="2307" width="78" style="13" bestFit="1" customWidth="1"/>
    <col min="2308" max="2312" width="11.42578125" style="13" customWidth="1"/>
    <col min="2313" max="2315" width="12" style="13" customWidth="1"/>
    <col min="2316" max="2560" width="9.140625" style="13"/>
    <col min="2561" max="2561" width="5.85546875" style="13" customWidth="1"/>
    <col min="2562" max="2562" width="45.85546875" style="13" customWidth="1"/>
    <col min="2563" max="2563" width="78" style="13" bestFit="1" customWidth="1"/>
    <col min="2564" max="2568" width="11.42578125" style="13" customWidth="1"/>
    <col min="2569" max="2571" width="12" style="13" customWidth="1"/>
    <col min="2572" max="2816" width="9.140625" style="13"/>
    <col min="2817" max="2817" width="5.85546875" style="13" customWidth="1"/>
    <col min="2818" max="2818" width="45.85546875" style="13" customWidth="1"/>
    <col min="2819" max="2819" width="78" style="13" bestFit="1" customWidth="1"/>
    <col min="2820" max="2824" width="11.42578125" style="13" customWidth="1"/>
    <col min="2825" max="2827" width="12" style="13" customWidth="1"/>
    <col min="2828" max="3072" width="9.140625" style="13"/>
    <col min="3073" max="3073" width="5.85546875" style="13" customWidth="1"/>
    <col min="3074" max="3074" width="45.85546875" style="13" customWidth="1"/>
    <col min="3075" max="3075" width="78" style="13" bestFit="1" customWidth="1"/>
    <col min="3076" max="3080" width="11.42578125" style="13" customWidth="1"/>
    <col min="3081" max="3083" width="12" style="13" customWidth="1"/>
    <col min="3084" max="3328" width="9.140625" style="13"/>
    <col min="3329" max="3329" width="5.85546875" style="13" customWidth="1"/>
    <col min="3330" max="3330" width="45.85546875" style="13" customWidth="1"/>
    <col min="3331" max="3331" width="78" style="13" bestFit="1" customWidth="1"/>
    <col min="3332" max="3336" width="11.42578125" style="13" customWidth="1"/>
    <col min="3337" max="3339" width="12" style="13" customWidth="1"/>
    <col min="3340" max="3584" width="9.140625" style="13"/>
    <col min="3585" max="3585" width="5.85546875" style="13" customWidth="1"/>
    <col min="3586" max="3586" width="45.85546875" style="13" customWidth="1"/>
    <col min="3587" max="3587" width="78" style="13" bestFit="1" customWidth="1"/>
    <col min="3588" max="3592" width="11.42578125" style="13" customWidth="1"/>
    <col min="3593" max="3595" width="12" style="13" customWidth="1"/>
    <col min="3596" max="3840" width="9.140625" style="13"/>
    <col min="3841" max="3841" width="5.85546875" style="13" customWidth="1"/>
    <col min="3842" max="3842" width="45.85546875" style="13" customWidth="1"/>
    <col min="3843" max="3843" width="78" style="13" bestFit="1" customWidth="1"/>
    <col min="3844" max="3848" width="11.42578125" style="13" customWidth="1"/>
    <col min="3849" max="3851" width="12" style="13" customWidth="1"/>
    <col min="3852" max="4096" width="9.140625" style="13"/>
    <col min="4097" max="4097" width="5.85546875" style="13" customWidth="1"/>
    <col min="4098" max="4098" width="45.85546875" style="13" customWidth="1"/>
    <col min="4099" max="4099" width="78" style="13" bestFit="1" customWidth="1"/>
    <col min="4100" max="4104" width="11.42578125" style="13" customWidth="1"/>
    <col min="4105" max="4107" width="12" style="13" customWidth="1"/>
    <col min="4108" max="4352" width="9.140625" style="13"/>
    <col min="4353" max="4353" width="5.85546875" style="13" customWidth="1"/>
    <col min="4354" max="4354" width="45.85546875" style="13" customWidth="1"/>
    <col min="4355" max="4355" width="78" style="13" bestFit="1" customWidth="1"/>
    <col min="4356" max="4360" width="11.42578125" style="13" customWidth="1"/>
    <col min="4361" max="4363" width="12" style="13" customWidth="1"/>
    <col min="4364" max="4608" width="9.140625" style="13"/>
    <col min="4609" max="4609" width="5.85546875" style="13" customWidth="1"/>
    <col min="4610" max="4610" width="45.85546875" style="13" customWidth="1"/>
    <col min="4611" max="4611" width="78" style="13" bestFit="1" customWidth="1"/>
    <col min="4612" max="4616" width="11.42578125" style="13" customWidth="1"/>
    <col min="4617" max="4619" width="12" style="13" customWidth="1"/>
    <col min="4620" max="4864" width="9.140625" style="13"/>
    <col min="4865" max="4865" width="5.85546875" style="13" customWidth="1"/>
    <col min="4866" max="4866" width="45.85546875" style="13" customWidth="1"/>
    <col min="4867" max="4867" width="78" style="13" bestFit="1" customWidth="1"/>
    <col min="4868" max="4872" width="11.42578125" style="13" customWidth="1"/>
    <col min="4873" max="4875" width="12" style="13" customWidth="1"/>
    <col min="4876" max="5120" width="9.140625" style="13"/>
    <col min="5121" max="5121" width="5.85546875" style="13" customWidth="1"/>
    <col min="5122" max="5122" width="45.85546875" style="13" customWidth="1"/>
    <col min="5123" max="5123" width="78" style="13" bestFit="1" customWidth="1"/>
    <col min="5124" max="5128" width="11.42578125" style="13" customWidth="1"/>
    <col min="5129" max="5131" width="12" style="13" customWidth="1"/>
    <col min="5132" max="5376" width="9.140625" style="13"/>
    <col min="5377" max="5377" width="5.85546875" style="13" customWidth="1"/>
    <col min="5378" max="5378" width="45.85546875" style="13" customWidth="1"/>
    <col min="5379" max="5379" width="78" style="13" bestFit="1" customWidth="1"/>
    <col min="5380" max="5384" width="11.42578125" style="13" customWidth="1"/>
    <col min="5385" max="5387" width="12" style="13" customWidth="1"/>
    <col min="5388" max="5632" width="9.140625" style="13"/>
    <col min="5633" max="5633" width="5.85546875" style="13" customWidth="1"/>
    <col min="5634" max="5634" width="45.85546875" style="13" customWidth="1"/>
    <col min="5635" max="5635" width="78" style="13" bestFit="1" customWidth="1"/>
    <col min="5636" max="5640" width="11.42578125" style="13" customWidth="1"/>
    <col min="5641" max="5643" width="12" style="13" customWidth="1"/>
    <col min="5644" max="5888" width="9.140625" style="13"/>
    <col min="5889" max="5889" width="5.85546875" style="13" customWidth="1"/>
    <col min="5890" max="5890" width="45.85546875" style="13" customWidth="1"/>
    <col min="5891" max="5891" width="78" style="13" bestFit="1" customWidth="1"/>
    <col min="5892" max="5896" width="11.42578125" style="13" customWidth="1"/>
    <col min="5897" max="5899" width="12" style="13" customWidth="1"/>
    <col min="5900" max="6144" width="9.140625" style="13"/>
    <col min="6145" max="6145" width="5.85546875" style="13" customWidth="1"/>
    <col min="6146" max="6146" width="45.85546875" style="13" customWidth="1"/>
    <col min="6147" max="6147" width="78" style="13" bestFit="1" customWidth="1"/>
    <col min="6148" max="6152" width="11.42578125" style="13" customWidth="1"/>
    <col min="6153" max="6155" width="12" style="13" customWidth="1"/>
    <col min="6156" max="6400" width="9.140625" style="13"/>
    <col min="6401" max="6401" width="5.85546875" style="13" customWidth="1"/>
    <col min="6402" max="6402" width="45.85546875" style="13" customWidth="1"/>
    <col min="6403" max="6403" width="78" style="13" bestFit="1" customWidth="1"/>
    <col min="6404" max="6408" width="11.42578125" style="13" customWidth="1"/>
    <col min="6409" max="6411" width="12" style="13" customWidth="1"/>
    <col min="6412" max="6656" width="9.140625" style="13"/>
    <col min="6657" max="6657" width="5.85546875" style="13" customWidth="1"/>
    <col min="6658" max="6658" width="45.85546875" style="13" customWidth="1"/>
    <col min="6659" max="6659" width="78" style="13" bestFit="1" customWidth="1"/>
    <col min="6660" max="6664" width="11.42578125" style="13" customWidth="1"/>
    <col min="6665" max="6667" width="12" style="13" customWidth="1"/>
    <col min="6668" max="6912" width="9.140625" style="13"/>
    <col min="6913" max="6913" width="5.85546875" style="13" customWidth="1"/>
    <col min="6914" max="6914" width="45.85546875" style="13" customWidth="1"/>
    <col min="6915" max="6915" width="78" style="13" bestFit="1" customWidth="1"/>
    <col min="6916" max="6920" width="11.42578125" style="13" customWidth="1"/>
    <col min="6921" max="6923" width="12" style="13" customWidth="1"/>
    <col min="6924" max="7168" width="9.140625" style="13"/>
    <col min="7169" max="7169" width="5.85546875" style="13" customWidth="1"/>
    <col min="7170" max="7170" width="45.85546875" style="13" customWidth="1"/>
    <col min="7171" max="7171" width="78" style="13" bestFit="1" customWidth="1"/>
    <col min="7172" max="7176" width="11.42578125" style="13" customWidth="1"/>
    <col min="7177" max="7179" width="12" style="13" customWidth="1"/>
    <col min="7180" max="7424" width="9.140625" style="13"/>
    <col min="7425" max="7425" width="5.85546875" style="13" customWidth="1"/>
    <col min="7426" max="7426" width="45.85546875" style="13" customWidth="1"/>
    <col min="7427" max="7427" width="78" style="13" bestFit="1" customWidth="1"/>
    <col min="7428" max="7432" width="11.42578125" style="13" customWidth="1"/>
    <col min="7433" max="7435" width="12" style="13" customWidth="1"/>
    <col min="7436" max="7680" width="9.140625" style="13"/>
    <col min="7681" max="7681" width="5.85546875" style="13" customWidth="1"/>
    <col min="7682" max="7682" width="45.85546875" style="13" customWidth="1"/>
    <col min="7683" max="7683" width="78" style="13" bestFit="1" customWidth="1"/>
    <col min="7684" max="7688" width="11.42578125" style="13" customWidth="1"/>
    <col min="7689" max="7691" width="12" style="13" customWidth="1"/>
    <col min="7692" max="7936" width="9.140625" style="13"/>
    <col min="7937" max="7937" width="5.85546875" style="13" customWidth="1"/>
    <col min="7938" max="7938" width="45.85546875" style="13" customWidth="1"/>
    <col min="7939" max="7939" width="78" style="13" bestFit="1" customWidth="1"/>
    <col min="7940" max="7944" width="11.42578125" style="13" customWidth="1"/>
    <col min="7945" max="7947" width="12" style="13" customWidth="1"/>
    <col min="7948" max="8192" width="9.140625" style="13"/>
    <col min="8193" max="8193" width="5.85546875" style="13" customWidth="1"/>
    <col min="8194" max="8194" width="45.85546875" style="13" customWidth="1"/>
    <col min="8195" max="8195" width="78" style="13" bestFit="1" customWidth="1"/>
    <col min="8196" max="8200" width="11.42578125" style="13" customWidth="1"/>
    <col min="8201" max="8203" width="12" style="13" customWidth="1"/>
    <col min="8204" max="8448" width="9.140625" style="13"/>
    <col min="8449" max="8449" width="5.85546875" style="13" customWidth="1"/>
    <col min="8450" max="8450" width="45.85546875" style="13" customWidth="1"/>
    <col min="8451" max="8451" width="78" style="13" bestFit="1" customWidth="1"/>
    <col min="8452" max="8456" width="11.42578125" style="13" customWidth="1"/>
    <col min="8457" max="8459" width="12" style="13" customWidth="1"/>
    <col min="8460" max="8704" width="9.140625" style="13"/>
    <col min="8705" max="8705" width="5.85546875" style="13" customWidth="1"/>
    <col min="8706" max="8706" width="45.85546875" style="13" customWidth="1"/>
    <col min="8707" max="8707" width="78" style="13" bestFit="1" customWidth="1"/>
    <col min="8708" max="8712" width="11.42578125" style="13" customWidth="1"/>
    <col min="8713" max="8715" width="12" style="13" customWidth="1"/>
    <col min="8716" max="8960" width="9.140625" style="13"/>
    <col min="8961" max="8961" width="5.85546875" style="13" customWidth="1"/>
    <col min="8962" max="8962" width="45.85546875" style="13" customWidth="1"/>
    <col min="8963" max="8963" width="78" style="13" bestFit="1" customWidth="1"/>
    <col min="8964" max="8968" width="11.42578125" style="13" customWidth="1"/>
    <col min="8969" max="8971" width="12" style="13" customWidth="1"/>
    <col min="8972" max="9216" width="9.140625" style="13"/>
    <col min="9217" max="9217" width="5.85546875" style="13" customWidth="1"/>
    <col min="9218" max="9218" width="45.85546875" style="13" customWidth="1"/>
    <col min="9219" max="9219" width="78" style="13" bestFit="1" customWidth="1"/>
    <col min="9220" max="9224" width="11.42578125" style="13" customWidth="1"/>
    <col min="9225" max="9227" width="12" style="13" customWidth="1"/>
    <col min="9228" max="9472" width="9.140625" style="13"/>
    <col min="9473" max="9473" width="5.85546875" style="13" customWidth="1"/>
    <col min="9474" max="9474" width="45.85546875" style="13" customWidth="1"/>
    <col min="9475" max="9475" width="78" style="13" bestFit="1" customWidth="1"/>
    <col min="9476" max="9480" width="11.42578125" style="13" customWidth="1"/>
    <col min="9481" max="9483" width="12" style="13" customWidth="1"/>
    <col min="9484" max="9728" width="9.140625" style="13"/>
    <col min="9729" max="9729" width="5.85546875" style="13" customWidth="1"/>
    <col min="9730" max="9730" width="45.85546875" style="13" customWidth="1"/>
    <col min="9731" max="9731" width="78" style="13" bestFit="1" customWidth="1"/>
    <col min="9732" max="9736" width="11.42578125" style="13" customWidth="1"/>
    <col min="9737" max="9739" width="12" style="13" customWidth="1"/>
    <col min="9740" max="9984" width="9.140625" style="13"/>
    <col min="9985" max="9985" width="5.85546875" style="13" customWidth="1"/>
    <col min="9986" max="9986" width="45.85546875" style="13" customWidth="1"/>
    <col min="9987" max="9987" width="78" style="13" bestFit="1" customWidth="1"/>
    <col min="9988" max="9992" width="11.42578125" style="13" customWidth="1"/>
    <col min="9993" max="9995" width="12" style="13" customWidth="1"/>
    <col min="9996" max="10240" width="9.140625" style="13"/>
    <col min="10241" max="10241" width="5.85546875" style="13" customWidth="1"/>
    <col min="10242" max="10242" width="45.85546875" style="13" customWidth="1"/>
    <col min="10243" max="10243" width="78" style="13" bestFit="1" customWidth="1"/>
    <col min="10244" max="10248" width="11.42578125" style="13" customWidth="1"/>
    <col min="10249" max="10251" width="12" style="13" customWidth="1"/>
    <col min="10252" max="10496" width="9.140625" style="13"/>
    <col min="10497" max="10497" width="5.85546875" style="13" customWidth="1"/>
    <col min="10498" max="10498" width="45.85546875" style="13" customWidth="1"/>
    <col min="10499" max="10499" width="78" style="13" bestFit="1" customWidth="1"/>
    <col min="10500" max="10504" width="11.42578125" style="13" customWidth="1"/>
    <col min="10505" max="10507" width="12" style="13" customWidth="1"/>
    <col min="10508" max="10752" width="9.140625" style="13"/>
    <col min="10753" max="10753" width="5.85546875" style="13" customWidth="1"/>
    <col min="10754" max="10754" width="45.85546875" style="13" customWidth="1"/>
    <col min="10755" max="10755" width="78" style="13" bestFit="1" customWidth="1"/>
    <col min="10756" max="10760" width="11.42578125" style="13" customWidth="1"/>
    <col min="10761" max="10763" width="12" style="13" customWidth="1"/>
    <col min="10764" max="11008" width="9.140625" style="13"/>
    <col min="11009" max="11009" width="5.85546875" style="13" customWidth="1"/>
    <col min="11010" max="11010" width="45.85546875" style="13" customWidth="1"/>
    <col min="11011" max="11011" width="78" style="13" bestFit="1" customWidth="1"/>
    <col min="11012" max="11016" width="11.42578125" style="13" customWidth="1"/>
    <col min="11017" max="11019" width="12" style="13" customWidth="1"/>
    <col min="11020" max="11264" width="9.140625" style="13"/>
    <col min="11265" max="11265" width="5.85546875" style="13" customWidth="1"/>
    <col min="11266" max="11266" width="45.85546875" style="13" customWidth="1"/>
    <col min="11267" max="11267" width="78" style="13" bestFit="1" customWidth="1"/>
    <col min="11268" max="11272" width="11.42578125" style="13" customWidth="1"/>
    <col min="11273" max="11275" width="12" style="13" customWidth="1"/>
    <col min="11276" max="11520" width="9.140625" style="13"/>
    <col min="11521" max="11521" width="5.85546875" style="13" customWidth="1"/>
    <col min="11522" max="11522" width="45.85546875" style="13" customWidth="1"/>
    <col min="11523" max="11523" width="78" style="13" bestFit="1" customWidth="1"/>
    <col min="11524" max="11528" width="11.42578125" style="13" customWidth="1"/>
    <col min="11529" max="11531" width="12" style="13" customWidth="1"/>
    <col min="11532" max="11776" width="9.140625" style="13"/>
    <col min="11777" max="11777" width="5.85546875" style="13" customWidth="1"/>
    <col min="11778" max="11778" width="45.85546875" style="13" customWidth="1"/>
    <col min="11779" max="11779" width="78" style="13" bestFit="1" customWidth="1"/>
    <col min="11780" max="11784" width="11.42578125" style="13" customWidth="1"/>
    <col min="11785" max="11787" width="12" style="13" customWidth="1"/>
    <col min="11788" max="12032" width="9.140625" style="13"/>
    <col min="12033" max="12033" width="5.85546875" style="13" customWidth="1"/>
    <col min="12034" max="12034" width="45.85546875" style="13" customWidth="1"/>
    <col min="12035" max="12035" width="78" style="13" bestFit="1" customWidth="1"/>
    <col min="12036" max="12040" width="11.42578125" style="13" customWidth="1"/>
    <col min="12041" max="12043" width="12" style="13" customWidth="1"/>
    <col min="12044" max="12288" width="9.140625" style="13"/>
    <col min="12289" max="12289" width="5.85546875" style="13" customWidth="1"/>
    <col min="12290" max="12290" width="45.85546875" style="13" customWidth="1"/>
    <col min="12291" max="12291" width="78" style="13" bestFit="1" customWidth="1"/>
    <col min="12292" max="12296" width="11.42578125" style="13" customWidth="1"/>
    <col min="12297" max="12299" width="12" style="13" customWidth="1"/>
    <col min="12300" max="12544" width="9.140625" style="13"/>
    <col min="12545" max="12545" width="5.85546875" style="13" customWidth="1"/>
    <col min="12546" max="12546" width="45.85546875" style="13" customWidth="1"/>
    <col min="12547" max="12547" width="78" style="13" bestFit="1" customWidth="1"/>
    <col min="12548" max="12552" width="11.42578125" style="13" customWidth="1"/>
    <col min="12553" max="12555" width="12" style="13" customWidth="1"/>
    <col min="12556" max="12800" width="9.140625" style="13"/>
    <col min="12801" max="12801" width="5.85546875" style="13" customWidth="1"/>
    <col min="12802" max="12802" width="45.85546875" style="13" customWidth="1"/>
    <col min="12803" max="12803" width="78" style="13" bestFit="1" customWidth="1"/>
    <col min="12804" max="12808" width="11.42578125" style="13" customWidth="1"/>
    <col min="12809" max="12811" width="12" style="13" customWidth="1"/>
    <col min="12812" max="13056" width="9.140625" style="13"/>
    <col min="13057" max="13057" width="5.85546875" style="13" customWidth="1"/>
    <col min="13058" max="13058" width="45.85546875" style="13" customWidth="1"/>
    <col min="13059" max="13059" width="78" style="13" bestFit="1" customWidth="1"/>
    <col min="13060" max="13064" width="11.42578125" style="13" customWidth="1"/>
    <col min="13065" max="13067" width="12" style="13" customWidth="1"/>
    <col min="13068" max="13312" width="9.140625" style="13"/>
    <col min="13313" max="13313" width="5.85546875" style="13" customWidth="1"/>
    <col min="13314" max="13314" width="45.85546875" style="13" customWidth="1"/>
    <col min="13315" max="13315" width="78" style="13" bestFit="1" customWidth="1"/>
    <col min="13316" max="13320" width="11.42578125" style="13" customWidth="1"/>
    <col min="13321" max="13323" width="12" style="13" customWidth="1"/>
    <col min="13324" max="13568" width="9.140625" style="13"/>
    <col min="13569" max="13569" width="5.85546875" style="13" customWidth="1"/>
    <col min="13570" max="13570" width="45.85546875" style="13" customWidth="1"/>
    <col min="13571" max="13571" width="78" style="13" bestFit="1" customWidth="1"/>
    <col min="13572" max="13576" width="11.42578125" style="13" customWidth="1"/>
    <col min="13577" max="13579" width="12" style="13" customWidth="1"/>
    <col min="13580" max="13824" width="9.140625" style="13"/>
    <col min="13825" max="13825" width="5.85546875" style="13" customWidth="1"/>
    <col min="13826" max="13826" width="45.85546875" style="13" customWidth="1"/>
    <col min="13827" max="13827" width="78" style="13" bestFit="1" customWidth="1"/>
    <col min="13828" max="13832" width="11.42578125" style="13" customWidth="1"/>
    <col min="13833" max="13835" width="12" style="13" customWidth="1"/>
    <col min="13836" max="14080" width="9.140625" style="13"/>
    <col min="14081" max="14081" width="5.85546875" style="13" customWidth="1"/>
    <col min="14082" max="14082" width="45.85546875" style="13" customWidth="1"/>
    <col min="14083" max="14083" width="78" style="13" bestFit="1" customWidth="1"/>
    <col min="14084" max="14088" width="11.42578125" style="13" customWidth="1"/>
    <col min="14089" max="14091" width="12" style="13" customWidth="1"/>
    <col min="14092" max="14336" width="9.140625" style="13"/>
    <col min="14337" max="14337" width="5.85546875" style="13" customWidth="1"/>
    <col min="14338" max="14338" width="45.85546875" style="13" customWidth="1"/>
    <col min="14339" max="14339" width="78" style="13" bestFit="1" customWidth="1"/>
    <col min="14340" max="14344" width="11.42578125" style="13" customWidth="1"/>
    <col min="14345" max="14347" width="12" style="13" customWidth="1"/>
    <col min="14348" max="14592" width="9.140625" style="13"/>
    <col min="14593" max="14593" width="5.85546875" style="13" customWidth="1"/>
    <col min="14594" max="14594" width="45.85546875" style="13" customWidth="1"/>
    <col min="14595" max="14595" width="78" style="13" bestFit="1" customWidth="1"/>
    <col min="14596" max="14600" width="11.42578125" style="13" customWidth="1"/>
    <col min="14601" max="14603" width="12" style="13" customWidth="1"/>
    <col min="14604" max="14848" width="9.140625" style="13"/>
    <col min="14849" max="14849" width="5.85546875" style="13" customWidth="1"/>
    <col min="14850" max="14850" width="45.85546875" style="13" customWidth="1"/>
    <col min="14851" max="14851" width="78" style="13" bestFit="1" customWidth="1"/>
    <col min="14852" max="14856" width="11.42578125" style="13" customWidth="1"/>
    <col min="14857" max="14859" width="12" style="13" customWidth="1"/>
    <col min="14860" max="15104" width="9.140625" style="13"/>
    <col min="15105" max="15105" width="5.85546875" style="13" customWidth="1"/>
    <col min="15106" max="15106" width="45.85546875" style="13" customWidth="1"/>
    <col min="15107" max="15107" width="78" style="13" bestFit="1" customWidth="1"/>
    <col min="15108" max="15112" width="11.42578125" style="13" customWidth="1"/>
    <col min="15113" max="15115" width="12" style="13" customWidth="1"/>
    <col min="15116" max="15360" width="9.140625" style="13"/>
    <col min="15361" max="15361" width="5.85546875" style="13" customWidth="1"/>
    <col min="15362" max="15362" width="45.85546875" style="13" customWidth="1"/>
    <col min="15363" max="15363" width="78" style="13" bestFit="1" customWidth="1"/>
    <col min="15364" max="15368" width="11.42578125" style="13" customWidth="1"/>
    <col min="15369" max="15371" width="12" style="13" customWidth="1"/>
    <col min="15372" max="15616" width="9.140625" style="13"/>
    <col min="15617" max="15617" width="5.85546875" style="13" customWidth="1"/>
    <col min="15618" max="15618" width="45.85546875" style="13" customWidth="1"/>
    <col min="15619" max="15619" width="78" style="13" bestFit="1" customWidth="1"/>
    <col min="15620" max="15624" width="11.42578125" style="13" customWidth="1"/>
    <col min="15625" max="15627" width="12" style="13" customWidth="1"/>
    <col min="15628" max="15872" width="9.140625" style="13"/>
    <col min="15873" max="15873" width="5.85546875" style="13" customWidth="1"/>
    <col min="15874" max="15874" width="45.85546875" style="13" customWidth="1"/>
    <col min="15875" max="15875" width="78" style="13" bestFit="1" customWidth="1"/>
    <col min="15876" max="15880" width="11.42578125" style="13" customWidth="1"/>
    <col min="15881" max="15883" width="12" style="13" customWidth="1"/>
    <col min="15884" max="16128" width="9.140625" style="13"/>
    <col min="16129" max="16129" width="5.85546875" style="13" customWidth="1"/>
    <col min="16130" max="16130" width="45.85546875" style="13" customWidth="1"/>
    <col min="16131" max="16131" width="78" style="13" bestFit="1" customWidth="1"/>
    <col min="16132" max="16136" width="11.42578125" style="13" customWidth="1"/>
    <col min="16137" max="16139" width="12" style="13" customWidth="1"/>
    <col min="16140" max="16384" width="9.140625" style="13"/>
  </cols>
  <sheetData>
    <row r="1" spans="1:5" ht="31.5" customHeight="1">
      <c r="A1" s="938" t="s">
        <v>800</v>
      </c>
      <c r="B1" s="939"/>
      <c r="C1" s="940"/>
      <c r="E1" s="270" t="s">
        <v>336</v>
      </c>
    </row>
    <row r="2" spans="1:5" s="14" customFormat="1" ht="17.25" customHeight="1">
      <c r="A2" s="919">
        <v>1</v>
      </c>
      <c r="B2" s="926" t="s">
        <v>150</v>
      </c>
      <c r="C2" s="248" t="s">
        <v>151</v>
      </c>
    </row>
    <row r="3" spans="1:5" s="14" customFormat="1" ht="17.25" customHeight="1">
      <c r="A3" s="921"/>
      <c r="B3" s="932"/>
      <c r="C3" s="248" t="s">
        <v>201</v>
      </c>
    </row>
    <row r="4" spans="1:5" ht="17.25" customHeight="1">
      <c r="A4" s="919">
        <v>2</v>
      </c>
      <c r="B4" s="926" t="s">
        <v>111</v>
      </c>
      <c r="C4" s="249" t="s">
        <v>95</v>
      </c>
    </row>
    <row r="5" spans="1:5" ht="17.25" customHeight="1">
      <c r="A5" s="920"/>
      <c r="B5" s="927"/>
      <c r="C5" s="249" t="s">
        <v>152</v>
      </c>
    </row>
    <row r="6" spans="1:5" ht="17.25" customHeight="1">
      <c r="A6" s="920"/>
      <c r="B6" s="927"/>
      <c r="C6" s="249" t="s">
        <v>153</v>
      </c>
    </row>
    <row r="7" spans="1:5" ht="17.25" customHeight="1">
      <c r="A7" s="921"/>
      <c r="B7" s="932"/>
      <c r="C7" s="249" t="s">
        <v>110</v>
      </c>
    </row>
    <row r="8" spans="1:5" s="14" customFormat="1" ht="17.25" customHeight="1">
      <c r="A8" s="919">
        <v>3</v>
      </c>
      <c r="B8" s="922" t="s">
        <v>154</v>
      </c>
      <c r="C8" s="250" t="s">
        <v>155</v>
      </c>
    </row>
    <row r="9" spans="1:5" s="14" customFormat="1" ht="17.25" customHeight="1">
      <c r="A9" s="920"/>
      <c r="B9" s="923"/>
      <c r="C9" s="250" t="s">
        <v>303</v>
      </c>
    </row>
    <row r="10" spans="1:5" s="14" customFormat="1" ht="17.25" customHeight="1">
      <c r="A10" s="921"/>
      <c r="B10" s="924"/>
      <c r="C10" s="251" t="s">
        <v>156</v>
      </c>
    </row>
    <row r="11" spans="1:5" ht="17.25" customHeight="1">
      <c r="A11" s="929">
        <v>5</v>
      </c>
      <c r="B11" s="926" t="s">
        <v>157</v>
      </c>
      <c r="C11" s="249" t="s">
        <v>104</v>
      </c>
    </row>
    <row r="12" spans="1:5" ht="17.25" customHeight="1">
      <c r="A12" s="930"/>
      <c r="B12" s="927"/>
      <c r="C12" s="249" t="s">
        <v>105</v>
      </c>
    </row>
    <row r="13" spans="1:5" ht="17.25" customHeight="1">
      <c r="A13" s="930"/>
      <c r="B13" s="927"/>
      <c r="C13" s="249" t="s">
        <v>158</v>
      </c>
    </row>
    <row r="14" spans="1:5" ht="17.25" customHeight="1">
      <c r="A14" s="930"/>
      <c r="B14" s="927"/>
      <c r="C14" s="249" t="s">
        <v>159</v>
      </c>
    </row>
    <row r="15" spans="1:5" ht="17.25" customHeight="1">
      <c r="A15" s="930"/>
      <c r="B15" s="927"/>
      <c r="C15" s="249" t="s">
        <v>160</v>
      </c>
    </row>
    <row r="16" spans="1:5" ht="17.25" customHeight="1">
      <c r="A16" s="930"/>
      <c r="B16" s="927"/>
      <c r="C16" s="249" t="s">
        <v>161</v>
      </c>
    </row>
    <row r="17" spans="1:3" ht="17.25" customHeight="1">
      <c r="A17" s="930"/>
      <c r="B17" s="927"/>
      <c r="C17" s="249" t="s">
        <v>107</v>
      </c>
    </row>
    <row r="18" spans="1:3" ht="17.25" customHeight="1">
      <c r="A18" s="930"/>
      <c r="B18" s="927"/>
      <c r="C18" s="249" t="s">
        <v>162</v>
      </c>
    </row>
    <row r="19" spans="1:3" ht="17.25" customHeight="1">
      <c r="A19" s="930"/>
      <c r="B19" s="927"/>
      <c r="C19" s="249" t="s">
        <v>76</v>
      </c>
    </row>
    <row r="20" spans="1:3" ht="17.25" customHeight="1">
      <c r="A20" s="931"/>
      <c r="B20" s="932"/>
      <c r="C20" s="249" t="s">
        <v>163</v>
      </c>
    </row>
    <row r="21" spans="1:3" s="14" customFormat="1" ht="17.25" customHeight="1">
      <c r="A21" s="933">
        <v>6</v>
      </c>
      <c r="B21" s="922" t="s">
        <v>164</v>
      </c>
      <c r="C21" s="249" t="s">
        <v>120</v>
      </c>
    </row>
    <row r="22" spans="1:3" ht="17.25" customHeight="1">
      <c r="A22" s="934"/>
      <c r="B22" s="923"/>
      <c r="C22" s="249" t="s">
        <v>121</v>
      </c>
    </row>
    <row r="23" spans="1:3" ht="17.25" customHeight="1">
      <c r="A23" s="934"/>
      <c r="B23" s="923"/>
      <c r="C23" s="249" t="s">
        <v>122</v>
      </c>
    </row>
    <row r="24" spans="1:3" ht="17.25" customHeight="1">
      <c r="A24" s="934"/>
      <c r="B24" s="923"/>
      <c r="C24" s="249" t="s">
        <v>123</v>
      </c>
    </row>
    <row r="25" spans="1:3" ht="17.25" customHeight="1">
      <c r="A25" s="934"/>
      <c r="B25" s="923"/>
      <c r="C25" s="249" t="s">
        <v>69</v>
      </c>
    </row>
    <row r="26" spans="1:3" ht="17.25" customHeight="1">
      <c r="A26" s="934"/>
      <c r="B26" s="923"/>
      <c r="C26" s="249" t="s">
        <v>75</v>
      </c>
    </row>
    <row r="27" spans="1:3" ht="17.25" customHeight="1">
      <c r="A27" s="935"/>
      <c r="B27" s="924"/>
      <c r="C27" s="249" t="s">
        <v>124</v>
      </c>
    </row>
    <row r="28" spans="1:3" s="14" customFormat="1" ht="17.25" customHeight="1">
      <c r="A28" s="919">
        <v>7</v>
      </c>
      <c r="B28" s="926" t="s">
        <v>114</v>
      </c>
      <c r="C28" s="251" t="s">
        <v>165</v>
      </c>
    </row>
    <row r="29" spans="1:3" ht="17.25" customHeight="1">
      <c r="A29" s="920"/>
      <c r="B29" s="936"/>
      <c r="C29" s="251" t="s">
        <v>166</v>
      </c>
    </row>
    <row r="30" spans="1:3" ht="17.25" customHeight="1">
      <c r="A30" s="920"/>
      <c r="B30" s="936"/>
      <c r="C30" s="251" t="s">
        <v>109</v>
      </c>
    </row>
    <row r="31" spans="1:3" ht="17.25" customHeight="1">
      <c r="A31" s="920"/>
      <c r="B31" s="936"/>
      <c r="C31" s="251" t="s">
        <v>167</v>
      </c>
    </row>
    <row r="32" spans="1:3" ht="17.25" customHeight="1">
      <c r="A32" s="920"/>
      <c r="B32" s="936"/>
      <c r="C32" s="251" t="s">
        <v>168</v>
      </c>
    </row>
    <row r="33" spans="1:3" ht="17.25" customHeight="1">
      <c r="A33" s="920"/>
      <c r="B33" s="936"/>
      <c r="C33" s="251" t="s">
        <v>169</v>
      </c>
    </row>
    <row r="34" spans="1:3" ht="17.25" customHeight="1">
      <c r="A34" s="920"/>
      <c r="B34" s="936"/>
      <c r="C34" s="251" t="s">
        <v>170</v>
      </c>
    </row>
    <row r="35" spans="1:3" ht="17.25" customHeight="1">
      <c r="A35" s="920"/>
      <c r="B35" s="936"/>
      <c r="C35" s="251" t="s">
        <v>171</v>
      </c>
    </row>
    <row r="36" spans="1:3" ht="17.25" customHeight="1">
      <c r="A36" s="920"/>
      <c r="B36" s="936"/>
      <c r="C36" s="251" t="s">
        <v>0</v>
      </c>
    </row>
    <row r="37" spans="1:3" ht="17.25" customHeight="1">
      <c r="A37" s="920"/>
      <c r="B37" s="936"/>
      <c r="C37" s="251" t="s">
        <v>172</v>
      </c>
    </row>
    <row r="38" spans="1:3" ht="17.25" customHeight="1">
      <c r="A38" s="921"/>
      <c r="B38" s="937"/>
      <c r="C38" s="251" t="s">
        <v>173</v>
      </c>
    </row>
    <row r="39" spans="1:3" ht="17.25" customHeight="1">
      <c r="A39" s="919">
        <v>8</v>
      </c>
      <c r="B39" s="922" t="s">
        <v>133</v>
      </c>
      <c r="C39" s="249" t="s">
        <v>126</v>
      </c>
    </row>
    <row r="40" spans="1:3" ht="17.25" customHeight="1">
      <c r="A40" s="920"/>
      <c r="B40" s="923"/>
      <c r="C40" s="249" t="s">
        <v>127</v>
      </c>
    </row>
    <row r="41" spans="1:3" ht="17.25" customHeight="1">
      <c r="A41" s="920"/>
      <c r="B41" s="923"/>
      <c r="C41" s="249" t="s">
        <v>128</v>
      </c>
    </row>
    <row r="42" spans="1:3" ht="17.25" customHeight="1">
      <c r="A42" s="920"/>
      <c r="B42" s="923"/>
      <c r="C42" s="249" t="s">
        <v>129</v>
      </c>
    </row>
    <row r="43" spans="1:3" ht="17.25" customHeight="1">
      <c r="A43" s="920"/>
      <c r="B43" s="923"/>
      <c r="C43" s="249" t="s">
        <v>130</v>
      </c>
    </row>
    <row r="44" spans="1:3" ht="17.25" customHeight="1">
      <c r="A44" s="920"/>
      <c r="B44" s="923"/>
      <c r="C44" s="249" t="s">
        <v>174</v>
      </c>
    </row>
    <row r="45" spans="1:3" ht="17.25" customHeight="1">
      <c r="A45" s="920"/>
      <c r="B45" s="923"/>
      <c r="C45" s="249" t="s">
        <v>131</v>
      </c>
    </row>
    <row r="46" spans="1:3" ht="17.25" customHeight="1">
      <c r="A46" s="921"/>
      <c r="B46" s="924"/>
      <c r="C46" s="249" t="s">
        <v>132</v>
      </c>
    </row>
    <row r="47" spans="1:3" s="14" customFormat="1" ht="17.25" customHeight="1">
      <c r="A47" s="919">
        <v>9</v>
      </c>
      <c r="B47" s="926" t="s">
        <v>175</v>
      </c>
      <c r="C47" s="249" t="s">
        <v>176</v>
      </c>
    </row>
    <row r="48" spans="1:3" s="14" customFormat="1" ht="17.25" customHeight="1">
      <c r="A48" s="920"/>
      <c r="B48" s="927"/>
      <c r="C48" s="251" t="s">
        <v>134</v>
      </c>
    </row>
    <row r="49" spans="1:3" s="14" customFormat="1" ht="17.25" customHeight="1">
      <c r="A49" s="920"/>
      <c r="B49" s="927"/>
      <c r="C49" s="251" t="s">
        <v>177</v>
      </c>
    </row>
    <row r="50" spans="1:3" ht="17.25" customHeight="1">
      <c r="A50" s="920"/>
      <c r="B50" s="927"/>
      <c r="C50" s="251" t="s">
        <v>135</v>
      </c>
    </row>
    <row r="51" spans="1:3" ht="17.25" customHeight="1" thickBot="1">
      <c r="A51" s="925"/>
      <c r="B51" s="928"/>
      <c r="C51" s="252" t="s">
        <v>139</v>
      </c>
    </row>
  </sheetData>
  <sheetProtection formatCells="0" formatColumns="0" formatRows="0" insertColumns="0" insertRows="0" insertHyperlinks="0" deleteColumns="0" deleteRows="0" selectLockedCells="1" sort="0" autoFilter="0" pivotTables="0"/>
  <mergeCells count="17">
    <mergeCell ref="A8:A10"/>
    <mergeCell ref="B8:B10"/>
    <mergeCell ref="A1:C1"/>
    <mergeCell ref="A2:A3"/>
    <mergeCell ref="B2:B3"/>
    <mergeCell ref="A4:A7"/>
    <mergeCell ref="B4:B7"/>
    <mergeCell ref="A39:A46"/>
    <mergeCell ref="B39:B46"/>
    <mergeCell ref="A47:A51"/>
    <mergeCell ref="B47:B51"/>
    <mergeCell ref="A11:A20"/>
    <mergeCell ref="B11:B20"/>
    <mergeCell ref="A21:A27"/>
    <mergeCell ref="B21:B27"/>
    <mergeCell ref="A28:A38"/>
    <mergeCell ref="B28:B38"/>
  </mergeCells>
  <hyperlinks>
    <hyperlink ref="E1" location="INDEX!A1" display="INDEX" xr:uid="{00000000-0004-0000-0500-000000000000}"/>
  </hyperlinks>
  <pageMargins left="0.52" right="0.06" top="0.56999999999999995" bottom="0.46" header="0.39" footer="0.24"/>
  <pageSetup scale="55" fitToHeight="4" orientation="portrait" r:id="rId1"/>
  <headerFooter alignWithMargins="0">
    <oddHeader xml:space="preserve">&amp;CPrepared by Cushman &amp; Wakefield India   </oddHeader>
    <oddFooter>&amp;CCAM Calculation Report Presented by: Cushman Wakefield India Pvt Ltd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">
    <pageSetUpPr fitToPage="1"/>
  </sheetPr>
  <dimension ref="A1:J21"/>
  <sheetViews>
    <sheetView zoomScale="80" zoomScaleNormal="80" workbookViewId="0">
      <selection activeCell="M11" sqref="M11"/>
    </sheetView>
  </sheetViews>
  <sheetFormatPr defaultColWidth="9.140625" defaultRowHeight="24.75" customHeight="1"/>
  <cols>
    <col min="1" max="1" width="12.42578125" style="18" customWidth="1"/>
    <col min="2" max="2" width="17.85546875" style="18" customWidth="1"/>
    <col min="3" max="3" width="17.85546875" style="23" customWidth="1"/>
    <col min="4" max="4" width="20.5703125" style="23" customWidth="1"/>
    <col min="5" max="5" width="17.85546875" style="18" customWidth="1"/>
    <col min="6" max="6" width="34.42578125" style="18" bestFit="1" customWidth="1"/>
    <col min="7" max="7" width="16.85546875" style="18" customWidth="1"/>
    <col min="8" max="8" width="9.28515625" style="18" customWidth="1"/>
    <col min="9" max="9" width="9.140625" style="18"/>
    <col min="10" max="10" width="9.85546875" style="18" bestFit="1" customWidth="1"/>
    <col min="11" max="16384" width="9.140625" style="18"/>
  </cols>
  <sheetData>
    <row r="1" spans="1:10" ht="29.25" customHeight="1" thickBot="1">
      <c r="A1" s="946" t="s">
        <v>799</v>
      </c>
      <c r="B1" s="947"/>
      <c r="C1" s="947"/>
      <c r="D1" s="947"/>
      <c r="E1" s="947"/>
      <c r="F1" s="947"/>
      <c r="G1" s="948"/>
    </row>
    <row r="2" spans="1:10" ht="33" customHeight="1" thickBot="1">
      <c r="A2" s="956" t="s">
        <v>194</v>
      </c>
      <c r="B2" s="271"/>
      <c r="C2" s="272"/>
      <c r="D2" s="272"/>
      <c r="E2" s="273"/>
      <c r="F2" s="274" t="s">
        <v>366</v>
      </c>
      <c r="G2" s="57">
        <f>'Area Summary'!D20</f>
        <v>187123.36928799999</v>
      </c>
      <c r="I2" s="304" t="s">
        <v>336</v>
      </c>
    </row>
    <row r="3" spans="1:10" ht="33" customHeight="1" thickBot="1">
      <c r="A3" s="957"/>
      <c r="B3" s="275"/>
      <c r="C3" s="276"/>
      <c r="D3" s="276"/>
      <c r="E3" s="273"/>
      <c r="F3" s="274" t="s">
        <v>367</v>
      </c>
      <c r="G3" s="57">
        <f>'Area Summary'!D29</f>
        <v>287886.02169600001</v>
      </c>
      <c r="J3" s="396">
        <f>G2+G3</f>
        <v>475009.390984</v>
      </c>
    </row>
    <row r="4" spans="1:10" ht="13.5" customHeight="1" thickBot="1">
      <c r="A4" s="49"/>
      <c r="B4" s="277"/>
      <c r="C4" s="277"/>
      <c r="D4" s="277"/>
      <c r="E4" s="278"/>
      <c r="F4" s="278"/>
      <c r="G4" s="279"/>
    </row>
    <row r="5" spans="1:10" ht="33" customHeight="1" thickBot="1">
      <c r="A5" s="950" t="s">
        <v>195</v>
      </c>
      <c r="B5" s="943" t="s">
        <v>178</v>
      </c>
      <c r="C5" s="944"/>
      <c r="D5" s="944"/>
      <c r="E5" s="944"/>
      <c r="F5" s="944"/>
      <c r="G5" s="945"/>
    </row>
    <row r="6" spans="1:10" ht="33" customHeight="1" thickBot="1">
      <c r="A6" s="950"/>
      <c r="B6" s="280"/>
      <c r="C6" s="281"/>
      <c r="D6" s="941" t="s">
        <v>80</v>
      </c>
      <c r="E6" s="952"/>
      <c r="F6" s="941" t="s">
        <v>81</v>
      </c>
      <c r="G6" s="942"/>
    </row>
    <row r="7" spans="1:10" ht="33" customHeight="1">
      <c r="A7" s="950"/>
      <c r="B7" s="280" t="s">
        <v>595</v>
      </c>
      <c r="C7" s="281"/>
      <c r="D7" s="282" t="s">
        <v>79</v>
      </c>
      <c r="E7" s="283">
        <v>64</v>
      </c>
      <c r="F7" s="282" t="s">
        <v>186</v>
      </c>
      <c r="G7" s="254">
        <v>350</v>
      </c>
    </row>
    <row r="8" spans="1:10" ht="33" customHeight="1">
      <c r="A8" s="950"/>
      <c r="B8" s="280"/>
      <c r="C8" s="281"/>
      <c r="D8" s="284" t="s">
        <v>82</v>
      </c>
      <c r="E8" s="237">
        <v>3.5</v>
      </c>
      <c r="F8" s="284" t="s">
        <v>185</v>
      </c>
      <c r="G8" s="283">
        <v>6.5</v>
      </c>
    </row>
    <row r="9" spans="1:10" ht="33" customHeight="1">
      <c r="A9" s="950"/>
      <c r="B9" s="280"/>
      <c r="C9" s="281"/>
      <c r="D9" s="284" t="s">
        <v>83</v>
      </c>
      <c r="E9" s="285">
        <f>ROUND(E7/E8,2)</f>
        <v>18.29</v>
      </c>
      <c r="F9" s="284" t="s">
        <v>219</v>
      </c>
      <c r="G9" s="286">
        <v>1.5</v>
      </c>
    </row>
    <row r="10" spans="1:10" ht="33" customHeight="1" thickBot="1">
      <c r="A10" s="951"/>
      <c r="B10" s="280"/>
      <c r="C10" s="281"/>
      <c r="D10" s="287" t="s">
        <v>197</v>
      </c>
      <c r="E10" s="288">
        <f>G9/24</f>
        <v>6.25E-2</v>
      </c>
      <c r="F10" s="287" t="s">
        <v>197</v>
      </c>
      <c r="G10" s="289">
        <f>(24-G9)/24</f>
        <v>0.9375</v>
      </c>
    </row>
    <row r="11" spans="1:10" ht="13.5" customHeight="1" thickBot="1">
      <c r="A11" s="49"/>
      <c r="B11" s="277"/>
      <c r="C11" s="277"/>
      <c r="D11" s="277"/>
      <c r="E11" s="278"/>
      <c r="F11" s="290"/>
      <c r="G11" s="291"/>
    </row>
    <row r="12" spans="1:10" ht="33" customHeight="1" thickBot="1">
      <c r="A12" s="949" t="s">
        <v>196</v>
      </c>
      <c r="B12" s="953" t="s">
        <v>179</v>
      </c>
      <c r="C12" s="954"/>
      <c r="D12" s="955"/>
      <c r="E12" s="899"/>
      <c r="F12" s="899" t="s">
        <v>28</v>
      </c>
      <c r="G12" s="899" t="s">
        <v>118</v>
      </c>
    </row>
    <row r="13" spans="1:10" ht="33" customHeight="1">
      <c r="A13" s="950"/>
      <c r="B13" s="292" t="s">
        <v>309</v>
      </c>
      <c r="C13" s="293"/>
      <c r="D13" s="294"/>
      <c r="E13" s="295" t="s">
        <v>141</v>
      </c>
      <c r="F13" s="900">
        <v>8079</v>
      </c>
      <c r="G13" s="898">
        <v>1739</v>
      </c>
    </row>
    <row r="14" spans="1:10" ht="33" customHeight="1">
      <c r="A14" s="950"/>
      <c r="B14" s="296"/>
      <c r="C14" s="297"/>
      <c r="D14" s="298"/>
      <c r="E14" s="299" t="s">
        <v>142</v>
      </c>
      <c r="F14" s="893">
        <v>6579</v>
      </c>
      <c r="G14" s="894">
        <v>1419</v>
      </c>
    </row>
    <row r="15" spans="1:10" ht="33" customHeight="1" thickBot="1">
      <c r="A15" s="951"/>
      <c r="B15" s="300"/>
      <c r="C15" s="301"/>
      <c r="D15" s="302"/>
      <c r="E15" s="303" t="s">
        <v>143</v>
      </c>
      <c r="F15" s="895">
        <v>5579</v>
      </c>
      <c r="G15" s="896">
        <v>1199</v>
      </c>
    </row>
    <row r="18" spans="2:6" ht="24.75" customHeight="1">
      <c r="B18" s="21"/>
      <c r="C18" s="22"/>
      <c r="D18" s="22"/>
      <c r="E18" s="21"/>
      <c r="F18" s="897"/>
    </row>
    <row r="19" spans="2:6" ht="24.75" customHeight="1">
      <c r="B19" s="21"/>
      <c r="C19" s="21"/>
      <c r="D19" s="21"/>
      <c r="E19" s="21"/>
      <c r="F19" s="21"/>
    </row>
    <row r="20" spans="2:6" ht="24.75" customHeight="1">
      <c r="B20" s="21"/>
      <c r="C20" s="21"/>
      <c r="D20" s="21"/>
      <c r="E20" s="21"/>
      <c r="F20" s="21"/>
    </row>
    <row r="21" spans="2:6" ht="24.75" customHeight="1">
      <c r="B21" s="21"/>
      <c r="C21" s="21"/>
      <c r="D21" s="21"/>
      <c r="E21" s="21"/>
      <c r="F21" s="21"/>
    </row>
  </sheetData>
  <sheetProtection formatCells="0" formatColumns="0" formatRows="0" insertColumns="0" insertRows="0" insertHyperlinks="0" deleteColumns="0" deleteRows="0" selectLockedCells="1" sort="0" autoFilter="0" pivotTables="0"/>
  <mergeCells count="8">
    <mergeCell ref="F6:G6"/>
    <mergeCell ref="B5:G5"/>
    <mergeCell ref="A1:G1"/>
    <mergeCell ref="A12:A15"/>
    <mergeCell ref="A5:A10"/>
    <mergeCell ref="D6:E6"/>
    <mergeCell ref="B12:D12"/>
    <mergeCell ref="A2:A3"/>
  </mergeCells>
  <hyperlinks>
    <hyperlink ref="I2" location="INDEX!A1" display="INDEX" xr:uid="{00000000-0004-0000-0600-000000000000}"/>
  </hyperlinks>
  <pageMargins left="0.7" right="0.7" top="0.75" bottom="0.75" header="0.3" footer="0.3"/>
  <pageSetup scale="72" orientation="portrait" horizontalDpi="4294967293" verticalDpi="1200" r:id="rId1"/>
  <rowBreaks count="1" manualBreakCount="1">
    <brk id="10" max="6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  <pageSetUpPr fitToPage="1"/>
  </sheetPr>
  <dimension ref="A1:O22"/>
  <sheetViews>
    <sheetView zoomScale="90" zoomScaleNormal="90" zoomScaleSheetLayoutView="110" workbookViewId="0">
      <pane xSplit="3" ySplit="4" topLeftCell="D5" activePane="bottomRight" state="frozen"/>
      <selection pane="topRight" activeCell="D1" sqref="D1"/>
      <selection pane="bottomLeft" activeCell="A7" sqref="A7"/>
      <selection pane="bottomRight" activeCell="D6" sqref="D6"/>
    </sheetView>
  </sheetViews>
  <sheetFormatPr defaultColWidth="9.140625" defaultRowHeight="25.5" customHeight="1"/>
  <cols>
    <col min="1" max="1" width="6.85546875" style="609" customWidth="1"/>
    <col min="2" max="2" width="54.42578125" style="606" customWidth="1"/>
    <col min="3" max="3" width="1" style="540" customWidth="1"/>
    <col min="4" max="4" width="10.85546875" style="586" customWidth="1"/>
    <col min="5" max="5" width="0.7109375" style="540" customWidth="1"/>
    <col min="6" max="6" width="10.85546875" style="586" customWidth="1"/>
    <col min="7" max="7" width="1" style="540" customWidth="1"/>
    <col min="8" max="8" width="10.85546875" style="586" customWidth="1"/>
    <col min="9" max="9" width="0.7109375" style="540" customWidth="1"/>
    <col min="10" max="10" width="10.85546875" style="586" customWidth="1"/>
    <col min="11" max="11" width="1" style="540" customWidth="1"/>
    <col min="12" max="12" width="10.85546875" style="586" customWidth="1"/>
    <col min="13" max="13" width="0.7109375" style="540" customWidth="1"/>
    <col min="14" max="14" width="10.85546875" style="586" customWidth="1"/>
    <col min="15" max="16384" width="9.140625" style="540"/>
  </cols>
  <sheetData>
    <row r="1" spans="1:15" s="542" customFormat="1" ht="25.5" customHeight="1" thickBot="1">
      <c r="A1" s="962" t="s">
        <v>798</v>
      </c>
      <c r="B1" s="963"/>
      <c r="C1" s="541"/>
      <c r="D1" s="966" t="s">
        <v>145</v>
      </c>
      <c r="E1" s="967"/>
      <c r="F1" s="968"/>
      <c r="G1" s="541"/>
      <c r="H1" s="958" t="s">
        <v>146</v>
      </c>
      <c r="I1" s="958"/>
      <c r="J1" s="959"/>
      <c r="K1" s="541"/>
      <c r="L1" s="960" t="s">
        <v>147</v>
      </c>
      <c r="M1" s="960"/>
      <c r="N1" s="961"/>
      <c r="O1" s="495" t="s">
        <v>336</v>
      </c>
    </row>
    <row r="2" spans="1:15" s="542" customFormat="1" ht="25.5" customHeight="1" thickBot="1">
      <c r="A2" s="964"/>
      <c r="B2" s="965"/>
      <c r="C2" s="543"/>
      <c r="D2" s="611" t="s">
        <v>358</v>
      </c>
      <c r="E2" s="610"/>
      <c r="F2" s="803" t="s">
        <v>363</v>
      </c>
      <c r="G2" s="543"/>
      <c r="H2" s="803" t="s">
        <v>358</v>
      </c>
      <c r="I2" s="610"/>
      <c r="J2" s="803" t="s">
        <v>363</v>
      </c>
      <c r="K2" s="543"/>
      <c r="L2" s="803" t="s">
        <v>358</v>
      </c>
      <c r="M2" s="610"/>
      <c r="N2" s="803" t="s">
        <v>363</v>
      </c>
    </row>
    <row r="3" spans="1:15" ht="25.5" customHeight="1" thickBot="1">
      <c r="A3" s="590"/>
      <c r="B3" s="591" t="s">
        <v>180</v>
      </c>
      <c r="C3" s="544"/>
      <c r="D3" s="612" t="s">
        <v>678</v>
      </c>
      <c r="E3" s="544"/>
      <c r="F3" s="612" t="s">
        <v>678</v>
      </c>
      <c r="G3" s="544"/>
      <c r="H3" s="612" t="s">
        <v>678</v>
      </c>
      <c r="I3" s="544"/>
      <c r="J3" s="612" t="s">
        <v>678</v>
      </c>
      <c r="K3" s="544"/>
      <c r="L3" s="612" t="s">
        <v>678</v>
      </c>
      <c r="M3" s="544"/>
      <c r="N3" s="612" t="s">
        <v>678</v>
      </c>
    </row>
    <row r="4" spans="1:15" s="556" customFormat="1" ht="25.5" customHeight="1" thickBot="1">
      <c r="A4" s="592"/>
      <c r="B4" s="593" t="s">
        <v>787</v>
      </c>
      <c r="C4" s="551"/>
      <c r="D4" s="804">
        <f>SUM(D6,D8,D10,D12,D14,D16,D18,D20,D22)</f>
        <v>13.322210270150196</v>
      </c>
      <c r="E4" s="551"/>
      <c r="F4" s="805">
        <f>SUM(F6,F8,F10,F12,F14,F16,F18,F20,F22)</f>
        <v>9.9673078374207655</v>
      </c>
      <c r="G4" s="551"/>
      <c r="H4" s="804">
        <f>SUM(H6,H8,H10,H12,H14,H16,H18,H20,H22)</f>
        <v>14.723316198311133</v>
      </c>
      <c r="I4" s="551"/>
      <c r="J4" s="805">
        <f>SUM(J6,J8,J10,J12,J14,J16,J18,J20,J22)</f>
        <v>11.773245520114374</v>
      </c>
      <c r="K4" s="551"/>
      <c r="L4" s="804">
        <f>SUM(L6,L8,L10,L12,L14,L16,L18,L20,L22)</f>
        <v>16.834873764110302</v>
      </c>
      <c r="M4" s="551"/>
      <c r="N4" s="805">
        <f>SUM(N6,N8,N10,N12,N14,N16,N18,N20,N22)</f>
        <v>13.285133088573113</v>
      </c>
    </row>
    <row r="5" spans="1:15" s="542" customFormat="1" ht="10.5" customHeight="1">
      <c r="A5" s="594"/>
      <c r="B5" s="595"/>
      <c r="C5" s="543"/>
      <c r="D5" s="613"/>
      <c r="E5" s="543"/>
      <c r="F5" s="565"/>
      <c r="G5" s="543"/>
      <c r="H5" s="564"/>
      <c r="I5" s="543"/>
      <c r="J5" s="565"/>
      <c r="K5" s="543"/>
      <c r="L5" s="564"/>
      <c r="M5" s="543"/>
      <c r="N5" s="565"/>
    </row>
    <row r="6" spans="1:15" s="569" customFormat="1" ht="25.5" customHeight="1">
      <c r="A6" s="596">
        <v>1</v>
      </c>
      <c r="B6" s="597" t="s">
        <v>348</v>
      </c>
      <c r="C6" s="566"/>
      <c r="D6" s="614">
        <f>'CAM Charges'!I8</f>
        <v>7.5386190345168469</v>
      </c>
      <c r="E6" s="566"/>
      <c r="F6" s="568">
        <f>'CAM Charges'!M8</f>
        <v>5.2125856301578875</v>
      </c>
      <c r="G6" s="566"/>
      <c r="H6" s="568">
        <f>'CAM Charges'!T8</f>
        <v>8.2924809379685325</v>
      </c>
      <c r="I6" s="566"/>
      <c r="J6" s="568">
        <f>'CAM Charges'!X8</f>
        <v>5.7338441931736774</v>
      </c>
      <c r="K6" s="566"/>
      <c r="L6" s="568">
        <f>'CAM Charges'!AE8</f>
        <v>9.121729031765387</v>
      </c>
      <c r="M6" s="566"/>
      <c r="N6" s="568">
        <f>'CAM Charges'!AI8</f>
        <v>6.3072286124910448</v>
      </c>
    </row>
    <row r="7" spans="1:15" s="542" customFormat="1" ht="13.5" customHeight="1" collapsed="1">
      <c r="A7" s="602"/>
      <c r="B7" s="603"/>
      <c r="C7" s="543"/>
      <c r="D7" s="615"/>
      <c r="E7" s="543"/>
      <c r="F7" s="574"/>
      <c r="G7" s="543"/>
      <c r="H7" s="574"/>
      <c r="I7" s="543"/>
      <c r="J7" s="574"/>
      <c r="K7" s="543"/>
      <c r="L7" s="574"/>
      <c r="M7" s="543"/>
      <c r="N7" s="574"/>
    </row>
    <row r="8" spans="1:15" s="542" customFormat="1" ht="25.5" customHeight="1">
      <c r="A8" s="596">
        <v>2</v>
      </c>
      <c r="B8" s="597" t="s">
        <v>247</v>
      </c>
      <c r="C8" s="566"/>
      <c r="D8" s="614">
        <f>'CAM Charges'!I19</f>
        <v>0.8944842362534835</v>
      </c>
      <c r="E8" s="566"/>
      <c r="F8" s="568">
        <f>'CAM Charges'!M19</f>
        <v>0.75263651343693583</v>
      </c>
      <c r="G8" s="566"/>
      <c r="H8" s="568">
        <f>'CAM Charges'!T19</f>
        <v>0.9507419253067888</v>
      </c>
      <c r="I8" s="566"/>
      <c r="J8" s="568">
        <f>'CAM Charges'!X19</f>
        <v>0.80180181634941372</v>
      </c>
      <c r="K8" s="566"/>
      <c r="L8" s="568">
        <f>'CAM Charges'!AE19</f>
        <v>0.98748712966998975</v>
      </c>
      <c r="M8" s="566"/>
      <c r="N8" s="568">
        <f>'CAM Charges'!AI19</f>
        <v>0.83110001526474597</v>
      </c>
    </row>
    <row r="9" spans="1:15" s="542" customFormat="1" ht="13.5" customHeight="1" collapsed="1">
      <c r="A9" s="602"/>
      <c r="B9" s="603"/>
      <c r="C9" s="543"/>
      <c r="D9" s="615"/>
      <c r="E9" s="543"/>
      <c r="F9" s="574"/>
      <c r="G9" s="543"/>
      <c r="H9" s="574"/>
      <c r="I9" s="543"/>
      <c r="J9" s="574"/>
      <c r="K9" s="543"/>
      <c r="L9" s="574"/>
      <c r="M9" s="543"/>
      <c r="N9" s="574"/>
    </row>
    <row r="10" spans="1:15" s="542" customFormat="1" ht="25.5" customHeight="1">
      <c r="A10" s="596">
        <v>3</v>
      </c>
      <c r="B10" s="597" t="s">
        <v>110</v>
      </c>
      <c r="C10" s="566"/>
      <c r="D10" s="614">
        <f>'CAM Charges'!I26</f>
        <v>0</v>
      </c>
      <c r="E10" s="566"/>
      <c r="F10" s="568">
        <f>'CAM Charges'!M26</f>
        <v>0</v>
      </c>
      <c r="G10" s="566"/>
      <c r="H10" s="568">
        <f>'CAM Charges'!T26</f>
        <v>0.26961572219592994</v>
      </c>
      <c r="I10" s="566"/>
      <c r="J10" s="568">
        <f>'CAM Charges'!X26</f>
        <v>0.90644182529491424</v>
      </c>
      <c r="K10" s="566"/>
      <c r="L10" s="568">
        <f>'CAM Charges'!AE26</f>
        <v>1.1752476998399333</v>
      </c>
      <c r="M10" s="566"/>
      <c r="N10" s="568">
        <f>'CAM Charges'!AI26</f>
        <v>1.5159229771956924</v>
      </c>
    </row>
    <row r="11" spans="1:15" s="542" customFormat="1" ht="13.5" customHeight="1">
      <c r="A11" s="598"/>
      <c r="B11" s="604"/>
      <c r="C11" s="543"/>
      <c r="D11" s="616"/>
      <c r="E11" s="543"/>
      <c r="F11" s="561"/>
      <c r="G11" s="543"/>
      <c r="H11" s="561"/>
      <c r="I11" s="543"/>
      <c r="J11" s="561"/>
      <c r="K11" s="543"/>
      <c r="L11" s="561"/>
      <c r="M11" s="543"/>
      <c r="N11" s="561"/>
    </row>
    <row r="12" spans="1:15" s="569" customFormat="1" ht="25.5" customHeight="1">
      <c r="A12" s="596">
        <v>4</v>
      </c>
      <c r="B12" s="597" t="s">
        <v>634</v>
      </c>
      <c r="C12" s="566"/>
      <c r="D12" s="614">
        <f>'CAM Charges'!I28</f>
        <v>1.6797000110454614</v>
      </c>
      <c r="E12" s="566"/>
      <c r="F12" s="568">
        <f>'CAM Charges'!M28</f>
        <v>1.2593081767263459</v>
      </c>
      <c r="G12" s="566"/>
      <c r="H12" s="568">
        <f>'CAM Charges'!T28</f>
        <v>1.7636850115977345</v>
      </c>
      <c r="I12" s="566"/>
      <c r="J12" s="568">
        <f>'CAM Charges'!X28</f>
        <v>1.3222735855626633</v>
      </c>
      <c r="K12" s="566"/>
      <c r="L12" s="568">
        <f>'CAM Charges'!AE28</f>
        <v>1.8518692621776214</v>
      </c>
      <c r="M12" s="566"/>
      <c r="N12" s="568">
        <f>'CAM Charges'!AI28</f>
        <v>1.3883872648407967</v>
      </c>
    </row>
    <row r="13" spans="1:15" s="542" customFormat="1" ht="13.5" customHeight="1" collapsed="1">
      <c r="A13" s="598"/>
      <c r="B13" s="604"/>
      <c r="C13" s="543"/>
      <c r="D13" s="616"/>
      <c r="E13" s="543"/>
      <c r="F13" s="561"/>
      <c r="G13" s="543"/>
      <c r="H13" s="561"/>
      <c r="I13" s="543"/>
      <c r="J13" s="561"/>
      <c r="K13" s="543"/>
      <c r="L13" s="561"/>
      <c r="M13" s="543"/>
      <c r="N13" s="561"/>
    </row>
    <row r="14" spans="1:15" s="569" customFormat="1" ht="25.5" customHeight="1">
      <c r="A14" s="596">
        <v>5</v>
      </c>
      <c r="B14" s="597" t="s">
        <v>133</v>
      </c>
      <c r="C14" s="566"/>
      <c r="D14" s="614">
        <f>'CAM Charges'!I32</f>
        <v>9.1226266587207228E-2</v>
      </c>
      <c r="E14" s="566"/>
      <c r="F14" s="568">
        <f>'CAM Charges'!M32</f>
        <v>9.1226266587207228E-2</v>
      </c>
      <c r="G14" s="566"/>
      <c r="H14" s="568">
        <f>'CAM Charges'!T32</f>
        <v>0.12806764347819477</v>
      </c>
      <c r="I14" s="566"/>
      <c r="J14" s="568">
        <f>'CAM Charges'!X32</f>
        <v>0.12806764347819477</v>
      </c>
      <c r="K14" s="566"/>
      <c r="L14" s="568">
        <f>'CAM Charges'!AE32</f>
        <v>0.12806764347819477</v>
      </c>
      <c r="M14" s="566"/>
      <c r="N14" s="568">
        <f>'CAM Charges'!AI32</f>
        <v>0.12806764347819477</v>
      </c>
    </row>
    <row r="15" spans="1:15" s="542" customFormat="1" ht="13.5" customHeight="1" collapsed="1">
      <c r="A15" s="600"/>
      <c r="B15" s="601"/>
      <c r="C15" s="543"/>
      <c r="D15" s="617"/>
      <c r="E15" s="543"/>
      <c r="F15" s="577"/>
      <c r="G15" s="543"/>
      <c r="H15" s="577"/>
      <c r="I15" s="543"/>
      <c r="J15" s="577"/>
      <c r="K15" s="543"/>
      <c r="L15" s="577"/>
      <c r="M15" s="543"/>
      <c r="N15" s="577"/>
    </row>
    <row r="16" spans="1:15" s="569" customFormat="1" ht="25.5" customHeight="1">
      <c r="A16" s="596">
        <v>6</v>
      </c>
      <c r="B16" s="597" t="s">
        <v>75</v>
      </c>
      <c r="C16" s="566"/>
      <c r="D16" s="614">
        <f>'CAM Charges'!I40</f>
        <v>7.9770352725390611E-2</v>
      </c>
      <c r="E16" s="566"/>
      <c r="F16" s="568">
        <f>'CAM Charges'!M40</f>
        <v>7.9770352725390611E-2</v>
      </c>
      <c r="G16" s="566"/>
      <c r="H16" s="568">
        <f>'CAM Charges'!T40</f>
        <v>7.871774195707669E-2</v>
      </c>
      <c r="I16" s="566"/>
      <c r="J16" s="568">
        <f>'CAM Charges'!X40</f>
        <v>7.871774195707669E-2</v>
      </c>
      <c r="K16" s="566"/>
      <c r="L16" s="568">
        <f>'CAM Charges'!AE40</f>
        <v>7.871774195707669E-2</v>
      </c>
      <c r="M16" s="566"/>
      <c r="N16" s="568">
        <f>'CAM Charges'!AI32</f>
        <v>0.12806764347819477</v>
      </c>
    </row>
    <row r="17" spans="1:14" s="542" customFormat="1" ht="13.5" customHeight="1" collapsed="1">
      <c r="A17" s="600"/>
      <c r="B17" s="601"/>
      <c r="C17" s="543"/>
      <c r="D17" s="617"/>
      <c r="E17" s="543"/>
      <c r="F17" s="577"/>
      <c r="G17" s="543"/>
      <c r="H17" s="577"/>
      <c r="I17" s="543"/>
      <c r="J17" s="577"/>
      <c r="K17" s="543"/>
      <c r="L17" s="577"/>
      <c r="M17" s="543"/>
      <c r="N17" s="577"/>
    </row>
    <row r="18" spans="1:14" s="569" customFormat="1" ht="25.5" customHeight="1">
      <c r="A18" s="596">
        <v>7</v>
      </c>
      <c r="B18" s="597" t="s">
        <v>252</v>
      </c>
      <c r="C18" s="566"/>
      <c r="D18" s="614">
        <f>'CAM Charges'!I51</f>
        <v>0.14799707402493847</v>
      </c>
      <c r="E18" s="566"/>
      <c r="F18" s="568">
        <f>'CAM Charges'!M51</f>
        <v>0.14799707402493847</v>
      </c>
      <c r="G18" s="566"/>
      <c r="H18" s="568">
        <f>'CAM Charges'!T51</f>
        <v>0.16483884631796139</v>
      </c>
      <c r="I18" s="566"/>
      <c r="J18" s="568">
        <f>'CAM Charges'!X51</f>
        <v>0.16483884631796139</v>
      </c>
      <c r="K18" s="566"/>
      <c r="L18" s="568">
        <f>'CAM Charges'!AE51</f>
        <v>0.16483884631796139</v>
      </c>
      <c r="M18" s="566"/>
      <c r="N18" s="568">
        <f>'CAM Charges'!AI51</f>
        <v>0.16483884631796139</v>
      </c>
    </row>
    <row r="19" spans="1:14" s="542" customFormat="1" ht="13.5" customHeight="1" collapsed="1">
      <c r="A19" s="598"/>
      <c r="B19" s="599"/>
      <c r="C19" s="543"/>
      <c r="D19" s="616"/>
      <c r="E19" s="543"/>
      <c r="F19" s="561"/>
      <c r="G19" s="543"/>
      <c r="H19" s="561"/>
      <c r="I19" s="543"/>
      <c r="J19" s="561"/>
      <c r="K19" s="543"/>
      <c r="L19" s="561"/>
      <c r="M19" s="543"/>
      <c r="N19" s="561"/>
    </row>
    <row r="20" spans="1:14" s="569" customFormat="1" ht="25.5" customHeight="1">
      <c r="A20" s="596">
        <v>8</v>
      </c>
      <c r="B20" s="597" t="s">
        <v>304</v>
      </c>
      <c r="C20" s="566"/>
      <c r="D20" s="614">
        <f>'CAM Charges'!I62</f>
        <v>1.4569431128615031</v>
      </c>
      <c r="E20" s="566"/>
      <c r="F20" s="568">
        <f>'CAM Charges'!M62</f>
        <v>1.4569431128615031</v>
      </c>
      <c r="G20" s="566"/>
      <c r="H20" s="568">
        <f>'CAM Charges'!T62</f>
        <v>1.503206913278289</v>
      </c>
      <c r="I20" s="566"/>
      <c r="J20" s="568">
        <f>'CAM Charges'!X62</f>
        <v>1.503206913278289</v>
      </c>
      <c r="K20" s="566"/>
      <c r="L20" s="568">
        <f>'CAM Charges'!AE62</f>
        <v>1.5513212657117463</v>
      </c>
      <c r="M20" s="566"/>
      <c r="N20" s="568">
        <f>'CAM Charges'!AI62</f>
        <v>1.5513212657117463</v>
      </c>
    </row>
    <row r="21" spans="1:14" ht="13.5" customHeight="1" collapsed="1">
      <c r="A21" s="605"/>
      <c r="C21" s="578"/>
      <c r="D21" s="618"/>
      <c r="E21" s="578"/>
      <c r="F21" s="582"/>
      <c r="G21" s="578"/>
      <c r="H21" s="580"/>
      <c r="I21" s="578"/>
      <c r="J21" s="582"/>
      <c r="K21" s="578"/>
      <c r="L21" s="580"/>
      <c r="M21" s="578"/>
      <c r="N21" s="582"/>
    </row>
    <row r="22" spans="1:14" s="569" customFormat="1" ht="25.5" customHeight="1" thickBot="1">
      <c r="A22" s="607">
        <v>9</v>
      </c>
      <c r="B22" s="608" t="s">
        <v>635</v>
      </c>
      <c r="C22" s="583"/>
      <c r="D22" s="619">
        <f>'CAM Charges'!I68</f>
        <v>1.4334701821353644</v>
      </c>
      <c r="E22" s="583"/>
      <c r="F22" s="620">
        <f>'CAM Charges'!M68</f>
        <v>0.96684071090055712</v>
      </c>
      <c r="G22" s="583"/>
      <c r="H22" s="620">
        <f>'CAM Charges'!T68</f>
        <v>1.5719614562106261</v>
      </c>
      <c r="I22" s="583"/>
      <c r="J22" s="620">
        <f>'CAM Charges'!X68</f>
        <v>1.1340529547021823</v>
      </c>
      <c r="K22" s="583"/>
      <c r="L22" s="620">
        <f>'CAM Charges'!AE68</f>
        <v>1.7755951431923951</v>
      </c>
      <c r="M22" s="583"/>
      <c r="N22" s="620">
        <f>'CAM Charges'!AI68</f>
        <v>1.2701988197947371</v>
      </c>
    </row>
  </sheetData>
  <sheetProtection formatCells="0" formatColumns="0" formatRows="0" insertColumns="0" insertRows="0" insertHyperlinks="0" deleteColumns="0" deleteRows="0" selectLockedCells="1" sort="0" autoFilter="0" pivotTables="0"/>
  <mergeCells count="4">
    <mergeCell ref="H1:J1"/>
    <mergeCell ref="L1:N1"/>
    <mergeCell ref="A1:B2"/>
    <mergeCell ref="D1:F1"/>
  </mergeCells>
  <hyperlinks>
    <hyperlink ref="O1" location="INDEX!A1" display="INDEX" xr:uid="{00000000-0004-0000-0700-000000000000}"/>
  </hyperlinks>
  <printOptions horizontalCentered="1"/>
  <pageMargins left="0.46" right="0.33" top="0.56000000000000005" bottom="0.75" header="0.42" footer="0.48"/>
  <pageSetup paperSize="9" scale="74" orientation="portrait" r:id="rId1"/>
  <headerFooter alignWithMargins="0"/>
  <rowBreaks count="1" manualBreakCount="1">
    <brk id="15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AK68"/>
  <sheetViews>
    <sheetView zoomScale="90" zoomScaleNormal="90" zoomScaleSheetLayoutView="9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AA20" sqref="AA20"/>
    </sheetView>
  </sheetViews>
  <sheetFormatPr defaultColWidth="9.140625" defaultRowHeight="13.5" customHeight="1" outlineLevelRow="1" outlineLevelCol="1"/>
  <cols>
    <col min="1" max="1" width="6.85546875" style="609" customWidth="1"/>
    <col min="2" max="2" width="54.42578125" style="606" customWidth="1"/>
    <col min="3" max="3" width="1" style="540" customWidth="1"/>
    <col min="4" max="4" width="13.140625" style="581" customWidth="1" outlineLevel="1"/>
    <col min="5" max="5" width="10.85546875" style="586" customWidth="1"/>
    <col min="6" max="6" width="1" style="540" customWidth="1"/>
    <col min="7" max="7" width="13.140625" style="581" customWidth="1" outlineLevel="1"/>
    <col min="8" max="8" width="9.7109375" style="586" customWidth="1" outlineLevel="1"/>
    <col min="9" max="9" width="10.85546875" style="586" customWidth="1"/>
    <col min="10" max="10" width="1" style="540" customWidth="1"/>
    <col min="11" max="11" width="13.140625" style="581" customWidth="1" outlineLevel="1"/>
    <col min="12" max="12" width="10.85546875" style="586" customWidth="1" outlineLevel="1"/>
    <col min="13" max="13" width="10.85546875" style="586" customWidth="1"/>
    <col min="14" max="14" width="2.85546875" style="550" customWidth="1"/>
    <col min="15" max="15" width="11.42578125" style="581" customWidth="1" outlineLevel="1"/>
    <col min="16" max="16" width="10.85546875" style="586" customWidth="1"/>
    <col min="17" max="17" width="1" style="540" customWidth="1"/>
    <col min="18" max="18" width="13.140625" style="581" customWidth="1" outlineLevel="1"/>
    <col min="19" max="19" width="10.85546875" style="586" customWidth="1" outlineLevel="1"/>
    <col min="20" max="20" width="10.85546875" style="586" customWidth="1"/>
    <col min="21" max="21" width="1" style="540" customWidth="1"/>
    <col min="22" max="22" width="13.140625" style="581" customWidth="1" outlineLevel="1"/>
    <col min="23" max="23" width="10.85546875" style="586" customWidth="1" outlineLevel="1"/>
    <col min="24" max="24" width="10.85546875" style="586" customWidth="1"/>
    <col min="25" max="25" width="4.140625" style="550" customWidth="1"/>
    <col min="26" max="26" width="11" style="581" customWidth="1" outlineLevel="1"/>
    <col min="27" max="27" width="10.85546875" style="586" customWidth="1"/>
    <col min="28" max="28" width="1" style="540" customWidth="1"/>
    <col min="29" max="29" width="13.140625" style="581" customWidth="1" outlineLevel="1"/>
    <col min="30" max="30" width="10.85546875" style="586" customWidth="1" outlineLevel="1"/>
    <col min="31" max="31" width="10.85546875" style="586" customWidth="1"/>
    <col min="32" max="32" width="1" style="540" customWidth="1"/>
    <col min="33" max="33" width="13.140625" style="581" customWidth="1" outlineLevel="1"/>
    <col min="34" max="34" width="10.85546875" style="586" customWidth="1" outlineLevel="1"/>
    <col min="35" max="35" width="10.85546875" style="586" customWidth="1"/>
    <col min="36" max="16384" width="9.140625" style="540"/>
  </cols>
  <sheetData>
    <row r="1" spans="1:37" ht="32.25" customHeight="1" thickBot="1">
      <c r="A1" s="588" t="s">
        <v>794</v>
      </c>
      <c r="B1" s="589"/>
      <c r="C1" s="587"/>
      <c r="D1" s="587"/>
      <c r="E1" s="629"/>
      <c r="F1" s="587"/>
      <c r="G1" s="587"/>
      <c r="H1" s="587"/>
      <c r="I1" s="587"/>
      <c r="J1" s="587"/>
      <c r="K1" s="587"/>
      <c r="L1" s="587"/>
      <c r="M1" s="587"/>
      <c r="N1" s="587"/>
      <c r="O1" s="587"/>
      <c r="P1" s="587"/>
      <c r="Q1" s="587"/>
      <c r="R1" s="587"/>
      <c r="S1" s="587"/>
      <c r="T1" s="587"/>
      <c r="U1" s="587"/>
      <c r="V1" s="587"/>
      <c r="W1" s="587"/>
      <c r="X1" s="587"/>
      <c r="Y1" s="587"/>
      <c r="Z1" s="587"/>
      <c r="AA1" s="587"/>
      <c r="AB1" s="587"/>
      <c r="AC1" s="587"/>
      <c r="AD1" s="587"/>
      <c r="AE1" s="587"/>
      <c r="AF1" s="587"/>
      <c r="AG1" s="587"/>
      <c r="AH1" s="587"/>
      <c r="AI1" s="587"/>
    </row>
    <row r="2" spans="1:37" s="542" customFormat="1" ht="23.25" customHeight="1" thickBot="1">
      <c r="A2" s="976" t="s">
        <v>795</v>
      </c>
      <c r="B2" s="977"/>
      <c r="C2" s="670"/>
      <c r="D2" s="966" t="s">
        <v>145</v>
      </c>
      <c r="E2" s="967"/>
      <c r="F2" s="967"/>
      <c r="G2" s="967"/>
      <c r="H2" s="967"/>
      <c r="I2" s="967"/>
      <c r="J2" s="967"/>
      <c r="K2" s="967"/>
      <c r="L2" s="967"/>
      <c r="M2" s="968"/>
      <c r="N2" s="670"/>
      <c r="O2" s="974" t="s">
        <v>146</v>
      </c>
      <c r="P2" s="984"/>
      <c r="Q2" s="984"/>
      <c r="R2" s="984"/>
      <c r="S2" s="984"/>
      <c r="T2" s="984"/>
      <c r="U2" s="984"/>
      <c r="V2" s="984"/>
      <c r="W2" s="984"/>
      <c r="X2" s="975"/>
      <c r="Y2" s="670"/>
      <c r="Z2" s="987" t="s">
        <v>147</v>
      </c>
      <c r="AA2" s="988"/>
      <c r="AB2" s="988"/>
      <c r="AC2" s="988"/>
      <c r="AD2" s="988"/>
      <c r="AE2" s="988"/>
      <c r="AF2" s="988"/>
      <c r="AG2" s="988"/>
      <c r="AH2" s="988"/>
      <c r="AI2" s="989"/>
      <c r="AK2" s="495" t="s">
        <v>336</v>
      </c>
    </row>
    <row r="3" spans="1:37" s="542" customFormat="1" ht="23.25" customHeight="1" thickBot="1">
      <c r="A3" s="978"/>
      <c r="B3" s="979"/>
      <c r="C3" s="671"/>
      <c r="D3" s="974" t="s">
        <v>788</v>
      </c>
      <c r="E3" s="975"/>
      <c r="F3" s="543"/>
      <c r="G3" s="969" t="s">
        <v>358</v>
      </c>
      <c r="H3" s="970"/>
      <c r="I3" s="971"/>
      <c r="J3" s="543"/>
      <c r="K3" s="969" t="s">
        <v>608</v>
      </c>
      <c r="L3" s="970"/>
      <c r="M3" s="971"/>
      <c r="N3" s="671"/>
      <c r="O3" s="985" t="s">
        <v>788</v>
      </c>
      <c r="P3" s="986"/>
      <c r="Q3" s="543"/>
      <c r="R3" s="969" t="s">
        <v>358</v>
      </c>
      <c r="S3" s="970"/>
      <c r="T3" s="971"/>
      <c r="U3" s="543"/>
      <c r="V3" s="969" t="s">
        <v>608</v>
      </c>
      <c r="W3" s="970"/>
      <c r="X3" s="971"/>
      <c r="Y3" s="672"/>
      <c r="Z3" s="974" t="s">
        <v>788</v>
      </c>
      <c r="AA3" s="975"/>
      <c r="AB3" s="543"/>
      <c r="AC3" s="969" t="s">
        <v>358</v>
      </c>
      <c r="AD3" s="970"/>
      <c r="AE3" s="971"/>
      <c r="AF3" s="543"/>
      <c r="AG3" s="969" t="s">
        <v>608</v>
      </c>
      <c r="AH3" s="970"/>
      <c r="AI3" s="971"/>
    </row>
    <row r="4" spans="1:37" ht="21.75" customHeight="1" thickBot="1">
      <c r="A4" s="590"/>
      <c r="B4" s="679" t="s">
        <v>180</v>
      </c>
      <c r="C4" s="550"/>
      <c r="D4" s="545" t="s">
        <v>116</v>
      </c>
      <c r="E4" s="546">
        <f>'CAM Variables'!J3</f>
        <v>475009.390984</v>
      </c>
      <c r="F4" s="544"/>
      <c r="G4" s="547" t="s">
        <v>116</v>
      </c>
      <c r="H4" s="548">
        <f>'CAM Variables'!G2</f>
        <v>187123.36928799999</v>
      </c>
      <c r="I4" s="549" t="s">
        <v>645</v>
      </c>
      <c r="J4" s="544"/>
      <c r="K4" s="547" t="s">
        <v>116</v>
      </c>
      <c r="L4" s="548">
        <f>'CAM Variables'!G3</f>
        <v>287886.02169600001</v>
      </c>
      <c r="M4" s="549" t="s">
        <v>645</v>
      </c>
      <c r="O4" s="545" t="s">
        <v>116</v>
      </c>
      <c r="P4" s="546">
        <f>E4</f>
        <v>475009.390984</v>
      </c>
      <c r="Q4" s="544"/>
      <c r="R4" s="547" t="s">
        <v>116</v>
      </c>
      <c r="S4" s="548">
        <f>H4</f>
        <v>187123.36928799999</v>
      </c>
      <c r="T4" s="549" t="s">
        <v>645</v>
      </c>
      <c r="U4" s="544"/>
      <c r="V4" s="547" t="s">
        <v>116</v>
      </c>
      <c r="W4" s="548">
        <f>L4</f>
        <v>287886.02169600001</v>
      </c>
      <c r="X4" s="549" t="s">
        <v>645</v>
      </c>
      <c r="Z4" s="545" t="s">
        <v>116</v>
      </c>
      <c r="AA4" s="546">
        <f>P4</f>
        <v>475009.390984</v>
      </c>
      <c r="AB4" s="544"/>
      <c r="AC4" s="547" t="s">
        <v>116</v>
      </c>
      <c r="AD4" s="548">
        <f>S4</f>
        <v>187123.36928799999</v>
      </c>
      <c r="AE4" s="549" t="s">
        <v>645</v>
      </c>
      <c r="AF4" s="544"/>
      <c r="AG4" s="547" t="s">
        <v>116</v>
      </c>
      <c r="AH4" s="548">
        <f>W4</f>
        <v>287886.02169600001</v>
      </c>
      <c r="AI4" s="549" t="s">
        <v>645</v>
      </c>
    </row>
    <row r="5" spans="1:37" s="556" customFormat="1" ht="23.25" customHeight="1" thickBot="1">
      <c r="A5" s="592"/>
      <c r="B5" s="680" t="s">
        <v>181</v>
      </c>
      <c r="C5" s="673"/>
      <c r="D5" s="552" t="s">
        <v>1</v>
      </c>
      <c r="E5" s="553">
        <f>SUM(D8,D19,D26,D28,D32,D40,D51,D62,D68)</f>
        <v>3888670.2694428461</v>
      </c>
      <c r="F5" s="551"/>
      <c r="G5" s="554" t="s">
        <v>1</v>
      </c>
      <c r="H5" s="555">
        <f>SUM(G8,G19,G26,G28,G32,G40,G51,G62,G68)</f>
        <v>1418705.68978545</v>
      </c>
      <c r="I5" s="980">
        <f>SUM(I8,I19,I26,I28,I32,I40,I51,I62,I68)</f>
        <v>13.322210270150196</v>
      </c>
      <c r="J5" s="551"/>
      <c r="K5" s="554" t="s">
        <v>1</v>
      </c>
      <c r="L5" s="555">
        <f>SUM(K8,K19,K26,K28,K32,K40,K51,K62,K68)</f>
        <v>704956.69820111245</v>
      </c>
      <c r="M5" s="982">
        <f>SUM(M8,M19,M26,M28,M32,M40,M51,M62,M68)</f>
        <v>9.9673078374207655</v>
      </c>
      <c r="N5" s="673"/>
      <c r="O5" s="552" t="s">
        <v>1</v>
      </c>
      <c r="P5" s="553">
        <f>SUM(O8,O19,O26,O28,O32,O40,O51,O62,O68)</f>
        <v>4357603.2892843364</v>
      </c>
      <c r="Q5" s="551"/>
      <c r="R5" s="554" t="s">
        <v>1</v>
      </c>
      <c r="S5" s="555">
        <f>SUM(R8,R19,R26,R28,R32,R40,R51,R62,R68)</f>
        <v>1519040.5147747225</v>
      </c>
      <c r="T5" s="980">
        <f>SUM(T8,T19,T26,T28,T32,T40,T51,T62,T68)</f>
        <v>14.723316198311133</v>
      </c>
      <c r="U5" s="551"/>
      <c r="V5" s="554" t="s">
        <v>1</v>
      </c>
      <c r="W5" s="555">
        <f>SUM(V8,V19,V26,V28,V32,V40,V51,V62,V68)</f>
        <v>950272.08952783479</v>
      </c>
      <c r="X5" s="982">
        <f>SUM(X8,X19,X26,X28,X32,X40,X51,X62,X68)</f>
        <v>11.773245520114374</v>
      </c>
      <c r="Y5" s="673"/>
      <c r="Z5" s="552" t="s">
        <v>1</v>
      </c>
      <c r="AA5" s="553">
        <f>SUM(Z8,Z19,Z26,Z28,Z32,Z40,Z51,Z62,Z68)</f>
        <v>4976847.4296788564</v>
      </c>
      <c r="AB5" s="551"/>
      <c r="AC5" s="554" t="s">
        <v>1</v>
      </c>
      <c r="AD5" s="555">
        <f>SUM(AC8,AC19,AC26,AC28,AC32,AC40,AC51,AC62,AC68)</f>
        <v>1694248.7017301254</v>
      </c>
      <c r="AE5" s="980">
        <f>SUM(AE8,AE19,AE26,AE28,AE32,AE40,AE51,AE62,AE68)</f>
        <v>16.834873764110302</v>
      </c>
      <c r="AF5" s="551"/>
      <c r="AG5" s="554" t="s">
        <v>1</v>
      </c>
      <c r="AH5" s="555">
        <f>SUM(AG8,AG19,AG26,AG28,AG32,AG40,AG51,AG62,AG68)</f>
        <v>1006110.0060625598</v>
      </c>
      <c r="AI5" s="982">
        <f>SUM(AI8,AI19,AI26,AI28,AI32,AI40,AI51,AI62,AI68)</f>
        <v>13.235783187051995</v>
      </c>
    </row>
    <row r="6" spans="1:37" s="556" customFormat="1" ht="23.25" customHeight="1" thickBot="1">
      <c r="A6" s="972" t="s">
        <v>18</v>
      </c>
      <c r="B6" s="973"/>
      <c r="C6" s="673"/>
      <c r="D6" s="557" t="s">
        <v>70</v>
      </c>
      <c r="E6" s="558">
        <f>SUM(E8,E19,E26,E28,E32,E40,E51,E62,E68)</f>
        <v>8.1903459466018909</v>
      </c>
      <c r="F6" s="551"/>
      <c r="G6" s="559" t="s">
        <v>70</v>
      </c>
      <c r="H6" s="674">
        <f>SUM(H8,H19,H26,H28,H32,H40,H51,H62,H68)</f>
        <v>5.1356978700746563</v>
      </c>
      <c r="I6" s="981"/>
      <c r="J6" s="551"/>
      <c r="K6" s="559" t="s">
        <v>70</v>
      </c>
      <c r="L6" s="674">
        <f>SUM(L8,L19,L26,L28,L32,L40,L51,L62,L68)</f>
        <v>1.7807954373452268</v>
      </c>
      <c r="M6" s="983"/>
      <c r="N6" s="673"/>
      <c r="O6" s="557" t="s">
        <v>70</v>
      </c>
      <c r="P6" s="558">
        <f>SUM(P8,P19,P26,P28,P32,P40,P51,P62,P68)</f>
        <v>9.1676068896073382</v>
      </c>
      <c r="Q6" s="551"/>
      <c r="R6" s="559" t="s">
        <v>70</v>
      </c>
      <c r="S6" s="674">
        <f>SUM(S8,S19,S26,S28,S32,S40,S51,S62,S68)</f>
        <v>5.5495959056293511</v>
      </c>
      <c r="T6" s="981"/>
      <c r="U6" s="551"/>
      <c r="V6" s="559" t="s">
        <v>70</v>
      </c>
      <c r="W6" s="674">
        <f>SUM(W8,W19,W26,W28,W32,W40,W51,W62,W68)</f>
        <v>2.5995252274325891</v>
      </c>
      <c r="X6" s="983"/>
      <c r="Y6" s="673"/>
      <c r="Z6" s="557" t="s">
        <v>70</v>
      </c>
      <c r="AA6" s="558">
        <f>SUM(AA8,AA19,AA26,AA28,AA32,AA40,AA51,AA62,AA68)</f>
        <v>10.47313863796303</v>
      </c>
      <c r="AB6" s="551"/>
      <c r="AC6" s="559" t="s">
        <v>70</v>
      </c>
      <c r="AD6" s="674">
        <f>SUM(AD8,AD19,AD26,AD28,AD32,AD40,AD51,AD62,AD68)</f>
        <v>6.3575073706393725</v>
      </c>
      <c r="AE6" s="981"/>
      <c r="AF6" s="551"/>
      <c r="AG6" s="559" t="s">
        <v>70</v>
      </c>
      <c r="AH6" s="674">
        <f>SUM(AH8,AH19,AH26,AH28,AH32,AH40,AH51,AH62,AH68)</f>
        <v>2.758416793581064</v>
      </c>
      <c r="AI6" s="983"/>
    </row>
    <row r="7" spans="1:37" s="542" customFormat="1" ht="8.25" customHeight="1">
      <c r="A7" s="594"/>
      <c r="B7" s="681"/>
      <c r="C7" s="671"/>
      <c r="D7" s="560"/>
      <c r="E7" s="561"/>
      <c r="F7" s="543"/>
      <c r="G7" s="562"/>
      <c r="H7" s="563"/>
      <c r="I7" s="564"/>
      <c r="J7" s="543"/>
      <c r="K7" s="562"/>
      <c r="L7" s="563"/>
      <c r="M7" s="565"/>
      <c r="N7" s="671"/>
      <c r="O7" s="560"/>
      <c r="P7" s="561"/>
      <c r="Q7" s="543"/>
      <c r="R7" s="562"/>
      <c r="S7" s="563"/>
      <c r="T7" s="564"/>
      <c r="U7" s="543"/>
      <c r="V7" s="562"/>
      <c r="W7" s="563"/>
      <c r="X7" s="565"/>
      <c r="Y7" s="671"/>
      <c r="Z7" s="560"/>
      <c r="AA7" s="561"/>
      <c r="AB7" s="543"/>
      <c r="AC7" s="562"/>
      <c r="AD7" s="563"/>
      <c r="AE7" s="564"/>
      <c r="AF7" s="543"/>
      <c r="AG7" s="562"/>
      <c r="AH7" s="563"/>
      <c r="AI7" s="565"/>
    </row>
    <row r="8" spans="1:37" s="569" customFormat="1" ht="18.75" customHeight="1">
      <c r="A8" s="596">
        <v>1</v>
      </c>
      <c r="B8" s="682" t="s">
        <v>348</v>
      </c>
      <c r="C8" s="675"/>
      <c r="D8" s="567">
        <f>SUM(D9:D17)</f>
        <v>2224001.7833333332</v>
      </c>
      <c r="E8" s="568">
        <f>SUM(E9:E17)</f>
        <v>4.6820164517720988</v>
      </c>
      <c r="F8" s="566"/>
      <c r="G8" s="567">
        <f>SUM(G10:G17)</f>
        <v>534537.1</v>
      </c>
      <c r="H8" s="568">
        <f>SUM(H10:H17)</f>
        <v>2.8566025827447477</v>
      </c>
      <c r="I8" s="568">
        <f>SUM(I9:I17)</f>
        <v>7.5386190345168469</v>
      </c>
      <c r="J8" s="566"/>
      <c r="K8" s="567">
        <f>SUM(K10:K17)</f>
        <v>152743.45000000001</v>
      </c>
      <c r="L8" s="568">
        <f>SUM(L10:L17)</f>
        <v>0.53056917838578843</v>
      </c>
      <c r="M8" s="568">
        <f>SUM(M9:M17)</f>
        <v>5.2125856301578875</v>
      </c>
      <c r="N8" s="675"/>
      <c r="O8" s="567">
        <f>SUM(O9:O17)</f>
        <v>2446401.9616666669</v>
      </c>
      <c r="P8" s="568">
        <f>SUM(P9:P17)</f>
        <v>5.1502180969493097</v>
      </c>
      <c r="Q8" s="566"/>
      <c r="R8" s="567">
        <f>SUM(R10:R17)</f>
        <v>587990.81000000006</v>
      </c>
      <c r="S8" s="568">
        <f>SUM(S10:S17)</f>
        <v>3.1422628410192228</v>
      </c>
      <c r="T8" s="568">
        <f>SUM(T9:T17)</f>
        <v>8.2924809379685325</v>
      </c>
      <c r="U8" s="566"/>
      <c r="V8" s="567">
        <f>SUM(V10:V17)</f>
        <v>168017.79500000001</v>
      </c>
      <c r="W8" s="568">
        <f>SUM(W10:W17)</f>
        <v>0.58362609622436734</v>
      </c>
      <c r="X8" s="568">
        <f>SUM(X9:X17)</f>
        <v>5.7338441931736774</v>
      </c>
      <c r="Y8" s="675"/>
      <c r="Z8" s="567">
        <f>SUM(Z9:Z17)</f>
        <v>2691042.1578333341</v>
      </c>
      <c r="AA8" s="568">
        <f>SUM(AA9:AA17)</f>
        <v>5.6652399066442412</v>
      </c>
      <c r="AB8" s="566"/>
      <c r="AC8" s="567">
        <f>SUM(AC10:AC17)</f>
        <v>646789.89100000006</v>
      </c>
      <c r="AD8" s="568">
        <f>SUM(AD10:AD17)</f>
        <v>3.4564891251211449</v>
      </c>
      <c r="AE8" s="568">
        <f>SUM(AE9:AE17)</f>
        <v>9.121729031765387</v>
      </c>
      <c r="AF8" s="566"/>
      <c r="AG8" s="567">
        <f>SUM(AG10:AG17)</f>
        <v>184819.57450000002</v>
      </c>
      <c r="AH8" s="568">
        <f>SUM(AH10:AH17)</f>
        <v>0.64198870584680412</v>
      </c>
      <c r="AI8" s="568">
        <f>SUM(AI9:AI17)</f>
        <v>6.3072286124910448</v>
      </c>
    </row>
    <row r="9" spans="1:37" s="542" customFormat="1" ht="18.75" customHeight="1" outlineLevel="1">
      <c r="A9" s="598" t="s">
        <v>2</v>
      </c>
      <c r="B9" s="683" t="s">
        <v>348</v>
      </c>
      <c r="C9" s="671"/>
      <c r="D9" s="570">
        <f>Manpower!M8</f>
        <v>180000</v>
      </c>
      <c r="E9" s="561">
        <f t="shared" ref="E9:E11" si="0">D9/$E$4</f>
        <v>0.37893987659301465</v>
      </c>
      <c r="F9" s="543"/>
      <c r="G9" s="571">
        <v>0</v>
      </c>
      <c r="H9" s="561">
        <f t="shared" ref="H9:H17" si="1">G9/$H$4</f>
        <v>0</v>
      </c>
      <c r="I9" s="561">
        <f>E9+H9</f>
        <v>0.37893987659301465</v>
      </c>
      <c r="J9" s="543"/>
      <c r="K9" s="571"/>
      <c r="L9" s="561">
        <f t="shared" ref="L9" si="2">K9/$L$4</f>
        <v>0</v>
      </c>
      <c r="M9" s="561">
        <f>E9+L9</f>
        <v>0.37893987659301465</v>
      </c>
      <c r="N9" s="671"/>
      <c r="O9" s="570">
        <f>D9*110%</f>
        <v>198000.00000000003</v>
      </c>
      <c r="P9" s="561">
        <f t="shared" ref="P9:P11" si="3">O9/$E$4</f>
        <v>0.41683386425231617</v>
      </c>
      <c r="Q9" s="543"/>
      <c r="R9" s="571">
        <f>G9*110%</f>
        <v>0</v>
      </c>
      <c r="S9" s="561">
        <f t="shared" ref="S9:S17" si="4">R9/$H$4</f>
        <v>0</v>
      </c>
      <c r="T9" s="561">
        <f>P9+S9</f>
        <v>0.41683386425231617</v>
      </c>
      <c r="U9" s="543"/>
      <c r="V9" s="571">
        <f>K9*110%</f>
        <v>0</v>
      </c>
      <c r="W9" s="561">
        <f t="shared" ref="W9" si="5">V9/$L$4</f>
        <v>0</v>
      </c>
      <c r="X9" s="561">
        <f>P9+W9</f>
        <v>0.41683386425231617</v>
      </c>
      <c r="Y9" s="671"/>
      <c r="Z9" s="570">
        <f>O9*110%</f>
        <v>217800.00000000006</v>
      </c>
      <c r="AA9" s="561">
        <f t="shared" ref="AA9:AA11" si="6">Z9/$E$4</f>
        <v>0.45851725067754784</v>
      </c>
      <c r="AB9" s="543"/>
      <c r="AC9" s="571">
        <f>R9*110%</f>
        <v>0</v>
      </c>
      <c r="AD9" s="561">
        <f t="shared" ref="AD9:AD17" si="7">AC9/$H$4</f>
        <v>0</v>
      </c>
      <c r="AE9" s="561">
        <f>AA9+AD9</f>
        <v>0.45851725067754784</v>
      </c>
      <c r="AF9" s="543"/>
      <c r="AG9" s="571">
        <f>V9*110%</f>
        <v>0</v>
      </c>
      <c r="AH9" s="561">
        <f t="shared" ref="AH9" si="8">AG9/$L$4</f>
        <v>0</v>
      </c>
      <c r="AI9" s="561">
        <f>AA9+AH9</f>
        <v>0.45851725067754784</v>
      </c>
    </row>
    <row r="10" spans="1:37" s="542" customFormat="1" ht="18.75" customHeight="1" outlineLevel="1">
      <c r="A10" s="598" t="s">
        <v>3</v>
      </c>
      <c r="B10" s="683" t="s">
        <v>345</v>
      </c>
      <c r="C10" s="671"/>
      <c r="D10" s="570">
        <f>Manpower!M20</f>
        <v>495833.33333333331</v>
      </c>
      <c r="E10" s="561">
        <f t="shared" si="0"/>
        <v>1.0438390119113135</v>
      </c>
      <c r="F10" s="543"/>
      <c r="G10" s="571">
        <v>0</v>
      </c>
      <c r="H10" s="561">
        <f t="shared" si="1"/>
        <v>0</v>
      </c>
      <c r="I10" s="561">
        <f t="shared" ref="I10:I17" si="9">E10+H10</f>
        <v>1.0438390119113135</v>
      </c>
      <c r="J10" s="543"/>
      <c r="K10" s="571">
        <f>G10*110%</f>
        <v>0</v>
      </c>
      <c r="L10" s="561">
        <f>K10/$L$4</f>
        <v>0</v>
      </c>
      <c r="M10" s="561">
        <f t="shared" ref="M10:M17" si="10">E10+L10</f>
        <v>1.0438390119113135</v>
      </c>
      <c r="N10" s="671"/>
      <c r="O10" s="570">
        <f t="shared" ref="O10:O17" si="11">D10*110%</f>
        <v>545416.66666666674</v>
      </c>
      <c r="P10" s="561">
        <f t="shared" si="3"/>
        <v>1.1482229131024451</v>
      </c>
      <c r="Q10" s="543"/>
      <c r="R10" s="571">
        <f t="shared" ref="R10:R17" si="12">G10*110%</f>
        <v>0</v>
      </c>
      <c r="S10" s="561">
        <f t="shared" si="4"/>
        <v>0</v>
      </c>
      <c r="T10" s="561">
        <f t="shared" ref="T10:T17" si="13">P10+S10</f>
        <v>1.1482229131024451</v>
      </c>
      <c r="U10" s="543"/>
      <c r="V10" s="571">
        <f t="shared" ref="V10:V17" si="14">K10*110%</f>
        <v>0</v>
      </c>
      <c r="W10" s="561">
        <f>V10/$L$4</f>
        <v>0</v>
      </c>
      <c r="X10" s="561">
        <f t="shared" ref="X10:X17" si="15">P10+W10</f>
        <v>1.1482229131024451</v>
      </c>
      <c r="Y10" s="671"/>
      <c r="Z10" s="570">
        <f t="shared" ref="Z10:Z17" si="16">O10*110%</f>
        <v>599958.33333333349</v>
      </c>
      <c r="AA10" s="561">
        <f t="shared" si="6"/>
        <v>1.2630452044126896</v>
      </c>
      <c r="AB10" s="543"/>
      <c r="AC10" s="571">
        <f t="shared" ref="AC10:AC17" si="17">R10*110%</f>
        <v>0</v>
      </c>
      <c r="AD10" s="561">
        <f t="shared" si="7"/>
        <v>0</v>
      </c>
      <c r="AE10" s="561">
        <f t="shared" ref="AE10:AE17" si="18">AA10+AD10</f>
        <v>1.2630452044126896</v>
      </c>
      <c r="AF10" s="543"/>
      <c r="AG10" s="571">
        <f t="shared" ref="AG10:AG17" si="19">V10*110%</f>
        <v>0</v>
      </c>
      <c r="AH10" s="561">
        <f>AG10/$L$4</f>
        <v>0</v>
      </c>
      <c r="AI10" s="561">
        <f t="shared" ref="AI10:AI17" si="20">AA10+AH10</f>
        <v>1.2630452044126896</v>
      </c>
    </row>
    <row r="11" spans="1:37" s="542" customFormat="1" ht="18.75" customHeight="1" outlineLevel="1">
      <c r="A11" s="600" t="s">
        <v>4</v>
      </c>
      <c r="B11" s="683" t="s">
        <v>296</v>
      </c>
      <c r="C11" s="671"/>
      <c r="D11" s="570">
        <v>225000</v>
      </c>
      <c r="E11" s="561">
        <f t="shared" si="0"/>
        <v>0.47367484574126828</v>
      </c>
      <c r="F11" s="543"/>
      <c r="G11" s="571">
        <v>0</v>
      </c>
      <c r="H11" s="561">
        <f t="shared" si="1"/>
        <v>0</v>
      </c>
      <c r="I11" s="561">
        <f t="shared" si="9"/>
        <v>0.47367484574126828</v>
      </c>
      <c r="J11" s="543"/>
      <c r="K11" s="571">
        <f>G11*110%</f>
        <v>0</v>
      </c>
      <c r="L11" s="561">
        <f t="shared" ref="L11:L17" si="21">K11/$L$4</f>
        <v>0</v>
      </c>
      <c r="M11" s="561">
        <f t="shared" si="10"/>
        <v>0.47367484574126828</v>
      </c>
      <c r="N11" s="671"/>
      <c r="O11" s="570">
        <f t="shared" si="11"/>
        <v>247500.00000000003</v>
      </c>
      <c r="P11" s="561">
        <f t="shared" si="3"/>
        <v>0.52104233031539515</v>
      </c>
      <c r="Q11" s="543"/>
      <c r="R11" s="571">
        <f t="shared" si="12"/>
        <v>0</v>
      </c>
      <c r="S11" s="561">
        <f t="shared" si="4"/>
        <v>0</v>
      </c>
      <c r="T11" s="561">
        <f t="shared" si="13"/>
        <v>0.52104233031539515</v>
      </c>
      <c r="U11" s="543"/>
      <c r="V11" s="571">
        <f t="shared" si="14"/>
        <v>0</v>
      </c>
      <c r="W11" s="561">
        <f t="shared" ref="W11:W17" si="22">V11/$L$4</f>
        <v>0</v>
      </c>
      <c r="X11" s="561">
        <f t="shared" si="15"/>
        <v>0.52104233031539515</v>
      </c>
      <c r="Y11" s="671"/>
      <c r="Z11" s="570">
        <f t="shared" si="16"/>
        <v>272250.00000000006</v>
      </c>
      <c r="AA11" s="561">
        <f t="shared" si="6"/>
        <v>0.57314656334693481</v>
      </c>
      <c r="AB11" s="543"/>
      <c r="AC11" s="571">
        <f t="shared" si="17"/>
        <v>0</v>
      </c>
      <c r="AD11" s="561">
        <f t="shared" si="7"/>
        <v>0</v>
      </c>
      <c r="AE11" s="561">
        <f t="shared" si="18"/>
        <v>0.57314656334693481</v>
      </c>
      <c r="AF11" s="543"/>
      <c r="AG11" s="571">
        <f t="shared" si="19"/>
        <v>0</v>
      </c>
      <c r="AH11" s="561">
        <f t="shared" ref="AH11:AH17" si="23">AG11/$L$4</f>
        <v>0</v>
      </c>
      <c r="AI11" s="561">
        <f t="shared" si="20"/>
        <v>0.57314656334693481</v>
      </c>
    </row>
    <row r="12" spans="1:37" s="542" customFormat="1" ht="18.75" customHeight="1" outlineLevel="1">
      <c r="A12" s="600" t="s">
        <v>6</v>
      </c>
      <c r="B12" s="684" t="s">
        <v>95</v>
      </c>
      <c r="C12" s="671"/>
      <c r="D12" s="570">
        <f>Manpower!M33</f>
        <v>572810</v>
      </c>
      <c r="E12" s="561">
        <f>D12/$E$4</f>
        <v>1.2058919483958039</v>
      </c>
      <c r="F12" s="543"/>
      <c r="G12" s="571">
        <v>0</v>
      </c>
      <c r="H12" s="561">
        <f t="shared" si="1"/>
        <v>0</v>
      </c>
      <c r="I12" s="561">
        <f t="shared" si="9"/>
        <v>1.2058919483958039</v>
      </c>
      <c r="J12" s="543"/>
      <c r="K12" s="571">
        <f>G12*110%</f>
        <v>0</v>
      </c>
      <c r="L12" s="561">
        <f t="shared" si="21"/>
        <v>0</v>
      </c>
      <c r="M12" s="561">
        <f t="shared" si="10"/>
        <v>1.2058919483958039</v>
      </c>
      <c r="N12" s="671"/>
      <c r="O12" s="570">
        <f t="shared" si="11"/>
        <v>630091</v>
      </c>
      <c r="P12" s="561">
        <f>O12/$E$4</f>
        <v>1.3264811432353845</v>
      </c>
      <c r="Q12" s="543"/>
      <c r="R12" s="571">
        <f t="shared" si="12"/>
        <v>0</v>
      </c>
      <c r="S12" s="561">
        <f t="shared" si="4"/>
        <v>0</v>
      </c>
      <c r="T12" s="561">
        <f t="shared" si="13"/>
        <v>1.3264811432353845</v>
      </c>
      <c r="U12" s="543"/>
      <c r="V12" s="571">
        <f t="shared" si="14"/>
        <v>0</v>
      </c>
      <c r="W12" s="561">
        <f t="shared" si="22"/>
        <v>0</v>
      </c>
      <c r="X12" s="561">
        <f t="shared" si="15"/>
        <v>1.3264811432353845</v>
      </c>
      <c r="Y12" s="671"/>
      <c r="Z12" s="570">
        <f t="shared" si="16"/>
        <v>693100.10000000009</v>
      </c>
      <c r="AA12" s="561">
        <f>Z12/$E$4</f>
        <v>1.459129257558923</v>
      </c>
      <c r="AB12" s="543"/>
      <c r="AC12" s="571">
        <f t="shared" si="17"/>
        <v>0</v>
      </c>
      <c r="AD12" s="561">
        <f t="shared" si="7"/>
        <v>0</v>
      </c>
      <c r="AE12" s="561">
        <f t="shared" si="18"/>
        <v>1.459129257558923</v>
      </c>
      <c r="AF12" s="543"/>
      <c r="AG12" s="571">
        <f t="shared" si="19"/>
        <v>0</v>
      </c>
      <c r="AH12" s="561">
        <f t="shared" si="23"/>
        <v>0</v>
      </c>
      <c r="AI12" s="561">
        <f t="shared" si="20"/>
        <v>1.459129257558923</v>
      </c>
    </row>
    <row r="13" spans="1:37" s="542" customFormat="1" ht="18.75" customHeight="1" outlineLevel="1">
      <c r="A13" s="600" t="s">
        <v>7</v>
      </c>
      <c r="B13" s="684" t="s">
        <v>349</v>
      </c>
      <c r="C13" s="671"/>
      <c r="D13" s="570">
        <f>Manpower!M40</f>
        <v>132704.45000000001</v>
      </c>
      <c r="E13" s="561">
        <f t="shared" ref="E13:E17" si="24">D13/$E$4</f>
        <v>0.27937226614635491</v>
      </c>
      <c r="F13" s="543"/>
      <c r="G13" s="570">
        <f>Manpower!M45</f>
        <v>303957.09999999998</v>
      </c>
      <c r="H13" s="561">
        <f t="shared" si="1"/>
        <v>1.6243673954597417</v>
      </c>
      <c r="I13" s="561">
        <f t="shared" si="9"/>
        <v>1.9037396616060966</v>
      </c>
      <c r="J13" s="543"/>
      <c r="K13" s="570">
        <f>Manpower!M49</f>
        <v>95098.45</v>
      </c>
      <c r="L13" s="561">
        <f t="shared" si="21"/>
        <v>0.33033368358683785</v>
      </c>
      <c r="M13" s="561">
        <f t="shared" si="10"/>
        <v>0.6097059497331927</v>
      </c>
      <c r="N13" s="671"/>
      <c r="O13" s="570">
        <f t="shared" si="11"/>
        <v>145974.89500000002</v>
      </c>
      <c r="P13" s="561">
        <f t="shared" ref="P13:P17" si="25">O13/$E$4</f>
        <v>0.3073094927609904</v>
      </c>
      <c r="Q13" s="543"/>
      <c r="R13" s="571">
        <f t="shared" si="12"/>
        <v>334352.81</v>
      </c>
      <c r="S13" s="561">
        <f t="shared" si="4"/>
        <v>1.786804135005716</v>
      </c>
      <c r="T13" s="561">
        <f t="shared" si="13"/>
        <v>2.0941136277667063</v>
      </c>
      <c r="U13" s="543"/>
      <c r="V13" s="571">
        <f t="shared" si="14"/>
        <v>104608.295</v>
      </c>
      <c r="W13" s="561">
        <f t="shared" si="22"/>
        <v>0.3633670519455216</v>
      </c>
      <c r="X13" s="561">
        <f t="shared" si="15"/>
        <v>0.67067654470651195</v>
      </c>
      <c r="Y13" s="671"/>
      <c r="Z13" s="570">
        <f t="shared" si="16"/>
        <v>160572.38450000004</v>
      </c>
      <c r="AA13" s="561">
        <f t="shared" ref="AA13:AA17" si="26">Z13/$E$4</f>
        <v>0.33804044203708949</v>
      </c>
      <c r="AB13" s="543"/>
      <c r="AC13" s="571">
        <f t="shared" si="17"/>
        <v>367788.09100000001</v>
      </c>
      <c r="AD13" s="561">
        <f t="shared" si="7"/>
        <v>1.9654845485062877</v>
      </c>
      <c r="AE13" s="561">
        <f t="shared" si="18"/>
        <v>2.3035249905433774</v>
      </c>
      <c r="AF13" s="543"/>
      <c r="AG13" s="571">
        <f t="shared" si="19"/>
        <v>115069.12450000001</v>
      </c>
      <c r="AH13" s="561">
        <f t="shared" si="23"/>
        <v>0.39970375714007378</v>
      </c>
      <c r="AI13" s="561">
        <f t="shared" si="20"/>
        <v>0.73774419917716327</v>
      </c>
    </row>
    <row r="14" spans="1:37" s="542" customFormat="1" ht="18.75" customHeight="1" outlineLevel="1">
      <c r="A14" s="600" t="s">
        <v>8</v>
      </c>
      <c r="B14" s="684" t="s">
        <v>160</v>
      </c>
      <c r="C14" s="671"/>
      <c r="D14" s="572">
        <f>Manpower!M53</f>
        <v>45648</v>
      </c>
      <c r="E14" s="561">
        <f t="shared" si="24"/>
        <v>9.6099152703988514E-2</v>
      </c>
      <c r="F14" s="543"/>
      <c r="G14" s="571">
        <v>0</v>
      </c>
      <c r="H14" s="561">
        <f t="shared" si="1"/>
        <v>0</v>
      </c>
      <c r="I14" s="561">
        <f t="shared" si="9"/>
        <v>9.6099152703988514E-2</v>
      </c>
      <c r="J14" s="543"/>
      <c r="K14" s="571">
        <v>0</v>
      </c>
      <c r="L14" s="561">
        <f t="shared" si="21"/>
        <v>0</v>
      </c>
      <c r="M14" s="561">
        <f t="shared" si="10"/>
        <v>9.6099152703988514E-2</v>
      </c>
      <c r="N14" s="671"/>
      <c r="O14" s="570">
        <f t="shared" si="11"/>
        <v>50212.800000000003</v>
      </c>
      <c r="P14" s="561">
        <f t="shared" si="25"/>
        <v>0.10570906797438737</v>
      </c>
      <c r="Q14" s="543"/>
      <c r="R14" s="571">
        <f t="shared" si="12"/>
        <v>0</v>
      </c>
      <c r="S14" s="561">
        <f t="shared" si="4"/>
        <v>0</v>
      </c>
      <c r="T14" s="561">
        <f t="shared" si="13"/>
        <v>0.10570906797438737</v>
      </c>
      <c r="U14" s="543"/>
      <c r="V14" s="571">
        <f t="shared" si="14"/>
        <v>0</v>
      </c>
      <c r="W14" s="561">
        <f t="shared" si="22"/>
        <v>0</v>
      </c>
      <c r="X14" s="561">
        <f t="shared" si="15"/>
        <v>0.10570906797438737</v>
      </c>
      <c r="Y14" s="671"/>
      <c r="Z14" s="570">
        <f t="shared" si="16"/>
        <v>55234.080000000009</v>
      </c>
      <c r="AA14" s="561">
        <f t="shared" si="26"/>
        <v>0.11627997477182613</v>
      </c>
      <c r="AB14" s="543"/>
      <c r="AC14" s="571">
        <f t="shared" si="17"/>
        <v>0</v>
      </c>
      <c r="AD14" s="561">
        <f t="shared" si="7"/>
        <v>0</v>
      </c>
      <c r="AE14" s="561">
        <f t="shared" si="18"/>
        <v>0.11627997477182613</v>
      </c>
      <c r="AF14" s="543"/>
      <c r="AG14" s="571">
        <f t="shared" si="19"/>
        <v>0</v>
      </c>
      <c r="AH14" s="561">
        <f t="shared" si="23"/>
        <v>0</v>
      </c>
      <c r="AI14" s="561">
        <f t="shared" si="20"/>
        <v>0.11627997477182613</v>
      </c>
    </row>
    <row r="15" spans="1:37" s="542" customFormat="1" ht="18.75" customHeight="1" outlineLevel="1">
      <c r="A15" s="600" t="s">
        <v>119</v>
      </c>
      <c r="B15" s="684" t="s">
        <v>107</v>
      </c>
      <c r="C15" s="671"/>
      <c r="D15" s="570">
        <f>100000*20/100</f>
        <v>20000</v>
      </c>
      <c r="E15" s="561">
        <f t="shared" si="24"/>
        <v>4.210443073255718E-2</v>
      </c>
      <c r="F15" s="543"/>
      <c r="G15" s="571">
        <v>0</v>
      </c>
      <c r="H15" s="561">
        <f t="shared" si="1"/>
        <v>0</v>
      </c>
      <c r="I15" s="561">
        <f t="shared" si="9"/>
        <v>4.210443073255718E-2</v>
      </c>
      <c r="J15" s="543"/>
      <c r="K15" s="571">
        <v>0</v>
      </c>
      <c r="L15" s="561">
        <f t="shared" si="21"/>
        <v>0</v>
      </c>
      <c r="M15" s="561">
        <f t="shared" si="10"/>
        <v>4.210443073255718E-2</v>
      </c>
      <c r="N15" s="671"/>
      <c r="O15" s="570">
        <f t="shared" si="11"/>
        <v>22000</v>
      </c>
      <c r="P15" s="561">
        <f t="shared" si="25"/>
        <v>4.6314873805812902E-2</v>
      </c>
      <c r="Q15" s="543"/>
      <c r="R15" s="571">
        <f t="shared" si="12"/>
        <v>0</v>
      </c>
      <c r="S15" s="561">
        <f t="shared" si="4"/>
        <v>0</v>
      </c>
      <c r="T15" s="561">
        <f t="shared" si="13"/>
        <v>4.6314873805812902E-2</v>
      </c>
      <c r="U15" s="543"/>
      <c r="V15" s="571">
        <f t="shared" si="14"/>
        <v>0</v>
      </c>
      <c r="W15" s="561">
        <f t="shared" si="22"/>
        <v>0</v>
      </c>
      <c r="X15" s="561">
        <f t="shared" si="15"/>
        <v>4.6314873805812902E-2</v>
      </c>
      <c r="Y15" s="671"/>
      <c r="Z15" s="570">
        <f t="shared" si="16"/>
        <v>24200.000000000004</v>
      </c>
      <c r="AA15" s="561">
        <f t="shared" si="26"/>
        <v>5.0946361186394201E-2</v>
      </c>
      <c r="AB15" s="543"/>
      <c r="AC15" s="571">
        <f t="shared" si="17"/>
        <v>0</v>
      </c>
      <c r="AD15" s="561">
        <f t="shared" si="7"/>
        <v>0</v>
      </c>
      <c r="AE15" s="561">
        <f t="shared" si="18"/>
        <v>5.0946361186394201E-2</v>
      </c>
      <c r="AF15" s="543"/>
      <c r="AG15" s="571">
        <f t="shared" si="19"/>
        <v>0</v>
      </c>
      <c r="AH15" s="561">
        <f t="shared" si="23"/>
        <v>0</v>
      </c>
      <c r="AI15" s="561">
        <f t="shared" si="20"/>
        <v>5.0946361186394201E-2</v>
      </c>
    </row>
    <row r="16" spans="1:37" s="542" customFormat="1" ht="18.75" customHeight="1" outlineLevel="1">
      <c r="A16" s="600" t="s">
        <v>125</v>
      </c>
      <c r="B16" s="684" t="s">
        <v>76</v>
      </c>
      <c r="C16" s="671"/>
      <c r="D16" s="570">
        <f>Manpower!M84</f>
        <v>84952</v>
      </c>
      <c r="E16" s="561">
        <f t="shared" si="24"/>
        <v>0.1788427799796099</v>
      </c>
      <c r="F16" s="543"/>
      <c r="G16" s="571"/>
      <c r="H16" s="561">
        <f t="shared" ref="H16" si="27">G16/$H$4</f>
        <v>0</v>
      </c>
      <c r="I16" s="561">
        <f t="shared" ref="I16" si="28">E16+H16</f>
        <v>0.1788427799796099</v>
      </c>
      <c r="J16" s="543"/>
      <c r="K16" s="571"/>
      <c r="L16" s="561">
        <f t="shared" ref="L16" si="29">K16/$L$4</f>
        <v>0</v>
      </c>
      <c r="M16" s="561">
        <f t="shared" ref="M16" si="30">E16+L16</f>
        <v>0.1788427799796099</v>
      </c>
      <c r="N16" s="671"/>
      <c r="O16" s="570">
        <f t="shared" ref="O16" si="31">D16*110%</f>
        <v>93447.200000000012</v>
      </c>
      <c r="P16" s="561">
        <f t="shared" ref="P16" si="32">O16/$E$4</f>
        <v>0.1967270579775709</v>
      </c>
      <c r="Q16" s="543"/>
      <c r="R16" s="571"/>
      <c r="S16" s="561">
        <f t="shared" ref="S16" si="33">R16/$H$4</f>
        <v>0</v>
      </c>
      <c r="T16" s="561">
        <f t="shared" ref="T16" si="34">P16+S16</f>
        <v>0.1967270579775709</v>
      </c>
      <c r="U16" s="543"/>
      <c r="V16" s="571"/>
      <c r="W16" s="561">
        <f t="shared" ref="W16" si="35">V16/$L$4</f>
        <v>0</v>
      </c>
      <c r="X16" s="561">
        <f t="shared" ref="X16" si="36">P16+W16</f>
        <v>0.1967270579775709</v>
      </c>
      <c r="Y16" s="671"/>
      <c r="Z16" s="570">
        <f t="shared" ref="Z16" si="37">O16*110%</f>
        <v>102791.92000000003</v>
      </c>
      <c r="AA16" s="561">
        <f t="shared" ref="AA16" si="38">Z16/$E$4</f>
        <v>0.21639976377532802</v>
      </c>
      <c r="AB16" s="543"/>
      <c r="AC16" s="571"/>
      <c r="AD16" s="561">
        <f t="shared" ref="AD16" si="39">AC16/$H$4</f>
        <v>0</v>
      </c>
      <c r="AE16" s="561">
        <f t="shared" ref="AE16" si="40">AA16+AD16</f>
        <v>0.21639976377532802</v>
      </c>
      <c r="AF16" s="543"/>
      <c r="AG16" s="571"/>
      <c r="AH16" s="561">
        <f t="shared" ref="AH16" si="41">AG16/$L$4</f>
        <v>0</v>
      </c>
      <c r="AI16" s="561">
        <f t="shared" ref="AI16" si="42">AA16+AH16</f>
        <v>0.21639976377532802</v>
      </c>
    </row>
    <row r="17" spans="1:35" s="542" customFormat="1" ht="18.75" customHeight="1" outlineLevel="1">
      <c r="A17" s="600" t="s">
        <v>246</v>
      </c>
      <c r="B17" s="684" t="s">
        <v>102</v>
      </c>
      <c r="C17" s="671"/>
      <c r="D17" s="572">
        <f>Manpower!M68</f>
        <v>467054</v>
      </c>
      <c r="E17" s="561">
        <f t="shared" si="24"/>
        <v>0.98325213956818813</v>
      </c>
      <c r="F17" s="543"/>
      <c r="G17" s="570">
        <f>Manpower!M73</f>
        <v>230580</v>
      </c>
      <c r="H17" s="561">
        <f t="shared" si="1"/>
        <v>1.2322351872850059</v>
      </c>
      <c r="I17" s="561">
        <f t="shared" si="9"/>
        <v>2.2154873268531938</v>
      </c>
      <c r="J17" s="543"/>
      <c r="K17" s="570">
        <f>Manpower!M76</f>
        <v>57645</v>
      </c>
      <c r="L17" s="561">
        <f t="shared" si="21"/>
        <v>0.20023549479895064</v>
      </c>
      <c r="M17" s="561">
        <f t="shared" si="10"/>
        <v>1.1834876343671388</v>
      </c>
      <c r="N17" s="671"/>
      <c r="O17" s="570">
        <f t="shared" si="11"/>
        <v>513759.4</v>
      </c>
      <c r="P17" s="561">
        <f t="shared" si="25"/>
        <v>1.0815773535250071</v>
      </c>
      <c r="Q17" s="543"/>
      <c r="R17" s="571">
        <f t="shared" si="12"/>
        <v>253638.00000000003</v>
      </c>
      <c r="S17" s="561">
        <f t="shared" si="4"/>
        <v>1.3554587060135068</v>
      </c>
      <c r="T17" s="561">
        <f t="shared" si="13"/>
        <v>2.4370360595385137</v>
      </c>
      <c r="U17" s="543"/>
      <c r="V17" s="571">
        <f t="shared" si="14"/>
        <v>63409.500000000007</v>
      </c>
      <c r="W17" s="561">
        <f t="shared" si="22"/>
        <v>0.22025904427884571</v>
      </c>
      <c r="X17" s="561">
        <f t="shared" si="15"/>
        <v>1.3018363978038527</v>
      </c>
      <c r="Y17" s="671"/>
      <c r="Z17" s="570">
        <f t="shared" si="16"/>
        <v>565135.34000000008</v>
      </c>
      <c r="AA17" s="561">
        <f t="shared" si="26"/>
        <v>1.1897350888775078</v>
      </c>
      <c r="AB17" s="543"/>
      <c r="AC17" s="571">
        <f t="shared" si="17"/>
        <v>279001.80000000005</v>
      </c>
      <c r="AD17" s="561">
        <f t="shared" si="7"/>
        <v>1.4910045766148574</v>
      </c>
      <c r="AE17" s="561">
        <f t="shared" si="18"/>
        <v>2.6807396654923652</v>
      </c>
      <c r="AF17" s="543"/>
      <c r="AG17" s="571">
        <f t="shared" si="19"/>
        <v>69750.450000000012</v>
      </c>
      <c r="AH17" s="561">
        <f t="shared" si="23"/>
        <v>0.24228494870673031</v>
      </c>
      <c r="AI17" s="561">
        <f t="shared" si="20"/>
        <v>1.432020037584238</v>
      </c>
    </row>
    <row r="18" spans="1:35" s="542" customFormat="1" ht="8.25" customHeight="1">
      <c r="A18" s="602"/>
      <c r="B18" s="685"/>
      <c r="C18" s="671"/>
      <c r="D18" s="573"/>
      <c r="E18" s="574"/>
      <c r="F18" s="543"/>
      <c r="G18" s="573"/>
      <c r="H18" s="574"/>
      <c r="I18" s="574"/>
      <c r="J18" s="543"/>
      <c r="K18" s="573"/>
      <c r="L18" s="574"/>
      <c r="M18" s="574"/>
      <c r="N18" s="671"/>
      <c r="O18" s="573"/>
      <c r="P18" s="574"/>
      <c r="Q18" s="543"/>
      <c r="R18" s="573"/>
      <c r="S18" s="574"/>
      <c r="T18" s="574"/>
      <c r="U18" s="543"/>
      <c r="V18" s="573"/>
      <c r="W18" s="574"/>
      <c r="X18" s="574"/>
      <c r="Y18" s="671"/>
      <c r="Z18" s="573"/>
      <c r="AA18" s="574"/>
      <c r="AB18" s="543"/>
      <c r="AC18" s="573"/>
      <c r="AD18" s="574"/>
      <c r="AE18" s="574"/>
      <c r="AF18" s="543"/>
      <c r="AG18" s="573"/>
      <c r="AH18" s="574"/>
      <c r="AI18" s="574"/>
    </row>
    <row r="19" spans="1:35" s="542" customFormat="1" ht="18.75" customHeight="1">
      <c r="A19" s="596">
        <v>2</v>
      </c>
      <c r="B19" s="682" t="s">
        <v>247</v>
      </c>
      <c r="C19" s="675"/>
      <c r="D19" s="567">
        <f>SUM(D20:D24)</f>
        <v>324620.2</v>
      </c>
      <c r="E19" s="568">
        <f>SUM(E20:E24)</f>
        <v>0.68339743626444294</v>
      </c>
      <c r="F19" s="566"/>
      <c r="G19" s="567">
        <f>SUM(G20:G24)</f>
        <v>100268.21230755554</v>
      </c>
      <c r="H19" s="568">
        <f>SUM(H20:H24)</f>
        <v>0.21108679998904051</v>
      </c>
      <c r="I19" s="568">
        <f>SUM(I20:I24)</f>
        <v>0.8944842362534835</v>
      </c>
      <c r="J19" s="566"/>
      <c r="K19" s="567">
        <f>SUM(K20:K24)</f>
        <v>32889.211880000003</v>
      </c>
      <c r="L19" s="568">
        <f>SUM(L20:L24)</f>
        <v>6.9239077172492836E-2</v>
      </c>
      <c r="M19" s="568">
        <f>SUM(M20:M24)</f>
        <v>0.75263651343693583</v>
      </c>
      <c r="N19" s="671"/>
      <c r="O19" s="567">
        <f>SUM(O20:O24)</f>
        <v>346329.72000000003</v>
      </c>
      <c r="P19" s="568">
        <f>SUM(P20:P24)</f>
        <v>0.72910078531829625</v>
      </c>
      <c r="Q19" s="566"/>
      <c r="R19" s="567">
        <f>SUM(R20:R24)</f>
        <v>105281.62292293333</v>
      </c>
      <c r="S19" s="568">
        <f>SUM(S20:S24)</f>
        <v>0.22164113998849255</v>
      </c>
      <c r="T19" s="568">
        <f>SUM(T20:T24)</f>
        <v>0.9507419253067888</v>
      </c>
      <c r="U19" s="566"/>
      <c r="V19" s="567">
        <f>SUM(V20:V24)</f>
        <v>34533.672474000006</v>
      </c>
      <c r="W19" s="568">
        <f>SUM(W20:W24)</f>
        <v>7.2701031031117483E-2</v>
      </c>
      <c r="X19" s="568">
        <f>SUM(X20:X24)</f>
        <v>0.80180181634941372</v>
      </c>
      <c r="Y19" s="671"/>
      <c r="Z19" s="567">
        <f>SUM(Z20:Z24)</f>
        <v>358519.95600000001</v>
      </c>
      <c r="AA19" s="568">
        <f>SUM(AA20:AA24)</f>
        <v>0.75476393268207254</v>
      </c>
      <c r="AB19" s="566"/>
      <c r="AC19" s="567">
        <f>SUM(AC20:AC24)</f>
        <v>110545.70406907999</v>
      </c>
      <c r="AD19" s="568">
        <f>SUM(AD20:AD24)</f>
        <v>0.23272319698791716</v>
      </c>
      <c r="AE19" s="568">
        <f>SUM(AE20:AE24)</f>
        <v>0.98748712966998975</v>
      </c>
      <c r="AF19" s="566"/>
      <c r="AG19" s="567">
        <f>SUM(AG20:AG24)</f>
        <v>36260.356097700002</v>
      </c>
      <c r="AH19" s="568">
        <f>SUM(AH20:AH24)</f>
        <v>7.6336082582673367E-2</v>
      </c>
      <c r="AI19" s="568">
        <f>SUM(AI20:AI24)</f>
        <v>0.83110001526474597</v>
      </c>
    </row>
    <row r="20" spans="1:35" s="542" customFormat="1" ht="18.75" customHeight="1" outlineLevel="1">
      <c r="A20" s="600" t="s">
        <v>2</v>
      </c>
      <c r="B20" s="684" t="s">
        <v>350</v>
      </c>
      <c r="C20" s="671"/>
      <c r="D20" s="572">
        <f>265119*80%</f>
        <v>212095.2</v>
      </c>
      <c r="E20" s="561">
        <f>D20/$E$4</f>
        <v>0.44650738285539315</v>
      </c>
      <c r="F20" s="543"/>
      <c r="G20" s="571">
        <v>80768.212307555543</v>
      </c>
      <c r="H20" s="561">
        <f>G20/$E$4</f>
        <v>0.17003498002479725</v>
      </c>
      <c r="I20" s="561">
        <f t="shared" ref="I20:I24" si="43">E20+H20</f>
        <v>0.61654236288019038</v>
      </c>
      <c r="J20" s="543"/>
      <c r="K20" s="571">
        <v>23389.211880000003</v>
      </c>
      <c r="L20" s="561">
        <f>K20/$E$4</f>
        <v>4.9239472574528181E-2</v>
      </c>
      <c r="M20" s="561">
        <f t="shared" ref="M20:M24" si="44">E20+L20</f>
        <v>0.49574685542992136</v>
      </c>
      <c r="N20" s="671"/>
      <c r="O20" s="630">
        <f>D20*110%</f>
        <v>233304.72000000003</v>
      </c>
      <c r="P20" s="561">
        <f>O20/$E$4</f>
        <v>0.49115812114093249</v>
      </c>
      <c r="Q20" s="543"/>
      <c r="R20" s="572">
        <f>G20*105%</f>
        <v>84806.622922933326</v>
      </c>
      <c r="S20" s="561">
        <f>R20/$E$4</f>
        <v>0.17853672902603712</v>
      </c>
      <c r="T20" s="561">
        <f t="shared" ref="T20:T24" si="45">P20+S20</f>
        <v>0.66969485016696961</v>
      </c>
      <c r="U20" s="543"/>
      <c r="V20" s="572">
        <f>K20*105%</f>
        <v>24558.672474000003</v>
      </c>
      <c r="W20" s="561">
        <f>V20/$E$4</f>
        <v>5.1701446203254592E-2</v>
      </c>
      <c r="X20" s="561">
        <f t="shared" ref="X20:X24" si="46">P20+W20</f>
        <v>0.54285956734418706</v>
      </c>
      <c r="Y20" s="671"/>
      <c r="Z20" s="572">
        <f>O20*105%</f>
        <v>244969.95600000003</v>
      </c>
      <c r="AA20" s="561">
        <f>Z20/$E$4</f>
        <v>0.51571602719797915</v>
      </c>
      <c r="AB20" s="543"/>
      <c r="AC20" s="572">
        <f>R20*105%</f>
        <v>89046.954069079991</v>
      </c>
      <c r="AD20" s="561">
        <f>AC20/$E$4</f>
        <v>0.18746356547733897</v>
      </c>
      <c r="AE20" s="561">
        <f t="shared" ref="AE20:AE24" si="47">AA20+AD20</f>
        <v>0.70317959267531815</v>
      </c>
      <c r="AF20" s="543"/>
      <c r="AG20" s="572">
        <f>V20*105%</f>
        <v>25786.606097700005</v>
      </c>
      <c r="AH20" s="561">
        <f>AG20/$E$4</f>
        <v>5.4286518513417328E-2</v>
      </c>
      <c r="AI20" s="561">
        <f t="shared" ref="AI20:AI24" si="48">AA20+AH20</f>
        <v>0.57000254571139652</v>
      </c>
    </row>
    <row r="21" spans="1:35" s="542" customFormat="1" ht="18.75" customHeight="1" outlineLevel="1">
      <c r="A21" s="600" t="s">
        <v>3</v>
      </c>
      <c r="B21" s="684" t="s">
        <v>105</v>
      </c>
      <c r="C21" s="671"/>
      <c r="D21" s="570">
        <f>'HK - Secr Equipments'!J14</f>
        <v>30525</v>
      </c>
      <c r="E21" s="561">
        <f>D21/$E$4</f>
        <v>6.4261887405565404E-2</v>
      </c>
      <c r="F21" s="543"/>
      <c r="G21" s="571"/>
      <c r="H21" s="561">
        <f>G21/$E$4</f>
        <v>0</v>
      </c>
      <c r="I21" s="561">
        <f t="shared" si="43"/>
        <v>6.4261887405565404E-2</v>
      </c>
      <c r="J21" s="543"/>
      <c r="K21" s="571"/>
      <c r="L21" s="561">
        <f>K21/$E$4</f>
        <v>0</v>
      </c>
      <c r="M21" s="561">
        <f t="shared" si="44"/>
        <v>6.4261887405565404E-2</v>
      </c>
      <c r="N21" s="671"/>
      <c r="O21" s="570">
        <f>D21</f>
        <v>30525</v>
      </c>
      <c r="P21" s="561">
        <f>O21/$E$4</f>
        <v>6.4261887405565404E-2</v>
      </c>
      <c r="Q21" s="543"/>
      <c r="R21" s="570">
        <f>G21</f>
        <v>0</v>
      </c>
      <c r="S21" s="561">
        <f>R21/$E$4</f>
        <v>0</v>
      </c>
      <c r="T21" s="561">
        <f t="shared" si="45"/>
        <v>6.4261887405565404E-2</v>
      </c>
      <c r="U21" s="543"/>
      <c r="V21" s="570">
        <f>K21</f>
        <v>0</v>
      </c>
      <c r="W21" s="561">
        <f>V21/$E$4</f>
        <v>0</v>
      </c>
      <c r="X21" s="561">
        <f t="shared" si="46"/>
        <v>6.4261887405565404E-2</v>
      </c>
      <c r="Y21" s="671"/>
      <c r="Z21" s="570">
        <f>O21</f>
        <v>30525</v>
      </c>
      <c r="AA21" s="561">
        <f>Z21/$E$4</f>
        <v>6.4261887405565404E-2</v>
      </c>
      <c r="AB21" s="543"/>
      <c r="AC21" s="570">
        <f>R21</f>
        <v>0</v>
      </c>
      <c r="AD21" s="561">
        <f>AC21/$E$4</f>
        <v>0</v>
      </c>
      <c r="AE21" s="561">
        <f t="shared" si="47"/>
        <v>6.4261887405565404E-2</v>
      </c>
      <c r="AF21" s="543"/>
      <c r="AG21" s="570">
        <f>V21</f>
        <v>0</v>
      </c>
      <c r="AH21" s="561">
        <f>AG21/$E$4</f>
        <v>0</v>
      </c>
      <c r="AI21" s="561">
        <f t="shared" si="48"/>
        <v>6.4261887405565404E-2</v>
      </c>
    </row>
    <row r="22" spans="1:35" s="542" customFormat="1" ht="18.75" customHeight="1" outlineLevel="1">
      <c r="A22" s="600" t="s">
        <v>4</v>
      </c>
      <c r="B22" s="684" t="s">
        <v>106</v>
      </c>
      <c r="C22" s="671"/>
      <c r="D22" s="572">
        <v>10000</v>
      </c>
      <c r="E22" s="561">
        <f t="shared" ref="E22" si="49">D22/$E$4</f>
        <v>2.105221536627859E-2</v>
      </c>
      <c r="F22" s="543"/>
      <c r="G22" s="570">
        <v>19500</v>
      </c>
      <c r="H22" s="561">
        <f>G22/$E$4</f>
        <v>4.1051819964243251E-2</v>
      </c>
      <c r="I22" s="561">
        <f t="shared" si="43"/>
        <v>6.2104035330521841E-2</v>
      </c>
      <c r="J22" s="543"/>
      <c r="K22" s="570">
        <v>9500</v>
      </c>
      <c r="L22" s="561">
        <f t="shared" ref="L22" si="50">K22/$E$4</f>
        <v>1.9999604597964661E-2</v>
      </c>
      <c r="M22" s="561">
        <f t="shared" si="44"/>
        <v>4.1051819964243251E-2</v>
      </c>
      <c r="N22" s="671"/>
      <c r="O22" s="572">
        <f t="shared" ref="O22" si="51">D22*105%</f>
        <v>10500</v>
      </c>
      <c r="P22" s="561">
        <f t="shared" ref="P22" si="52">O22/$E$4</f>
        <v>2.2104826134592522E-2</v>
      </c>
      <c r="Q22" s="543"/>
      <c r="R22" s="572">
        <f t="shared" ref="R22" si="53">G22*105%</f>
        <v>20475</v>
      </c>
      <c r="S22" s="561">
        <f>R22/$E$4</f>
        <v>4.3104410962455417E-2</v>
      </c>
      <c r="T22" s="561">
        <f t="shared" si="45"/>
        <v>6.5209237097047942E-2</v>
      </c>
      <c r="U22" s="543"/>
      <c r="V22" s="572">
        <f t="shared" ref="V22" si="54">K22*105%</f>
        <v>9975</v>
      </c>
      <c r="W22" s="561">
        <f t="shared" ref="W22" si="55">V22/$E$4</f>
        <v>2.0999584827862895E-2</v>
      </c>
      <c r="X22" s="561">
        <f t="shared" si="46"/>
        <v>4.3104410962455417E-2</v>
      </c>
      <c r="Y22" s="671"/>
      <c r="Z22" s="572">
        <f t="shared" ref="Z22" si="56">O22*105%</f>
        <v>11025</v>
      </c>
      <c r="AA22" s="561">
        <f t="shared" ref="AA22" si="57">Z22/$E$4</f>
        <v>2.3210067441322146E-2</v>
      </c>
      <c r="AB22" s="543"/>
      <c r="AC22" s="572">
        <f t="shared" ref="AC22" si="58">R22*105%</f>
        <v>21498.75</v>
      </c>
      <c r="AD22" s="561">
        <f>AC22/$E$4</f>
        <v>4.5259631510578185E-2</v>
      </c>
      <c r="AE22" s="561">
        <f t="shared" si="47"/>
        <v>6.8469698951900332E-2</v>
      </c>
      <c r="AF22" s="543"/>
      <c r="AG22" s="572">
        <f t="shared" ref="AG22" si="59">V22*105%</f>
        <v>10473.75</v>
      </c>
      <c r="AH22" s="561">
        <f t="shared" ref="AH22" si="60">AG22/$E$4</f>
        <v>2.2049564069256039E-2</v>
      </c>
      <c r="AI22" s="561">
        <f t="shared" si="48"/>
        <v>4.5259631510578185E-2</v>
      </c>
    </row>
    <row r="23" spans="1:35" s="542" customFormat="1" ht="18.75" customHeight="1" outlineLevel="1">
      <c r="A23" s="600" t="s">
        <v>8</v>
      </c>
      <c r="B23" s="684" t="s">
        <v>161</v>
      </c>
      <c r="C23" s="671"/>
      <c r="D23" s="572">
        <f>Manpower!M58</f>
        <v>29000</v>
      </c>
      <c r="E23" s="561">
        <f>D23/$E$4</f>
        <v>6.1051424562207912E-2</v>
      </c>
      <c r="F23" s="543"/>
      <c r="G23" s="571"/>
      <c r="H23" s="561">
        <f>G23/$E$4</f>
        <v>0</v>
      </c>
      <c r="I23" s="561">
        <f t="shared" si="43"/>
        <v>6.1051424562207912E-2</v>
      </c>
      <c r="J23" s="543"/>
      <c r="K23" s="571"/>
      <c r="L23" s="561">
        <f>K23/$E$4</f>
        <v>0</v>
      </c>
      <c r="M23" s="561">
        <f t="shared" si="44"/>
        <v>6.1051424562207912E-2</v>
      </c>
      <c r="N23" s="671"/>
      <c r="O23" s="570">
        <f>D23</f>
        <v>29000</v>
      </c>
      <c r="P23" s="561">
        <f>O23/$E$4</f>
        <v>6.1051424562207912E-2</v>
      </c>
      <c r="Q23" s="543"/>
      <c r="R23" s="570">
        <f>G23</f>
        <v>0</v>
      </c>
      <c r="S23" s="561">
        <f>R23/$E$4</f>
        <v>0</v>
      </c>
      <c r="T23" s="561">
        <f t="shared" si="45"/>
        <v>6.1051424562207912E-2</v>
      </c>
      <c r="U23" s="543"/>
      <c r="V23" s="570">
        <f>K23</f>
        <v>0</v>
      </c>
      <c r="W23" s="561">
        <f>V23/$E$4</f>
        <v>0</v>
      </c>
      <c r="X23" s="561">
        <f t="shared" si="46"/>
        <v>6.1051424562207912E-2</v>
      </c>
      <c r="Y23" s="671"/>
      <c r="Z23" s="570">
        <f>O23</f>
        <v>29000</v>
      </c>
      <c r="AA23" s="561">
        <f>Z23/$E$4</f>
        <v>6.1051424562207912E-2</v>
      </c>
      <c r="AB23" s="543"/>
      <c r="AC23" s="570">
        <f>R23</f>
        <v>0</v>
      </c>
      <c r="AD23" s="561">
        <f>AC23/$E$4</f>
        <v>0</v>
      </c>
      <c r="AE23" s="561">
        <f t="shared" si="47"/>
        <v>6.1051424562207912E-2</v>
      </c>
      <c r="AF23" s="543"/>
      <c r="AG23" s="570">
        <f>V23</f>
        <v>0</v>
      </c>
      <c r="AH23" s="561">
        <f>AG23/$E$4</f>
        <v>0</v>
      </c>
      <c r="AI23" s="561">
        <f t="shared" si="48"/>
        <v>6.1051424562207912E-2</v>
      </c>
    </row>
    <row r="24" spans="1:35" s="542" customFormat="1" ht="18.75" customHeight="1" outlineLevel="1">
      <c r="A24" s="600" t="s">
        <v>119</v>
      </c>
      <c r="B24" s="684" t="s">
        <v>103</v>
      </c>
      <c r="C24" s="671"/>
      <c r="D24" s="572">
        <f>'HK - Secr Equipments'!H22</f>
        <v>43000</v>
      </c>
      <c r="E24" s="561">
        <f>D24/$E$4</f>
        <v>9.0524526074997946E-2</v>
      </c>
      <c r="F24" s="543"/>
      <c r="G24" s="571"/>
      <c r="H24" s="561">
        <f>G24/$E$4</f>
        <v>0</v>
      </c>
      <c r="I24" s="561">
        <f t="shared" si="43"/>
        <v>9.0524526074997946E-2</v>
      </c>
      <c r="J24" s="543"/>
      <c r="K24" s="571"/>
      <c r="L24" s="561">
        <f>K24/$E$4</f>
        <v>0</v>
      </c>
      <c r="M24" s="561">
        <f t="shared" si="44"/>
        <v>9.0524526074997946E-2</v>
      </c>
      <c r="N24" s="671"/>
      <c r="O24" s="570">
        <f>D24</f>
        <v>43000</v>
      </c>
      <c r="P24" s="561">
        <f>O24/$E$4</f>
        <v>9.0524526074997946E-2</v>
      </c>
      <c r="Q24" s="543"/>
      <c r="R24" s="570">
        <f>G24</f>
        <v>0</v>
      </c>
      <c r="S24" s="561">
        <f>R24/$E$4</f>
        <v>0</v>
      </c>
      <c r="T24" s="561">
        <f t="shared" si="45"/>
        <v>9.0524526074997946E-2</v>
      </c>
      <c r="U24" s="543"/>
      <c r="V24" s="570">
        <f>K24</f>
        <v>0</v>
      </c>
      <c r="W24" s="561">
        <f>V24/$E$4</f>
        <v>0</v>
      </c>
      <c r="X24" s="561">
        <f t="shared" si="46"/>
        <v>9.0524526074997946E-2</v>
      </c>
      <c r="Y24" s="671"/>
      <c r="Z24" s="570">
        <f>O24</f>
        <v>43000</v>
      </c>
      <c r="AA24" s="561">
        <f>Z24/$E$4</f>
        <v>9.0524526074997946E-2</v>
      </c>
      <c r="AB24" s="543"/>
      <c r="AC24" s="570">
        <f>R24</f>
        <v>0</v>
      </c>
      <c r="AD24" s="561">
        <f>AC24/$E$4</f>
        <v>0</v>
      </c>
      <c r="AE24" s="561">
        <f t="shared" si="47"/>
        <v>9.0524526074997946E-2</v>
      </c>
      <c r="AF24" s="543"/>
      <c r="AG24" s="570">
        <f>V24</f>
        <v>0</v>
      </c>
      <c r="AH24" s="561">
        <f>AG24/$E$4</f>
        <v>0</v>
      </c>
      <c r="AI24" s="561">
        <f t="shared" si="48"/>
        <v>9.0524526074997946E-2</v>
      </c>
    </row>
    <row r="25" spans="1:35" s="542" customFormat="1" ht="8.25" customHeight="1">
      <c r="A25" s="602"/>
      <c r="B25" s="685"/>
      <c r="C25" s="671"/>
      <c r="D25" s="573"/>
      <c r="E25" s="574"/>
      <c r="F25" s="543"/>
      <c r="G25" s="573"/>
      <c r="H25" s="574"/>
      <c r="I25" s="574"/>
      <c r="J25" s="543"/>
      <c r="K25" s="573"/>
      <c r="L25" s="574"/>
      <c r="M25" s="574"/>
      <c r="N25" s="671"/>
      <c r="O25" s="573"/>
      <c r="P25" s="574"/>
      <c r="Q25" s="543"/>
      <c r="R25" s="573"/>
      <c r="S25" s="574"/>
      <c r="T25" s="574"/>
      <c r="U25" s="543"/>
      <c r="V25" s="573"/>
      <c r="W25" s="574"/>
      <c r="X25" s="574"/>
      <c r="Y25" s="671"/>
      <c r="Z25" s="573"/>
      <c r="AA25" s="574"/>
      <c r="AB25" s="543"/>
      <c r="AC25" s="573"/>
      <c r="AD25" s="574"/>
      <c r="AE25" s="574"/>
      <c r="AF25" s="543"/>
      <c r="AG25" s="573"/>
      <c r="AH25" s="574"/>
      <c r="AI25" s="574"/>
    </row>
    <row r="26" spans="1:35" s="542" customFormat="1" ht="18.75" customHeight="1" thickBot="1">
      <c r="A26" s="596">
        <v>3</v>
      </c>
      <c r="B26" s="682" t="s">
        <v>110</v>
      </c>
      <c r="C26" s="675"/>
      <c r="D26" s="567">
        <f>'AMC Cost'!D13</f>
        <v>0</v>
      </c>
      <c r="E26" s="568">
        <f t="shared" ref="E26" si="61">D26/$E$4</f>
        <v>0</v>
      </c>
      <c r="F26" s="566"/>
      <c r="G26" s="567">
        <f>'AMC Cost'!D18</f>
        <v>0</v>
      </c>
      <c r="H26" s="568">
        <f>G26/$H$4</f>
        <v>0</v>
      </c>
      <c r="I26" s="568">
        <f>E26+H26</f>
        <v>0</v>
      </c>
      <c r="J26" s="566"/>
      <c r="K26" s="567">
        <f>'AMC Cost'!D23</f>
        <v>0</v>
      </c>
      <c r="L26" s="568">
        <f>K26/$L$4</f>
        <v>0</v>
      </c>
      <c r="M26" s="568">
        <f>E26+L26</f>
        <v>0</v>
      </c>
      <c r="N26" s="671"/>
      <c r="O26" s="678">
        <f>'AMC Cost'!E13</f>
        <v>128070</v>
      </c>
      <c r="P26" s="620">
        <f t="shared" ref="P26" si="62">O26/$E$4</f>
        <v>0.26961572219592994</v>
      </c>
      <c r="Q26" s="583"/>
      <c r="R26" s="678">
        <f>'AMC Cost'!E23</f>
        <v>0</v>
      </c>
      <c r="S26" s="620">
        <f>R26/$H$4</f>
        <v>0</v>
      </c>
      <c r="T26" s="620">
        <f>P26+S26</f>
        <v>0.26961572219592994</v>
      </c>
      <c r="U26" s="583"/>
      <c r="V26" s="678">
        <f>'AMC Cost'!E18</f>
        <v>183333.33333333334</v>
      </c>
      <c r="W26" s="620">
        <f>V26/$L$4</f>
        <v>0.63682610309898435</v>
      </c>
      <c r="X26" s="620">
        <f>P26+W26</f>
        <v>0.90644182529491424</v>
      </c>
      <c r="Y26" s="671"/>
      <c r="Z26" s="567">
        <f>'AMC Cost'!F13</f>
        <v>403829.3444444444</v>
      </c>
      <c r="AA26" s="568">
        <f t="shared" ref="AA26" si="63">Z26/$E$4</f>
        <v>0.8501502330467543</v>
      </c>
      <c r="AB26" s="566"/>
      <c r="AC26" s="567">
        <f>'AMC Cost'!F23</f>
        <v>60833.333333333336</v>
      </c>
      <c r="AD26" s="568">
        <f>AC26/$H$4</f>
        <v>0.32509746679317891</v>
      </c>
      <c r="AE26" s="568">
        <f>AA26+AD26</f>
        <v>1.1752476998399333</v>
      </c>
      <c r="AF26" s="566"/>
      <c r="AG26" s="567">
        <f>'AMC Cost'!F18</f>
        <v>191666.66666666666</v>
      </c>
      <c r="AH26" s="568">
        <f>AG26/$L$4</f>
        <v>0.66577274414893806</v>
      </c>
      <c r="AI26" s="568">
        <f>AA26+AH26</f>
        <v>1.5159229771956924</v>
      </c>
    </row>
    <row r="27" spans="1:35" s="542" customFormat="1" ht="8.25" customHeight="1">
      <c r="A27" s="598"/>
      <c r="B27" s="686"/>
      <c r="C27" s="671"/>
      <c r="D27" s="570"/>
      <c r="E27" s="561"/>
      <c r="F27" s="543"/>
      <c r="G27" s="570"/>
      <c r="H27" s="561"/>
      <c r="I27" s="561"/>
      <c r="J27" s="543"/>
      <c r="K27" s="570"/>
      <c r="L27" s="561"/>
      <c r="M27" s="561"/>
      <c r="N27" s="671"/>
      <c r="O27" s="677"/>
      <c r="P27" s="563"/>
      <c r="Q27" s="543"/>
      <c r="R27" s="677"/>
      <c r="S27" s="563"/>
      <c r="T27" s="563"/>
      <c r="U27" s="543"/>
      <c r="V27" s="677"/>
      <c r="W27" s="563"/>
      <c r="X27" s="563"/>
      <c r="Y27" s="675"/>
      <c r="Z27" s="570"/>
      <c r="AA27" s="561"/>
      <c r="AB27" s="543"/>
      <c r="AC27" s="570"/>
      <c r="AD27" s="561"/>
      <c r="AE27" s="561"/>
      <c r="AF27" s="543"/>
      <c r="AG27" s="570"/>
      <c r="AH27" s="561"/>
      <c r="AI27" s="561"/>
    </row>
    <row r="28" spans="1:35" s="569" customFormat="1" ht="18.75" customHeight="1">
      <c r="A28" s="596">
        <v>4</v>
      </c>
      <c r="B28" s="682" t="s">
        <v>634</v>
      </c>
      <c r="C28" s="675"/>
      <c r="D28" s="567">
        <f>SUM(D29:D30)</f>
        <v>142946.14633057811</v>
      </c>
      <c r="E28" s="568">
        <f>SUM(E29:E30)</f>
        <v>0.30093330583309047</v>
      </c>
      <c r="F28" s="566"/>
      <c r="G28" s="567">
        <f>SUM(G29:G30)</f>
        <v>654927.1329519446</v>
      </c>
      <c r="H28" s="568">
        <f>SUM(H29:H30)</f>
        <v>1.3787667052123711</v>
      </c>
      <c r="I28" s="568">
        <f>SUM(I29:I30)</f>
        <v>1.6797000110454614</v>
      </c>
      <c r="J28" s="566"/>
      <c r="K28" s="567">
        <f>SUM(K29:K30)</f>
        <v>455237.06375737494</v>
      </c>
      <c r="L28" s="568">
        <f>SUM(L29:L30)</f>
        <v>0.95837487089325546</v>
      </c>
      <c r="M28" s="568">
        <f>SUM(M29:M30)</f>
        <v>1.2593081767263459</v>
      </c>
      <c r="N28" s="675"/>
      <c r="O28" s="567">
        <f>SUM(O29:O30)</f>
        <v>150093.45364710703</v>
      </c>
      <c r="P28" s="568">
        <f>SUM(P29:P30)</f>
        <v>0.31597997112474502</v>
      </c>
      <c r="Q28" s="566"/>
      <c r="R28" s="567">
        <f>SUM(R29:R30)</f>
        <v>687673.48959954176</v>
      </c>
      <c r="S28" s="568">
        <f>SUM(S29:S30)</f>
        <v>1.4477050404729896</v>
      </c>
      <c r="T28" s="568">
        <f>SUM(T29:T30)</f>
        <v>1.7636850115977345</v>
      </c>
      <c r="U28" s="566"/>
      <c r="V28" s="567">
        <f>SUM(V29:V30)</f>
        <v>477998.91694524372</v>
      </c>
      <c r="W28" s="568">
        <f>SUM(W29:W30)</f>
        <v>1.0062936144379182</v>
      </c>
      <c r="X28" s="568">
        <f>SUM(X29:X30)</f>
        <v>1.3222735855626633</v>
      </c>
      <c r="Y28" s="675"/>
      <c r="Z28" s="567">
        <f>SUM(Z29:Z30)</f>
        <v>157598.12632946239</v>
      </c>
      <c r="AA28" s="568">
        <f>SUM(AA29:AA30)</f>
        <v>0.33177896968098231</v>
      </c>
      <c r="AB28" s="566"/>
      <c r="AC28" s="567">
        <f>SUM(AC29:AC30)</f>
        <v>722057.16407951887</v>
      </c>
      <c r="AD28" s="568">
        <f>SUM(AD29:AD30)</f>
        <v>1.5200902924966391</v>
      </c>
      <c r="AE28" s="568">
        <f>SUM(AE29:AE30)</f>
        <v>1.8518692621776214</v>
      </c>
      <c r="AF28" s="566"/>
      <c r="AG28" s="567">
        <f>SUM(AG29:AG30)</f>
        <v>501898.86279250588</v>
      </c>
      <c r="AH28" s="568">
        <f>SUM(AH29:AH30)</f>
        <v>1.0566082951598144</v>
      </c>
      <c r="AI28" s="568">
        <f>SUM(AI29:AI30)</f>
        <v>1.3883872648407967</v>
      </c>
    </row>
    <row r="29" spans="1:35" s="542" customFormat="1" ht="18.75" customHeight="1" outlineLevel="1">
      <c r="A29" s="600" t="s">
        <v>2</v>
      </c>
      <c r="B29" s="684" t="s">
        <v>248</v>
      </c>
      <c r="C29" s="671"/>
      <c r="D29" s="570">
        <f>'Comm Electrical load'!D9</f>
        <v>142946.14633057811</v>
      </c>
      <c r="E29" s="561">
        <f t="shared" ref="E29:E30" si="64">D29/$E$4</f>
        <v>0.30093330583309047</v>
      </c>
      <c r="F29" s="543"/>
      <c r="G29" s="570">
        <f>'Comm Electrical load'!D19</f>
        <v>98607.655814580023</v>
      </c>
      <c r="H29" s="561">
        <f>G29/$E$4</f>
        <v>0.2075909606972412</v>
      </c>
      <c r="I29" s="561">
        <f t="shared" ref="I29:I30" si="65">E29+H29</f>
        <v>0.50852426653033167</v>
      </c>
      <c r="J29" s="543"/>
      <c r="K29" s="570">
        <f>'Comm Electrical load'!D29</f>
        <v>40071.330957374994</v>
      </c>
      <c r="L29" s="561">
        <f t="shared" ref="L29:L30" si="66">K29/$E$4</f>
        <v>8.4359028932808486E-2</v>
      </c>
      <c r="M29" s="561">
        <f t="shared" ref="M29:M30" si="67">E29+L29</f>
        <v>0.38529233476589897</v>
      </c>
      <c r="N29" s="671"/>
      <c r="O29" s="575">
        <f>D29*105%</f>
        <v>150093.45364710703</v>
      </c>
      <c r="P29" s="561">
        <f t="shared" ref="P29:P30" si="68">O29/$E$4</f>
        <v>0.31597997112474502</v>
      </c>
      <c r="Q29" s="543"/>
      <c r="R29" s="576">
        <f>G29*105%</f>
        <v>103538.03860530903</v>
      </c>
      <c r="S29" s="561">
        <f>R29/$E$4</f>
        <v>0.21797050873210327</v>
      </c>
      <c r="T29" s="561">
        <f t="shared" ref="T29:T30" si="69">P29+S29</f>
        <v>0.53395047985684829</v>
      </c>
      <c r="U29" s="543"/>
      <c r="V29" s="576">
        <f>K29*105%</f>
        <v>42074.897505243745</v>
      </c>
      <c r="W29" s="561">
        <f t="shared" ref="W29:W30" si="70">V29/$E$4</f>
        <v>8.8576980379448916E-2</v>
      </c>
      <c r="X29" s="561">
        <f t="shared" ref="X29:X30" si="71">P29+W29</f>
        <v>0.40455695150419391</v>
      </c>
      <c r="Y29" s="671"/>
      <c r="Z29" s="576">
        <f>O29*105%</f>
        <v>157598.12632946239</v>
      </c>
      <c r="AA29" s="561">
        <f t="shared" ref="AA29:AA30" si="72">Z29/$E$4</f>
        <v>0.33177896968098231</v>
      </c>
      <c r="AB29" s="543"/>
      <c r="AC29" s="576">
        <f>R29*105%</f>
        <v>108714.9405355745</v>
      </c>
      <c r="AD29" s="561">
        <f>AC29/$E$4</f>
        <v>0.22886903416870846</v>
      </c>
      <c r="AE29" s="561">
        <f t="shared" ref="AE29:AE30" si="73">AA29+AD29</f>
        <v>0.56064800384969082</v>
      </c>
      <c r="AF29" s="543"/>
      <c r="AG29" s="576">
        <f>V29*105%</f>
        <v>44178.642380505931</v>
      </c>
      <c r="AH29" s="561">
        <f t="shared" ref="AH29:AH30" si="74">AG29/$E$4</f>
        <v>9.300582939842135E-2</v>
      </c>
      <c r="AI29" s="561">
        <f t="shared" ref="AI29:AI30" si="75">AA29+AH29</f>
        <v>0.42478479907940364</v>
      </c>
    </row>
    <row r="30" spans="1:35" s="542" customFormat="1" ht="18.75" customHeight="1" outlineLevel="1">
      <c r="A30" s="600" t="s">
        <v>3</v>
      </c>
      <c r="B30" s="684" t="s">
        <v>641</v>
      </c>
      <c r="C30" s="671"/>
      <c r="D30" s="571"/>
      <c r="E30" s="561">
        <f t="shared" si="64"/>
        <v>0</v>
      </c>
      <c r="F30" s="543"/>
      <c r="G30" s="570">
        <f>'HVAC-Mall'!C26</f>
        <v>556319.47713736456</v>
      </c>
      <c r="H30" s="561">
        <f>G30/$E$4</f>
        <v>1.1711757445151298</v>
      </c>
      <c r="I30" s="561">
        <f t="shared" si="65"/>
        <v>1.1711757445151298</v>
      </c>
      <c r="J30" s="543"/>
      <c r="K30" s="570">
        <f>'Load Breakup'!I265</f>
        <v>415165.73279999994</v>
      </c>
      <c r="L30" s="561">
        <f t="shared" si="66"/>
        <v>0.87401584196044702</v>
      </c>
      <c r="M30" s="561">
        <f t="shared" si="67"/>
        <v>0.87401584196044702</v>
      </c>
      <c r="N30" s="671"/>
      <c r="O30" s="575">
        <f>D30*105%</f>
        <v>0</v>
      </c>
      <c r="P30" s="561">
        <f t="shared" si="68"/>
        <v>0</v>
      </c>
      <c r="Q30" s="543"/>
      <c r="R30" s="576">
        <f>G30*105%</f>
        <v>584135.45099423279</v>
      </c>
      <c r="S30" s="561">
        <f>R30/$E$4</f>
        <v>1.2297345317408863</v>
      </c>
      <c r="T30" s="561">
        <f t="shared" si="69"/>
        <v>1.2297345317408863</v>
      </c>
      <c r="U30" s="543"/>
      <c r="V30" s="576">
        <f>K30*105%</f>
        <v>435924.01943999995</v>
      </c>
      <c r="W30" s="561">
        <f t="shared" si="70"/>
        <v>0.91771663405846937</v>
      </c>
      <c r="X30" s="561">
        <f t="shared" si="71"/>
        <v>0.91771663405846937</v>
      </c>
      <c r="Y30" s="671"/>
      <c r="Z30" s="575">
        <f>O30*105%</f>
        <v>0</v>
      </c>
      <c r="AA30" s="561">
        <f t="shared" si="72"/>
        <v>0</v>
      </c>
      <c r="AB30" s="543"/>
      <c r="AC30" s="576">
        <f>R30*105%</f>
        <v>613342.22354394442</v>
      </c>
      <c r="AD30" s="561">
        <f>AC30/$E$4</f>
        <v>1.2912212583279306</v>
      </c>
      <c r="AE30" s="561">
        <f t="shared" si="73"/>
        <v>1.2912212583279306</v>
      </c>
      <c r="AF30" s="543"/>
      <c r="AG30" s="576">
        <f>V30*105%</f>
        <v>457720.22041199997</v>
      </c>
      <c r="AH30" s="561">
        <f t="shared" si="74"/>
        <v>0.96360246576139297</v>
      </c>
      <c r="AI30" s="561">
        <f t="shared" si="75"/>
        <v>0.96360246576139297</v>
      </c>
    </row>
    <row r="31" spans="1:35" s="542" customFormat="1" ht="8.25" customHeight="1">
      <c r="A31" s="598"/>
      <c r="B31" s="686"/>
      <c r="C31" s="671"/>
      <c r="D31" s="570"/>
      <c r="E31" s="561"/>
      <c r="F31" s="543"/>
      <c r="G31" s="570"/>
      <c r="H31" s="561"/>
      <c r="I31" s="561"/>
      <c r="J31" s="543"/>
      <c r="K31" s="570"/>
      <c r="L31" s="561"/>
      <c r="M31" s="561"/>
      <c r="N31" s="671"/>
      <c r="O31" s="570"/>
      <c r="P31" s="561"/>
      <c r="Q31" s="543"/>
      <c r="R31" s="570"/>
      <c r="S31" s="561"/>
      <c r="T31" s="561"/>
      <c r="U31" s="543"/>
      <c r="V31" s="570"/>
      <c r="W31" s="561"/>
      <c r="X31" s="561"/>
      <c r="Y31" s="671"/>
      <c r="Z31" s="570"/>
      <c r="AA31" s="561"/>
      <c r="AB31" s="543"/>
      <c r="AC31" s="570"/>
      <c r="AD31" s="561"/>
      <c r="AE31" s="561"/>
      <c r="AF31" s="543"/>
      <c r="AG31" s="570"/>
      <c r="AH31" s="561"/>
      <c r="AI31" s="561"/>
    </row>
    <row r="32" spans="1:35" s="569" customFormat="1" ht="18.75" customHeight="1">
      <c r="A32" s="596">
        <v>5</v>
      </c>
      <c r="B32" s="682" t="s">
        <v>133</v>
      </c>
      <c r="C32" s="675"/>
      <c r="D32" s="567">
        <f>SUM(D33:D38)</f>
        <v>43333.333333333336</v>
      </c>
      <c r="E32" s="568">
        <f>ROUND(SUM(E33:E38),2)</f>
        <v>0.09</v>
      </c>
      <c r="F32" s="566"/>
      <c r="G32" s="567">
        <f>SUM(G33:G38)</f>
        <v>0</v>
      </c>
      <c r="H32" s="568">
        <f>ROUND(SUM(H33:H38),2)</f>
        <v>0</v>
      </c>
      <c r="I32" s="568">
        <f>SUM(I33:I38)</f>
        <v>9.1226266587207228E-2</v>
      </c>
      <c r="J32" s="566"/>
      <c r="K32" s="567">
        <f>SUM(K33:K38)</f>
        <v>0</v>
      </c>
      <c r="L32" s="568">
        <f>ROUND(SUM(L33:L38),2)</f>
        <v>0</v>
      </c>
      <c r="M32" s="568">
        <f>SUM(M33:M38)</f>
        <v>9.1226266587207228E-2</v>
      </c>
      <c r="N32" s="675"/>
      <c r="O32" s="567">
        <f>SUM(O33:O38)</f>
        <v>60833.333333333328</v>
      </c>
      <c r="P32" s="568">
        <f>ROUND(SUM(P33:P38),2)</f>
        <v>0.13</v>
      </c>
      <c r="Q32" s="566"/>
      <c r="R32" s="567">
        <f>SUM(R33:R38)</f>
        <v>0</v>
      </c>
      <c r="S32" s="568">
        <f>ROUND(SUM(S33:S38),2)</f>
        <v>0</v>
      </c>
      <c r="T32" s="568">
        <f>SUM(T33:T38)</f>
        <v>0.12806764347819477</v>
      </c>
      <c r="U32" s="566"/>
      <c r="V32" s="567">
        <f>SUM(V33:V38)</f>
        <v>0</v>
      </c>
      <c r="W32" s="568">
        <f>ROUND(SUM(W33:W38),2)</f>
        <v>0</v>
      </c>
      <c r="X32" s="568">
        <f>SUM(X33:X38)</f>
        <v>0.12806764347819477</v>
      </c>
      <c r="Y32" s="671"/>
      <c r="Z32" s="567">
        <f>SUM(Z33:Z38)</f>
        <v>60833.333333333328</v>
      </c>
      <c r="AA32" s="568">
        <f>ROUND(SUM(AA33:AA38),2)</f>
        <v>0.13</v>
      </c>
      <c r="AB32" s="566"/>
      <c r="AC32" s="567">
        <f>SUM(AC33:AC38)</f>
        <v>0</v>
      </c>
      <c r="AD32" s="568">
        <f>ROUND(SUM(AD33:AD38),2)</f>
        <v>0</v>
      </c>
      <c r="AE32" s="568">
        <f>SUM(AE33:AE38)</f>
        <v>0.12806764347819477</v>
      </c>
      <c r="AF32" s="566"/>
      <c r="AG32" s="567">
        <f>SUM(AG33:AG38)</f>
        <v>0</v>
      </c>
      <c r="AH32" s="568">
        <f>ROUND(SUM(AH33:AH38),2)</f>
        <v>0</v>
      </c>
      <c r="AI32" s="568">
        <f>SUM(AI33:AI38)</f>
        <v>0.12806764347819477</v>
      </c>
    </row>
    <row r="33" spans="1:35" s="542" customFormat="1" ht="18.75" customHeight="1" outlineLevel="1">
      <c r="A33" s="600" t="s">
        <v>2</v>
      </c>
      <c r="B33" s="684" t="s">
        <v>126</v>
      </c>
      <c r="C33" s="671"/>
      <c r="D33" s="639">
        <v>8333.3333333333339</v>
      </c>
      <c r="E33" s="561">
        <f t="shared" ref="E33:E38" si="76">D33/$E$4</f>
        <v>1.7543512805232159E-2</v>
      </c>
      <c r="F33" s="543"/>
      <c r="G33" s="570"/>
      <c r="H33" s="561">
        <f t="shared" ref="H33:H38" si="77">G33/$E$4</f>
        <v>0</v>
      </c>
      <c r="I33" s="561">
        <f t="shared" ref="I33:I38" si="78">E33+H33</f>
        <v>1.7543512805232159E-2</v>
      </c>
      <c r="J33" s="543"/>
      <c r="K33" s="570"/>
      <c r="L33" s="561">
        <f t="shared" ref="L33:L38" si="79">K33/$E$4</f>
        <v>0</v>
      </c>
      <c r="M33" s="561">
        <f t="shared" ref="M33:M38" si="80">E33+L33</f>
        <v>1.7543512805232159E-2</v>
      </c>
      <c r="N33" s="671"/>
      <c r="O33" s="570">
        <v>8333.3333333333339</v>
      </c>
      <c r="P33" s="561">
        <f t="shared" ref="P33:P38" si="81">O33/$E$4</f>
        <v>1.7543512805232159E-2</v>
      </c>
      <c r="Q33" s="543"/>
      <c r="R33" s="570"/>
      <c r="S33" s="561">
        <f t="shared" ref="S33:S38" si="82">R33/$E$4</f>
        <v>0</v>
      </c>
      <c r="T33" s="561">
        <f t="shared" ref="T33:T38" si="83">P33+S33</f>
        <v>1.7543512805232159E-2</v>
      </c>
      <c r="U33" s="543"/>
      <c r="V33" s="570"/>
      <c r="W33" s="561">
        <f t="shared" ref="W33:W38" si="84">V33/$E$4</f>
        <v>0</v>
      </c>
      <c r="X33" s="561">
        <f t="shared" ref="X33:X38" si="85">P33+W33</f>
        <v>1.7543512805232159E-2</v>
      </c>
      <c r="Y33" s="671"/>
      <c r="Z33" s="570">
        <v>8333.3333333333339</v>
      </c>
      <c r="AA33" s="561">
        <f t="shared" ref="AA33:AA38" si="86">Z33/$E$4</f>
        <v>1.7543512805232159E-2</v>
      </c>
      <c r="AB33" s="543"/>
      <c r="AC33" s="570"/>
      <c r="AD33" s="561">
        <f t="shared" ref="AD33:AD38" si="87">AC33/$E$4</f>
        <v>0</v>
      </c>
      <c r="AE33" s="561">
        <f t="shared" ref="AE33:AE38" si="88">AA33+AD33</f>
        <v>1.7543512805232159E-2</v>
      </c>
      <c r="AF33" s="543"/>
      <c r="AG33" s="570"/>
      <c r="AH33" s="561">
        <f t="shared" ref="AH33:AH38" si="89">AG33/$E$4</f>
        <v>0</v>
      </c>
      <c r="AI33" s="561">
        <f t="shared" ref="AI33:AI38" si="90">AA33+AH33</f>
        <v>1.7543512805232159E-2</v>
      </c>
    </row>
    <row r="34" spans="1:35" s="542" customFormat="1" ht="18.75" customHeight="1" outlineLevel="1">
      <c r="A34" s="600" t="s">
        <v>3</v>
      </c>
      <c r="B34" s="684" t="s">
        <v>128</v>
      </c>
      <c r="C34" s="671"/>
      <c r="D34" s="639">
        <v>8333.3333333333339</v>
      </c>
      <c r="E34" s="561">
        <f t="shared" si="76"/>
        <v>1.7543512805232159E-2</v>
      </c>
      <c r="F34" s="543"/>
      <c r="G34" s="570"/>
      <c r="H34" s="561">
        <f t="shared" si="77"/>
        <v>0</v>
      </c>
      <c r="I34" s="561">
        <f t="shared" si="78"/>
        <v>1.7543512805232159E-2</v>
      </c>
      <c r="J34" s="543"/>
      <c r="K34" s="570"/>
      <c r="L34" s="561">
        <f t="shared" si="79"/>
        <v>0</v>
      </c>
      <c r="M34" s="561">
        <f t="shared" si="80"/>
        <v>1.7543512805232159E-2</v>
      </c>
      <c r="N34" s="671"/>
      <c r="O34" s="570">
        <v>8333.3333333333339</v>
      </c>
      <c r="P34" s="561">
        <f t="shared" si="81"/>
        <v>1.7543512805232159E-2</v>
      </c>
      <c r="Q34" s="543"/>
      <c r="R34" s="570"/>
      <c r="S34" s="561">
        <f t="shared" si="82"/>
        <v>0</v>
      </c>
      <c r="T34" s="561">
        <f t="shared" si="83"/>
        <v>1.7543512805232159E-2</v>
      </c>
      <c r="U34" s="543"/>
      <c r="V34" s="570"/>
      <c r="W34" s="561">
        <f t="shared" si="84"/>
        <v>0</v>
      </c>
      <c r="X34" s="561">
        <f t="shared" si="85"/>
        <v>1.7543512805232159E-2</v>
      </c>
      <c r="Y34" s="671"/>
      <c r="Z34" s="570">
        <v>8333.3333333333339</v>
      </c>
      <c r="AA34" s="561">
        <f t="shared" si="86"/>
        <v>1.7543512805232159E-2</v>
      </c>
      <c r="AB34" s="543"/>
      <c r="AC34" s="570"/>
      <c r="AD34" s="561">
        <f t="shared" si="87"/>
        <v>0</v>
      </c>
      <c r="AE34" s="561">
        <f t="shared" si="88"/>
        <v>1.7543512805232159E-2</v>
      </c>
      <c r="AF34" s="543"/>
      <c r="AG34" s="570"/>
      <c r="AH34" s="561">
        <f t="shared" si="89"/>
        <v>0</v>
      </c>
      <c r="AI34" s="561">
        <f t="shared" si="90"/>
        <v>1.7543512805232159E-2</v>
      </c>
    </row>
    <row r="35" spans="1:35" s="542" customFormat="1" ht="18.75" customHeight="1" outlineLevel="1">
      <c r="A35" s="600" t="s">
        <v>4</v>
      </c>
      <c r="B35" s="684" t="s">
        <v>129</v>
      </c>
      <c r="C35" s="671"/>
      <c r="D35" s="639">
        <v>8333.3333333333339</v>
      </c>
      <c r="E35" s="561">
        <f t="shared" si="76"/>
        <v>1.7543512805232159E-2</v>
      </c>
      <c r="F35" s="543"/>
      <c r="G35" s="570"/>
      <c r="H35" s="561">
        <f t="shared" si="77"/>
        <v>0</v>
      </c>
      <c r="I35" s="561">
        <f t="shared" si="78"/>
        <v>1.7543512805232159E-2</v>
      </c>
      <c r="J35" s="543"/>
      <c r="K35" s="570"/>
      <c r="L35" s="561">
        <f t="shared" si="79"/>
        <v>0</v>
      </c>
      <c r="M35" s="561">
        <f t="shared" si="80"/>
        <v>1.7543512805232159E-2</v>
      </c>
      <c r="N35" s="671"/>
      <c r="O35" s="570">
        <v>8333.3333333333339</v>
      </c>
      <c r="P35" s="561">
        <f t="shared" si="81"/>
        <v>1.7543512805232159E-2</v>
      </c>
      <c r="Q35" s="543"/>
      <c r="R35" s="570"/>
      <c r="S35" s="561">
        <f t="shared" si="82"/>
        <v>0</v>
      </c>
      <c r="T35" s="561">
        <f t="shared" si="83"/>
        <v>1.7543512805232159E-2</v>
      </c>
      <c r="U35" s="543"/>
      <c r="V35" s="570"/>
      <c r="W35" s="561">
        <f t="shared" si="84"/>
        <v>0</v>
      </c>
      <c r="X35" s="561">
        <f t="shared" si="85"/>
        <v>1.7543512805232159E-2</v>
      </c>
      <c r="Y35" s="671"/>
      <c r="Z35" s="570">
        <v>8333.3333333333339</v>
      </c>
      <c r="AA35" s="561">
        <f t="shared" si="86"/>
        <v>1.7543512805232159E-2</v>
      </c>
      <c r="AB35" s="543"/>
      <c r="AC35" s="570"/>
      <c r="AD35" s="561">
        <f t="shared" si="87"/>
        <v>0</v>
      </c>
      <c r="AE35" s="561">
        <f t="shared" si="88"/>
        <v>1.7543512805232159E-2</v>
      </c>
      <c r="AF35" s="543"/>
      <c r="AG35" s="570"/>
      <c r="AH35" s="561">
        <f t="shared" si="89"/>
        <v>0</v>
      </c>
      <c r="AI35" s="561">
        <f t="shared" si="90"/>
        <v>1.7543512805232159E-2</v>
      </c>
    </row>
    <row r="36" spans="1:35" s="542" customFormat="1" ht="18.75" customHeight="1" outlineLevel="1">
      <c r="A36" s="600" t="s">
        <v>6</v>
      </c>
      <c r="B36" s="684" t="s">
        <v>130</v>
      </c>
      <c r="C36" s="671"/>
      <c r="D36" s="639">
        <v>8333.3333333333339</v>
      </c>
      <c r="E36" s="561">
        <f t="shared" si="76"/>
        <v>1.7543512805232159E-2</v>
      </c>
      <c r="F36" s="543"/>
      <c r="G36" s="570"/>
      <c r="H36" s="561">
        <f t="shared" si="77"/>
        <v>0</v>
      </c>
      <c r="I36" s="561">
        <f t="shared" si="78"/>
        <v>1.7543512805232159E-2</v>
      </c>
      <c r="J36" s="543"/>
      <c r="K36" s="570"/>
      <c r="L36" s="561">
        <f t="shared" si="79"/>
        <v>0</v>
      </c>
      <c r="M36" s="561">
        <f t="shared" si="80"/>
        <v>1.7543512805232159E-2</v>
      </c>
      <c r="N36" s="671"/>
      <c r="O36" s="570">
        <v>20833.333333333332</v>
      </c>
      <c r="P36" s="561">
        <f t="shared" si="81"/>
        <v>4.3858782013080397E-2</v>
      </c>
      <c r="Q36" s="543"/>
      <c r="R36" s="570"/>
      <c r="S36" s="561">
        <f t="shared" si="82"/>
        <v>0</v>
      </c>
      <c r="T36" s="561">
        <f t="shared" si="83"/>
        <v>4.3858782013080397E-2</v>
      </c>
      <c r="U36" s="543"/>
      <c r="V36" s="570"/>
      <c r="W36" s="561">
        <f t="shared" si="84"/>
        <v>0</v>
      </c>
      <c r="X36" s="561">
        <f t="shared" si="85"/>
        <v>4.3858782013080397E-2</v>
      </c>
      <c r="Y36" s="671"/>
      <c r="Z36" s="570">
        <v>20833.333333333332</v>
      </c>
      <c r="AA36" s="561">
        <f t="shared" si="86"/>
        <v>4.3858782013080397E-2</v>
      </c>
      <c r="AB36" s="543"/>
      <c r="AC36" s="570"/>
      <c r="AD36" s="561">
        <f t="shared" si="87"/>
        <v>0</v>
      </c>
      <c r="AE36" s="561">
        <f t="shared" si="88"/>
        <v>4.3858782013080397E-2</v>
      </c>
      <c r="AF36" s="543"/>
      <c r="AG36" s="570"/>
      <c r="AH36" s="561">
        <f t="shared" si="89"/>
        <v>0</v>
      </c>
      <c r="AI36" s="561">
        <f t="shared" si="90"/>
        <v>4.3858782013080397E-2</v>
      </c>
    </row>
    <row r="37" spans="1:35" s="542" customFormat="1" ht="18.75" customHeight="1" outlineLevel="1">
      <c r="A37" s="600" t="s">
        <v>7</v>
      </c>
      <c r="B37" s="684" t="s">
        <v>131</v>
      </c>
      <c r="C37" s="671"/>
      <c r="D37" s="639">
        <v>5000</v>
      </c>
      <c r="E37" s="561">
        <f t="shared" si="76"/>
        <v>1.0526107683139295E-2</v>
      </c>
      <c r="F37" s="543"/>
      <c r="G37" s="570"/>
      <c r="H37" s="561">
        <f t="shared" si="77"/>
        <v>0</v>
      </c>
      <c r="I37" s="561">
        <f t="shared" si="78"/>
        <v>1.0526107683139295E-2</v>
      </c>
      <c r="J37" s="543"/>
      <c r="K37" s="570"/>
      <c r="L37" s="561">
        <f t="shared" si="79"/>
        <v>0</v>
      </c>
      <c r="M37" s="561">
        <f t="shared" si="80"/>
        <v>1.0526107683139295E-2</v>
      </c>
      <c r="N37" s="671"/>
      <c r="O37" s="570">
        <v>10000</v>
      </c>
      <c r="P37" s="561">
        <f t="shared" si="81"/>
        <v>2.105221536627859E-2</v>
      </c>
      <c r="Q37" s="543"/>
      <c r="R37" s="570"/>
      <c r="S37" s="561">
        <f t="shared" si="82"/>
        <v>0</v>
      </c>
      <c r="T37" s="561">
        <f t="shared" si="83"/>
        <v>2.105221536627859E-2</v>
      </c>
      <c r="U37" s="543"/>
      <c r="V37" s="570"/>
      <c r="W37" s="561">
        <f t="shared" si="84"/>
        <v>0</v>
      </c>
      <c r="X37" s="561">
        <f t="shared" si="85"/>
        <v>2.105221536627859E-2</v>
      </c>
      <c r="Y37" s="671"/>
      <c r="Z37" s="570">
        <v>10000</v>
      </c>
      <c r="AA37" s="561">
        <f t="shared" si="86"/>
        <v>2.105221536627859E-2</v>
      </c>
      <c r="AB37" s="543"/>
      <c r="AC37" s="570"/>
      <c r="AD37" s="561">
        <f t="shared" si="87"/>
        <v>0</v>
      </c>
      <c r="AE37" s="561">
        <f t="shared" si="88"/>
        <v>2.105221536627859E-2</v>
      </c>
      <c r="AF37" s="543"/>
      <c r="AG37" s="570"/>
      <c r="AH37" s="561">
        <f t="shared" si="89"/>
        <v>0</v>
      </c>
      <c r="AI37" s="561">
        <f t="shared" si="90"/>
        <v>2.105221536627859E-2</v>
      </c>
    </row>
    <row r="38" spans="1:35" s="542" customFormat="1" ht="18.75" customHeight="1" outlineLevel="1">
      <c r="A38" s="600" t="s">
        <v>8</v>
      </c>
      <c r="B38" s="684" t="s">
        <v>132</v>
      </c>
      <c r="C38" s="671"/>
      <c r="D38" s="639">
        <v>5000</v>
      </c>
      <c r="E38" s="561">
        <f t="shared" si="76"/>
        <v>1.0526107683139295E-2</v>
      </c>
      <c r="F38" s="543"/>
      <c r="G38" s="570"/>
      <c r="H38" s="561">
        <f t="shared" si="77"/>
        <v>0</v>
      </c>
      <c r="I38" s="561">
        <f t="shared" si="78"/>
        <v>1.0526107683139295E-2</v>
      </c>
      <c r="J38" s="543"/>
      <c r="K38" s="570"/>
      <c r="L38" s="561">
        <f t="shared" si="79"/>
        <v>0</v>
      </c>
      <c r="M38" s="561">
        <f t="shared" si="80"/>
        <v>1.0526107683139295E-2</v>
      </c>
      <c r="N38" s="671"/>
      <c r="O38" s="570">
        <v>5000</v>
      </c>
      <c r="P38" s="561">
        <f t="shared" si="81"/>
        <v>1.0526107683139295E-2</v>
      </c>
      <c r="Q38" s="543"/>
      <c r="R38" s="570"/>
      <c r="S38" s="561">
        <f t="shared" si="82"/>
        <v>0</v>
      </c>
      <c r="T38" s="561">
        <f t="shared" si="83"/>
        <v>1.0526107683139295E-2</v>
      </c>
      <c r="U38" s="543"/>
      <c r="V38" s="570"/>
      <c r="W38" s="561">
        <f t="shared" si="84"/>
        <v>0</v>
      </c>
      <c r="X38" s="561">
        <f t="shared" si="85"/>
        <v>1.0526107683139295E-2</v>
      </c>
      <c r="Y38" s="671"/>
      <c r="Z38" s="570">
        <v>5000</v>
      </c>
      <c r="AA38" s="561">
        <f t="shared" si="86"/>
        <v>1.0526107683139295E-2</v>
      </c>
      <c r="AB38" s="543"/>
      <c r="AC38" s="570"/>
      <c r="AD38" s="561">
        <f t="shared" si="87"/>
        <v>0</v>
      </c>
      <c r="AE38" s="561">
        <f t="shared" si="88"/>
        <v>1.0526107683139295E-2</v>
      </c>
      <c r="AF38" s="543"/>
      <c r="AG38" s="570"/>
      <c r="AH38" s="561">
        <f t="shared" si="89"/>
        <v>0</v>
      </c>
      <c r="AI38" s="561">
        <f t="shared" si="90"/>
        <v>1.0526107683139295E-2</v>
      </c>
    </row>
    <row r="39" spans="1:35" s="542" customFormat="1" ht="8.25" customHeight="1">
      <c r="A39" s="600"/>
      <c r="B39" s="684"/>
      <c r="C39" s="671"/>
      <c r="D39" s="572"/>
      <c r="E39" s="577"/>
      <c r="F39" s="543"/>
      <c r="G39" s="572"/>
      <c r="H39" s="577"/>
      <c r="I39" s="577"/>
      <c r="J39" s="543"/>
      <c r="K39" s="572"/>
      <c r="L39" s="577"/>
      <c r="M39" s="577"/>
      <c r="N39" s="671"/>
      <c r="O39" s="572"/>
      <c r="P39" s="577"/>
      <c r="Q39" s="543"/>
      <c r="R39" s="572"/>
      <c r="S39" s="577"/>
      <c r="T39" s="577"/>
      <c r="U39" s="543"/>
      <c r="V39" s="572"/>
      <c r="W39" s="577"/>
      <c r="X39" s="577"/>
      <c r="Y39" s="671"/>
      <c r="Z39" s="572"/>
      <c r="AA39" s="577"/>
      <c r="AB39" s="543"/>
      <c r="AC39" s="572"/>
      <c r="AD39" s="577"/>
      <c r="AE39" s="577"/>
      <c r="AF39" s="543"/>
      <c r="AG39" s="572"/>
      <c r="AH39" s="577"/>
      <c r="AI39" s="577"/>
    </row>
    <row r="40" spans="1:35" s="569" customFormat="1" ht="18.75" customHeight="1">
      <c r="A40" s="596">
        <v>6</v>
      </c>
      <c r="B40" s="682" t="s">
        <v>75</v>
      </c>
      <c r="C40" s="675"/>
      <c r="D40" s="567">
        <f>SUM(D41:D49)</f>
        <v>37891.666666666664</v>
      </c>
      <c r="E40" s="568">
        <f>SUM(E41:E49)</f>
        <v>7.9770352725390611E-2</v>
      </c>
      <c r="F40" s="566"/>
      <c r="G40" s="567">
        <f>SUM(G41:G49)</f>
        <v>0</v>
      </c>
      <c r="H40" s="568">
        <f>SUM(H41:H49)</f>
        <v>0</v>
      </c>
      <c r="I40" s="568">
        <f>SUM(I41:I49)</f>
        <v>7.9770352725390611E-2</v>
      </c>
      <c r="J40" s="566"/>
      <c r="K40" s="567">
        <f>SUM(K41:K49)</f>
        <v>0</v>
      </c>
      <c r="L40" s="568">
        <f>SUM(L41:L49)</f>
        <v>0</v>
      </c>
      <c r="M40" s="568">
        <f>SUM(M41:M49)</f>
        <v>7.9770352725390611E-2</v>
      </c>
      <c r="N40" s="675"/>
      <c r="O40" s="567">
        <f>SUM(O41:O49)</f>
        <v>37391.666666666664</v>
      </c>
      <c r="P40" s="568">
        <f>SUM(P41:P49)</f>
        <v>7.871774195707669E-2</v>
      </c>
      <c r="Q40" s="566"/>
      <c r="R40" s="567">
        <f>SUM(R41:R49)</f>
        <v>0</v>
      </c>
      <c r="S40" s="568">
        <f>SUM(S41:S49)</f>
        <v>0</v>
      </c>
      <c r="T40" s="568">
        <f>SUM(T41:T49)</f>
        <v>7.871774195707669E-2</v>
      </c>
      <c r="U40" s="566"/>
      <c r="V40" s="567">
        <f>SUM(V41:V49)</f>
        <v>0</v>
      </c>
      <c r="W40" s="568">
        <f>SUM(W41:W49)</f>
        <v>0</v>
      </c>
      <c r="X40" s="568">
        <f>SUM(X41:X49)</f>
        <v>7.871774195707669E-2</v>
      </c>
      <c r="Y40" s="671"/>
      <c r="Z40" s="567">
        <f>SUM(Z41:Z49)</f>
        <v>37391.666666666664</v>
      </c>
      <c r="AA40" s="568">
        <f>SUM(AA41:AA49)</f>
        <v>7.871774195707669E-2</v>
      </c>
      <c r="AB40" s="566"/>
      <c r="AC40" s="567">
        <f>SUM(AC41:AC49)</f>
        <v>0</v>
      </c>
      <c r="AD40" s="568">
        <f>SUM(AD41:AD49)</f>
        <v>0</v>
      </c>
      <c r="AE40" s="568">
        <f>SUM(AE41:AE49)</f>
        <v>7.871774195707669E-2</v>
      </c>
      <c r="AF40" s="566"/>
      <c r="AG40" s="567">
        <f>SUM(AG41:AG49)</f>
        <v>0</v>
      </c>
      <c r="AH40" s="568">
        <f>SUM(AH41:AH49)</f>
        <v>0</v>
      </c>
      <c r="AI40" s="568">
        <f>SUM(AI41:AI49)</f>
        <v>7.871774195707669E-2</v>
      </c>
    </row>
    <row r="41" spans="1:35" s="542" customFormat="1" ht="18.75" customHeight="1" outlineLevel="1">
      <c r="A41" s="600" t="s">
        <v>2</v>
      </c>
      <c r="B41" s="684" t="s">
        <v>120</v>
      </c>
      <c r="C41" s="671"/>
      <c r="D41" s="639">
        <v>208.33333333333334</v>
      </c>
      <c r="E41" s="561">
        <f t="shared" ref="E41:E43" si="91">D41/$E$4</f>
        <v>4.3858782013080397E-4</v>
      </c>
      <c r="F41" s="543"/>
      <c r="G41" s="570"/>
      <c r="H41" s="561">
        <f t="shared" ref="H41:H49" si="92">G41/$E$4</f>
        <v>0</v>
      </c>
      <c r="I41" s="561">
        <f t="shared" ref="I41:I49" si="93">E41+H41</f>
        <v>4.3858782013080397E-4</v>
      </c>
      <c r="J41" s="543"/>
      <c r="K41" s="570"/>
      <c r="L41" s="561">
        <f t="shared" ref="L41:L43" si="94">K41/$E$4</f>
        <v>0</v>
      </c>
      <c r="M41" s="561">
        <f t="shared" ref="M41:M49" si="95">E41+L41</f>
        <v>4.3858782013080397E-4</v>
      </c>
      <c r="N41" s="671"/>
      <c r="O41" s="570">
        <v>208.33333333333334</v>
      </c>
      <c r="P41" s="561">
        <f t="shared" ref="P41:P49" si="96">O41/$E$4</f>
        <v>4.3858782013080397E-4</v>
      </c>
      <c r="Q41" s="543"/>
      <c r="R41" s="570"/>
      <c r="S41" s="561">
        <f t="shared" ref="S41:S49" si="97">R41/$E$4</f>
        <v>0</v>
      </c>
      <c r="T41" s="561">
        <f t="shared" ref="T41:T49" si="98">P41+S41</f>
        <v>4.3858782013080397E-4</v>
      </c>
      <c r="U41" s="543"/>
      <c r="V41" s="570"/>
      <c r="W41" s="561">
        <f t="shared" ref="W41:W49" si="99">V41/$E$4</f>
        <v>0</v>
      </c>
      <c r="X41" s="561">
        <f t="shared" ref="X41:X49" si="100">P41+W41</f>
        <v>4.3858782013080397E-4</v>
      </c>
      <c r="Y41" s="671"/>
      <c r="Z41" s="570">
        <v>208.33333333333334</v>
      </c>
      <c r="AA41" s="561">
        <f t="shared" ref="AA41:AA49" si="101">Z41/$E$4</f>
        <v>4.3858782013080397E-4</v>
      </c>
      <c r="AB41" s="543"/>
      <c r="AC41" s="570"/>
      <c r="AD41" s="561">
        <f t="shared" ref="AD41:AD49" si="102">AC41/$E$4</f>
        <v>0</v>
      </c>
      <c r="AE41" s="561">
        <f t="shared" ref="AE41:AE49" si="103">AA41+AD41</f>
        <v>4.3858782013080397E-4</v>
      </c>
      <c r="AF41" s="543"/>
      <c r="AG41" s="570"/>
      <c r="AH41" s="561">
        <f t="shared" ref="AH41:AH49" si="104">AG41/$E$4</f>
        <v>0</v>
      </c>
      <c r="AI41" s="561">
        <f t="shared" ref="AI41:AI49" si="105">AA41+AH41</f>
        <v>4.3858782013080397E-4</v>
      </c>
    </row>
    <row r="42" spans="1:35" s="542" customFormat="1" ht="18.75" customHeight="1" outlineLevel="1">
      <c r="A42" s="600" t="s">
        <v>3</v>
      </c>
      <c r="B42" s="684" t="s">
        <v>121</v>
      </c>
      <c r="C42" s="671"/>
      <c r="D42" s="639">
        <v>2500</v>
      </c>
      <c r="E42" s="561">
        <f t="shared" si="91"/>
        <v>5.2630538415696475E-3</v>
      </c>
      <c r="F42" s="543"/>
      <c r="G42" s="570"/>
      <c r="H42" s="561">
        <f t="shared" si="92"/>
        <v>0</v>
      </c>
      <c r="I42" s="561">
        <f t="shared" si="93"/>
        <v>5.2630538415696475E-3</v>
      </c>
      <c r="J42" s="543"/>
      <c r="K42" s="570"/>
      <c r="L42" s="561">
        <f t="shared" si="94"/>
        <v>0</v>
      </c>
      <c r="M42" s="561">
        <f t="shared" si="95"/>
        <v>5.2630538415696475E-3</v>
      </c>
      <c r="N42" s="671"/>
      <c r="O42" s="570">
        <v>2000</v>
      </c>
      <c r="P42" s="561">
        <f t="shared" si="96"/>
        <v>4.2104430732557178E-3</v>
      </c>
      <c r="Q42" s="543"/>
      <c r="R42" s="570"/>
      <c r="S42" s="561">
        <f t="shared" si="97"/>
        <v>0</v>
      </c>
      <c r="T42" s="561">
        <f t="shared" si="98"/>
        <v>4.2104430732557178E-3</v>
      </c>
      <c r="U42" s="543"/>
      <c r="V42" s="570"/>
      <c r="W42" s="561">
        <f t="shared" si="99"/>
        <v>0</v>
      </c>
      <c r="X42" s="561">
        <f t="shared" si="100"/>
        <v>4.2104430732557178E-3</v>
      </c>
      <c r="Y42" s="671"/>
      <c r="Z42" s="570">
        <v>2000</v>
      </c>
      <c r="AA42" s="561">
        <f t="shared" si="101"/>
        <v>4.2104430732557178E-3</v>
      </c>
      <c r="AB42" s="543"/>
      <c r="AC42" s="570"/>
      <c r="AD42" s="561">
        <f t="shared" si="102"/>
        <v>0</v>
      </c>
      <c r="AE42" s="561">
        <f t="shared" si="103"/>
        <v>4.2104430732557178E-3</v>
      </c>
      <c r="AF42" s="543"/>
      <c r="AG42" s="570"/>
      <c r="AH42" s="561">
        <f t="shared" si="104"/>
        <v>0</v>
      </c>
      <c r="AI42" s="561">
        <f t="shared" si="105"/>
        <v>4.2104430732557178E-3</v>
      </c>
    </row>
    <row r="43" spans="1:35" s="542" customFormat="1" ht="18.75" customHeight="1" outlineLevel="1">
      <c r="A43" s="600" t="s">
        <v>4</v>
      </c>
      <c r="B43" s="684" t="s">
        <v>122</v>
      </c>
      <c r="C43" s="671"/>
      <c r="D43" s="639">
        <v>83.333333333333329</v>
      </c>
      <c r="E43" s="561">
        <f t="shared" si="91"/>
        <v>1.7543512805232158E-4</v>
      </c>
      <c r="F43" s="543"/>
      <c r="G43" s="570"/>
      <c r="H43" s="561">
        <f t="shared" si="92"/>
        <v>0</v>
      </c>
      <c r="I43" s="561">
        <f t="shared" si="93"/>
        <v>1.7543512805232158E-4</v>
      </c>
      <c r="J43" s="543"/>
      <c r="K43" s="570"/>
      <c r="L43" s="561">
        <f t="shared" si="94"/>
        <v>0</v>
      </c>
      <c r="M43" s="561">
        <f t="shared" si="95"/>
        <v>1.7543512805232158E-4</v>
      </c>
      <c r="N43" s="671"/>
      <c r="O43" s="570">
        <v>83.333333333333329</v>
      </c>
      <c r="P43" s="561">
        <f t="shared" si="96"/>
        <v>1.7543512805232158E-4</v>
      </c>
      <c r="Q43" s="543"/>
      <c r="R43" s="570"/>
      <c r="S43" s="561">
        <f t="shared" si="97"/>
        <v>0</v>
      </c>
      <c r="T43" s="561">
        <f t="shared" si="98"/>
        <v>1.7543512805232158E-4</v>
      </c>
      <c r="U43" s="543"/>
      <c r="V43" s="570"/>
      <c r="W43" s="561">
        <f t="shared" si="99"/>
        <v>0</v>
      </c>
      <c r="X43" s="561">
        <f t="shared" si="100"/>
        <v>1.7543512805232158E-4</v>
      </c>
      <c r="Y43" s="671"/>
      <c r="Z43" s="570">
        <v>83.333333333333329</v>
      </c>
      <c r="AA43" s="561">
        <f t="shared" si="101"/>
        <v>1.7543512805232158E-4</v>
      </c>
      <c r="AB43" s="543"/>
      <c r="AC43" s="570"/>
      <c r="AD43" s="561">
        <f t="shared" si="102"/>
        <v>0</v>
      </c>
      <c r="AE43" s="561">
        <f t="shared" si="103"/>
        <v>1.7543512805232158E-4</v>
      </c>
      <c r="AF43" s="543"/>
      <c r="AG43" s="570"/>
      <c r="AH43" s="561">
        <f t="shared" si="104"/>
        <v>0</v>
      </c>
      <c r="AI43" s="561">
        <f t="shared" si="105"/>
        <v>1.7543512805232158E-4</v>
      </c>
    </row>
    <row r="44" spans="1:35" s="542" customFormat="1" ht="18.75" customHeight="1" outlineLevel="1">
      <c r="A44" s="600" t="s">
        <v>6</v>
      </c>
      <c r="B44" s="684" t="s">
        <v>69</v>
      </c>
      <c r="C44" s="671"/>
      <c r="D44" s="639">
        <v>4166.666666666667</v>
      </c>
      <c r="E44" s="561">
        <f t="shared" ref="E44:E49" si="106">D44/$E$4</f>
        <v>8.7717564026160797E-3</v>
      </c>
      <c r="F44" s="543"/>
      <c r="G44" s="570"/>
      <c r="H44" s="561">
        <f t="shared" si="92"/>
        <v>0</v>
      </c>
      <c r="I44" s="561">
        <f t="shared" si="93"/>
        <v>8.7717564026160797E-3</v>
      </c>
      <c r="J44" s="543"/>
      <c r="K44" s="570"/>
      <c r="L44" s="561">
        <f t="shared" ref="L44:L49" si="107">K44/$E$4</f>
        <v>0</v>
      </c>
      <c r="M44" s="561">
        <f t="shared" si="95"/>
        <v>8.7717564026160797E-3</v>
      </c>
      <c r="N44" s="671"/>
      <c r="O44" s="570">
        <v>4166.666666666667</v>
      </c>
      <c r="P44" s="561">
        <f t="shared" si="96"/>
        <v>8.7717564026160797E-3</v>
      </c>
      <c r="Q44" s="543"/>
      <c r="R44" s="570"/>
      <c r="S44" s="561">
        <f t="shared" si="97"/>
        <v>0</v>
      </c>
      <c r="T44" s="561">
        <f t="shared" si="98"/>
        <v>8.7717564026160797E-3</v>
      </c>
      <c r="U44" s="543"/>
      <c r="V44" s="570"/>
      <c r="W44" s="561">
        <f t="shared" si="99"/>
        <v>0</v>
      </c>
      <c r="X44" s="561">
        <f t="shared" si="100"/>
        <v>8.7717564026160797E-3</v>
      </c>
      <c r="Y44" s="671"/>
      <c r="Z44" s="570">
        <v>4166.666666666667</v>
      </c>
      <c r="AA44" s="561">
        <f t="shared" si="101"/>
        <v>8.7717564026160797E-3</v>
      </c>
      <c r="AB44" s="543"/>
      <c r="AC44" s="570"/>
      <c r="AD44" s="561">
        <f t="shared" si="102"/>
        <v>0</v>
      </c>
      <c r="AE44" s="561">
        <f t="shared" si="103"/>
        <v>8.7717564026160797E-3</v>
      </c>
      <c r="AF44" s="543"/>
      <c r="AG44" s="570"/>
      <c r="AH44" s="561">
        <f t="shared" si="104"/>
        <v>0</v>
      </c>
      <c r="AI44" s="561">
        <f t="shared" si="105"/>
        <v>8.7717564026160797E-3</v>
      </c>
    </row>
    <row r="45" spans="1:35" s="542" customFormat="1" ht="18.75" customHeight="1" outlineLevel="1">
      <c r="A45" s="600" t="s">
        <v>7</v>
      </c>
      <c r="B45" s="684" t="s">
        <v>75</v>
      </c>
      <c r="C45" s="671"/>
      <c r="D45" s="639">
        <v>25000</v>
      </c>
      <c r="E45" s="561">
        <f t="shared" si="106"/>
        <v>5.2630538415696475E-2</v>
      </c>
      <c r="F45" s="543"/>
      <c r="G45" s="570"/>
      <c r="H45" s="561">
        <f t="shared" si="92"/>
        <v>0</v>
      </c>
      <c r="I45" s="561">
        <f t="shared" si="93"/>
        <v>5.2630538415696475E-2</v>
      </c>
      <c r="J45" s="543"/>
      <c r="K45" s="570"/>
      <c r="L45" s="561">
        <f t="shared" si="107"/>
        <v>0</v>
      </c>
      <c r="M45" s="561">
        <f t="shared" si="95"/>
        <v>5.2630538415696475E-2</v>
      </c>
      <c r="N45" s="671"/>
      <c r="O45" s="570">
        <v>25000</v>
      </c>
      <c r="P45" s="561">
        <f t="shared" si="96"/>
        <v>5.2630538415696475E-2</v>
      </c>
      <c r="Q45" s="543"/>
      <c r="R45" s="570"/>
      <c r="S45" s="561">
        <f t="shared" si="97"/>
        <v>0</v>
      </c>
      <c r="T45" s="561">
        <f t="shared" si="98"/>
        <v>5.2630538415696475E-2</v>
      </c>
      <c r="U45" s="543"/>
      <c r="V45" s="570"/>
      <c r="W45" s="561">
        <f t="shared" si="99"/>
        <v>0</v>
      </c>
      <c r="X45" s="561">
        <f t="shared" si="100"/>
        <v>5.2630538415696475E-2</v>
      </c>
      <c r="Y45" s="671"/>
      <c r="Z45" s="570">
        <v>25000</v>
      </c>
      <c r="AA45" s="561">
        <f t="shared" si="101"/>
        <v>5.2630538415696475E-2</v>
      </c>
      <c r="AB45" s="543"/>
      <c r="AC45" s="570"/>
      <c r="AD45" s="561">
        <f t="shared" si="102"/>
        <v>0</v>
      </c>
      <c r="AE45" s="561">
        <f t="shared" si="103"/>
        <v>5.2630538415696475E-2</v>
      </c>
      <c r="AF45" s="543"/>
      <c r="AG45" s="570"/>
      <c r="AH45" s="561">
        <f t="shared" si="104"/>
        <v>0</v>
      </c>
      <c r="AI45" s="561">
        <f t="shared" si="105"/>
        <v>5.2630538415696475E-2</v>
      </c>
    </row>
    <row r="46" spans="1:35" s="542" customFormat="1" ht="18.75" customHeight="1" outlineLevel="1">
      <c r="A46" s="600" t="s">
        <v>8</v>
      </c>
      <c r="B46" s="684" t="s">
        <v>124</v>
      </c>
      <c r="C46" s="671"/>
      <c r="D46" s="639">
        <v>4166.666666666667</v>
      </c>
      <c r="E46" s="561">
        <f t="shared" si="106"/>
        <v>8.7717564026160797E-3</v>
      </c>
      <c r="F46" s="543"/>
      <c r="G46" s="570"/>
      <c r="H46" s="561">
        <f t="shared" si="92"/>
        <v>0</v>
      </c>
      <c r="I46" s="561">
        <f t="shared" si="93"/>
        <v>8.7717564026160797E-3</v>
      </c>
      <c r="J46" s="543"/>
      <c r="K46" s="570"/>
      <c r="L46" s="561">
        <f t="shared" si="107"/>
        <v>0</v>
      </c>
      <c r="M46" s="561">
        <f t="shared" si="95"/>
        <v>8.7717564026160797E-3</v>
      </c>
      <c r="N46" s="671"/>
      <c r="O46" s="570">
        <v>4166.666666666667</v>
      </c>
      <c r="P46" s="561">
        <f t="shared" si="96"/>
        <v>8.7717564026160797E-3</v>
      </c>
      <c r="Q46" s="543"/>
      <c r="R46" s="570"/>
      <c r="S46" s="561">
        <f t="shared" si="97"/>
        <v>0</v>
      </c>
      <c r="T46" s="561">
        <f t="shared" si="98"/>
        <v>8.7717564026160797E-3</v>
      </c>
      <c r="U46" s="543"/>
      <c r="V46" s="570"/>
      <c r="W46" s="561">
        <f t="shared" si="99"/>
        <v>0</v>
      </c>
      <c r="X46" s="561">
        <f t="shared" si="100"/>
        <v>8.7717564026160797E-3</v>
      </c>
      <c r="Y46" s="671"/>
      <c r="Z46" s="570">
        <v>4166.666666666667</v>
      </c>
      <c r="AA46" s="561">
        <f t="shared" si="101"/>
        <v>8.7717564026160797E-3</v>
      </c>
      <c r="AB46" s="543"/>
      <c r="AC46" s="570"/>
      <c r="AD46" s="561">
        <f t="shared" si="102"/>
        <v>0</v>
      </c>
      <c r="AE46" s="561">
        <f t="shared" si="103"/>
        <v>8.7717564026160797E-3</v>
      </c>
      <c r="AF46" s="543"/>
      <c r="AG46" s="570"/>
      <c r="AH46" s="561">
        <f t="shared" si="104"/>
        <v>0</v>
      </c>
      <c r="AI46" s="561">
        <f t="shared" si="105"/>
        <v>8.7717564026160797E-3</v>
      </c>
    </row>
    <row r="47" spans="1:35" s="542" customFormat="1" ht="18.75" customHeight="1" outlineLevel="1">
      <c r="A47" s="600" t="s">
        <v>119</v>
      </c>
      <c r="B47" s="684" t="s">
        <v>249</v>
      </c>
      <c r="C47" s="671"/>
      <c r="D47" s="639">
        <v>1250</v>
      </c>
      <c r="E47" s="561">
        <f t="shared" si="106"/>
        <v>2.6315269207848237E-3</v>
      </c>
      <c r="F47" s="543"/>
      <c r="G47" s="570"/>
      <c r="H47" s="561">
        <f t="shared" si="92"/>
        <v>0</v>
      </c>
      <c r="I47" s="561">
        <f t="shared" si="93"/>
        <v>2.6315269207848237E-3</v>
      </c>
      <c r="J47" s="543"/>
      <c r="K47" s="570"/>
      <c r="L47" s="561">
        <f t="shared" si="107"/>
        <v>0</v>
      </c>
      <c r="M47" s="561">
        <f t="shared" si="95"/>
        <v>2.6315269207848237E-3</v>
      </c>
      <c r="N47" s="671"/>
      <c r="O47" s="570">
        <v>1250</v>
      </c>
      <c r="P47" s="561">
        <f t="shared" si="96"/>
        <v>2.6315269207848237E-3</v>
      </c>
      <c r="Q47" s="543"/>
      <c r="R47" s="570"/>
      <c r="S47" s="561">
        <f t="shared" si="97"/>
        <v>0</v>
      </c>
      <c r="T47" s="561">
        <f t="shared" si="98"/>
        <v>2.6315269207848237E-3</v>
      </c>
      <c r="U47" s="543"/>
      <c r="V47" s="570"/>
      <c r="W47" s="561">
        <f t="shared" si="99"/>
        <v>0</v>
      </c>
      <c r="X47" s="561">
        <f t="shared" si="100"/>
        <v>2.6315269207848237E-3</v>
      </c>
      <c r="Y47" s="671"/>
      <c r="Z47" s="570">
        <v>1250</v>
      </c>
      <c r="AA47" s="561">
        <f t="shared" si="101"/>
        <v>2.6315269207848237E-3</v>
      </c>
      <c r="AB47" s="543"/>
      <c r="AC47" s="570"/>
      <c r="AD47" s="561">
        <f t="shared" si="102"/>
        <v>0</v>
      </c>
      <c r="AE47" s="561">
        <f t="shared" si="103"/>
        <v>2.6315269207848237E-3</v>
      </c>
      <c r="AF47" s="543"/>
      <c r="AG47" s="570"/>
      <c r="AH47" s="561">
        <f t="shared" si="104"/>
        <v>0</v>
      </c>
      <c r="AI47" s="561">
        <f t="shared" si="105"/>
        <v>2.6315269207848237E-3</v>
      </c>
    </row>
    <row r="48" spans="1:35" s="542" customFormat="1" ht="18.75" customHeight="1" outlineLevel="1">
      <c r="A48" s="600" t="s">
        <v>125</v>
      </c>
      <c r="B48" s="684" t="s">
        <v>250</v>
      </c>
      <c r="C48" s="671"/>
      <c r="D48" s="639">
        <v>100</v>
      </c>
      <c r="E48" s="561">
        <f t="shared" si="106"/>
        <v>2.1052215366278591E-4</v>
      </c>
      <c r="F48" s="543"/>
      <c r="G48" s="570"/>
      <c r="H48" s="561">
        <f t="shared" si="92"/>
        <v>0</v>
      </c>
      <c r="I48" s="561">
        <f t="shared" si="93"/>
        <v>2.1052215366278591E-4</v>
      </c>
      <c r="J48" s="543"/>
      <c r="K48" s="570"/>
      <c r="L48" s="561">
        <f t="shared" si="107"/>
        <v>0</v>
      </c>
      <c r="M48" s="561">
        <f t="shared" si="95"/>
        <v>2.1052215366278591E-4</v>
      </c>
      <c r="N48" s="671"/>
      <c r="O48" s="570">
        <v>100</v>
      </c>
      <c r="P48" s="561">
        <f t="shared" si="96"/>
        <v>2.1052215366278591E-4</v>
      </c>
      <c r="Q48" s="543"/>
      <c r="R48" s="570"/>
      <c r="S48" s="561">
        <f t="shared" si="97"/>
        <v>0</v>
      </c>
      <c r="T48" s="561">
        <f t="shared" si="98"/>
        <v>2.1052215366278591E-4</v>
      </c>
      <c r="U48" s="543"/>
      <c r="V48" s="570"/>
      <c r="W48" s="561">
        <f t="shared" si="99"/>
        <v>0</v>
      </c>
      <c r="X48" s="561">
        <f t="shared" si="100"/>
        <v>2.1052215366278591E-4</v>
      </c>
      <c r="Y48" s="671"/>
      <c r="Z48" s="570">
        <v>100</v>
      </c>
      <c r="AA48" s="561">
        <f t="shared" si="101"/>
        <v>2.1052215366278591E-4</v>
      </c>
      <c r="AB48" s="543"/>
      <c r="AC48" s="570"/>
      <c r="AD48" s="561">
        <f t="shared" si="102"/>
        <v>0</v>
      </c>
      <c r="AE48" s="561">
        <f t="shared" si="103"/>
        <v>2.1052215366278591E-4</v>
      </c>
      <c r="AF48" s="543"/>
      <c r="AG48" s="570"/>
      <c r="AH48" s="561">
        <f t="shared" si="104"/>
        <v>0</v>
      </c>
      <c r="AI48" s="561">
        <f t="shared" si="105"/>
        <v>2.1052215366278591E-4</v>
      </c>
    </row>
    <row r="49" spans="1:35" s="542" customFormat="1" ht="18.75" customHeight="1" outlineLevel="1">
      <c r="A49" s="600" t="s">
        <v>246</v>
      </c>
      <c r="B49" s="684" t="s">
        <v>251</v>
      </c>
      <c r="C49" s="671"/>
      <c r="D49" s="639">
        <v>416.66666666666669</v>
      </c>
      <c r="E49" s="561">
        <f t="shared" si="106"/>
        <v>8.7717564026160795E-4</v>
      </c>
      <c r="F49" s="543"/>
      <c r="G49" s="570"/>
      <c r="H49" s="561">
        <f t="shared" si="92"/>
        <v>0</v>
      </c>
      <c r="I49" s="561">
        <f t="shared" si="93"/>
        <v>8.7717564026160795E-4</v>
      </c>
      <c r="J49" s="543"/>
      <c r="K49" s="570"/>
      <c r="L49" s="561">
        <f t="shared" si="107"/>
        <v>0</v>
      </c>
      <c r="M49" s="561">
        <f t="shared" si="95"/>
        <v>8.7717564026160795E-4</v>
      </c>
      <c r="N49" s="671"/>
      <c r="O49" s="570">
        <v>416.66666666666669</v>
      </c>
      <c r="P49" s="561">
        <f t="shared" si="96"/>
        <v>8.7717564026160795E-4</v>
      </c>
      <c r="Q49" s="543"/>
      <c r="R49" s="570"/>
      <c r="S49" s="561">
        <f t="shared" si="97"/>
        <v>0</v>
      </c>
      <c r="T49" s="561">
        <f t="shared" si="98"/>
        <v>8.7717564026160795E-4</v>
      </c>
      <c r="U49" s="543"/>
      <c r="V49" s="570"/>
      <c r="W49" s="561">
        <f t="shared" si="99"/>
        <v>0</v>
      </c>
      <c r="X49" s="561">
        <f t="shared" si="100"/>
        <v>8.7717564026160795E-4</v>
      </c>
      <c r="Y49" s="671"/>
      <c r="Z49" s="570">
        <v>416.66666666666669</v>
      </c>
      <c r="AA49" s="561">
        <f t="shared" si="101"/>
        <v>8.7717564026160795E-4</v>
      </c>
      <c r="AB49" s="543"/>
      <c r="AC49" s="570"/>
      <c r="AD49" s="561">
        <f t="shared" si="102"/>
        <v>0</v>
      </c>
      <c r="AE49" s="561">
        <f t="shared" si="103"/>
        <v>8.7717564026160795E-4</v>
      </c>
      <c r="AF49" s="543"/>
      <c r="AG49" s="570"/>
      <c r="AH49" s="561">
        <f t="shared" si="104"/>
        <v>0</v>
      </c>
      <c r="AI49" s="561">
        <f t="shared" si="105"/>
        <v>8.7717564026160795E-4</v>
      </c>
    </row>
    <row r="50" spans="1:35" s="542" customFormat="1" ht="8.25" customHeight="1">
      <c r="A50" s="600"/>
      <c r="B50" s="684"/>
      <c r="C50" s="671"/>
      <c r="D50" s="572"/>
      <c r="E50" s="577"/>
      <c r="F50" s="543"/>
      <c r="G50" s="572"/>
      <c r="H50" s="577"/>
      <c r="I50" s="577"/>
      <c r="J50" s="543"/>
      <c r="K50" s="572"/>
      <c r="L50" s="577"/>
      <c r="M50" s="577"/>
      <c r="N50" s="671"/>
      <c r="O50" s="572"/>
      <c r="P50" s="577"/>
      <c r="Q50" s="543"/>
      <c r="R50" s="572"/>
      <c r="S50" s="577"/>
      <c r="T50" s="577"/>
      <c r="U50" s="543"/>
      <c r="V50" s="572"/>
      <c r="W50" s="577"/>
      <c r="X50" s="577"/>
      <c r="Y50" s="671"/>
      <c r="Z50" s="572"/>
      <c r="AA50" s="577"/>
      <c r="AB50" s="543"/>
      <c r="AC50" s="572"/>
      <c r="AD50" s="577"/>
      <c r="AE50" s="577"/>
      <c r="AF50" s="543"/>
      <c r="AG50" s="572"/>
      <c r="AH50" s="577"/>
      <c r="AI50" s="577"/>
    </row>
    <row r="51" spans="1:35" s="569" customFormat="1" ht="18.75" customHeight="1">
      <c r="A51" s="596">
        <v>7</v>
      </c>
      <c r="B51" s="682" t="s">
        <v>252</v>
      </c>
      <c r="C51" s="675"/>
      <c r="D51" s="567">
        <f>SUM(D52:D60)</f>
        <v>70300</v>
      </c>
      <c r="E51" s="568">
        <f>ROUND(SUM(E52:E60),2)</f>
        <v>0.15</v>
      </c>
      <c r="F51" s="566"/>
      <c r="G51" s="567">
        <f>SUM(G52:G60)</f>
        <v>0</v>
      </c>
      <c r="H51" s="568">
        <f>ROUND(SUM(H52:H60),2)</f>
        <v>0</v>
      </c>
      <c r="I51" s="568">
        <f>SUM(I52:I60)</f>
        <v>0.14799707402493847</v>
      </c>
      <c r="J51" s="566"/>
      <c r="K51" s="567">
        <f>SUM(K52:K60)</f>
        <v>0</v>
      </c>
      <c r="L51" s="568">
        <f>ROUND(SUM(L52:L60),2)</f>
        <v>0</v>
      </c>
      <c r="M51" s="568">
        <f>SUM(M52:M60)</f>
        <v>0.14799707402493847</v>
      </c>
      <c r="N51" s="675"/>
      <c r="O51" s="567">
        <f>SUM(O52:O60)</f>
        <v>78300</v>
      </c>
      <c r="P51" s="568">
        <f>ROUND(SUM(P52:P60),2)</f>
        <v>0.16</v>
      </c>
      <c r="Q51" s="566"/>
      <c r="R51" s="567">
        <f>SUM(R52:R60)</f>
        <v>0</v>
      </c>
      <c r="S51" s="568">
        <f>ROUND(SUM(S52:S60),2)</f>
        <v>0</v>
      </c>
      <c r="T51" s="568">
        <f>SUM(T52:T60)</f>
        <v>0.16483884631796139</v>
      </c>
      <c r="U51" s="566"/>
      <c r="V51" s="567">
        <f>SUM(V52:V60)</f>
        <v>0</v>
      </c>
      <c r="W51" s="568">
        <f>ROUND(SUM(W52:W60),2)</f>
        <v>0</v>
      </c>
      <c r="X51" s="568">
        <f>SUM(X52:X60)</f>
        <v>0.16483884631796139</v>
      </c>
      <c r="Y51" s="675"/>
      <c r="Z51" s="567">
        <f>SUM(Z52:Z60)</f>
        <v>78300</v>
      </c>
      <c r="AA51" s="568">
        <f>ROUND(SUM(AA52:AA60),2)</f>
        <v>0.16</v>
      </c>
      <c r="AB51" s="566"/>
      <c r="AC51" s="567">
        <f>SUM(AC52:AC60)</f>
        <v>0</v>
      </c>
      <c r="AD51" s="568">
        <f>ROUND(SUM(AD52:AD60),2)</f>
        <v>0</v>
      </c>
      <c r="AE51" s="568">
        <f>SUM(AE52:AE60)</f>
        <v>0.16483884631796139</v>
      </c>
      <c r="AF51" s="566"/>
      <c r="AG51" s="567">
        <f>SUM(AG52:AG60)</f>
        <v>0</v>
      </c>
      <c r="AH51" s="568">
        <f>ROUND(SUM(AH52:AH60),2)</f>
        <v>0</v>
      </c>
      <c r="AI51" s="568">
        <f>SUM(AI52:AI60)</f>
        <v>0.16483884631796139</v>
      </c>
    </row>
    <row r="52" spans="1:35" s="542" customFormat="1" ht="18.75" customHeight="1" outlineLevel="1">
      <c r="A52" s="598" t="s">
        <v>2</v>
      </c>
      <c r="B52" s="687" t="s">
        <v>112</v>
      </c>
      <c r="C52" s="671"/>
      <c r="D52" s="570">
        <v>7000</v>
      </c>
      <c r="E52" s="561">
        <f t="shared" ref="E52:E60" si="108">D52/$E$4</f>
        <v>1.4736550756395014E-2</v>
      </c>
      <c r="F52" s="543"/>
      <c r="G52" s="570"/>
      <c r="H52" s="561">
        <f t="shared" ref="H52:H60" si="109">G52/$E$4</f>
        <v>0</v>
      </c>
      <c r="I52" s="561">
        <f t="shared" ref="I52:I60" si="110">E52+H52</f>
        <v>1.4736550756395014E-2</v>
      </c>
      <c r="J52" s="543"/>
      <c r="K52" s="570"/>
      <c r="L52" s="561">
        <f t="shared" ref="L52:L60" si="111">K52/$E$4</f>
        <v>0</v>
      </c>
      <c r="M52" s="561">
        <f t="shared" ref="M52:M60" si="112">E52+L52</f>
        <v>1.4736550756395014E-2</v>
      </c>
      <c r="N52" s="671"/>
      <c r="O52" s="570">
        <v>7000</v>
      </c>
      <c r="P52" s="561">
        <f t="shared" ref="P52:P60" si="113">O52/$E$4</f>
        <v>1.4736550756395014E-2</v>
      </c>
      <c r="Q52" s="543"/>
      <c r="R52" s="570"/>
      <c r="S52" s="561">
        <f t="shared" ref="S52:S60" si="114">R52/$E$4</f>
        <v>0</v>
      </c>
      <c r="T52" s="561">
        <f t="shared" ref="T52:T60" si="115">P52+S52</f>
        <v>1.4736550756395014E-2</v>
      </c>
      <c r="U52" s="543"/>
      <c r="V52" s="570"/>
      <c r="W52" s="561">
        <f t="shared" ref="W52:W60" si="116">V52/$E$4</f>
        <v>0</v>
      </c>
      <c r="X52" s="561">
        <f t="shared" ref="X52:X60" si="117">P52+W52</f>
        <v>1.4736550756395014E-2</v>
      </c>
      <c r="Y52" s="671"/>
      <c r="Z52" s="570">
        <v>7000</v>
      </c>
      <c r="AA52" s="561">
        <f t="shared" ref="AA52:AA60" si="118">Z52/$E$4</f>
        <v>1.4736550756395014E-2</v>
      </c>
      <c r="AB52" s="543"/>
      <c r="AC52" s="570"/>
      <c r="AD52" s="561">
        <f t="shared" ref="AD52:AD60" si="119">AC52/$E$4</f>
        <v>0</v>
      </c>
      <c r="AE52" s="561">
        <f t="shared" ref="AE52:AE60" si="120">AA52+AD52</f>
        <v>1.4736550756395014E-2</v>
      </c>
      <c r="AF52" s="543"/>
      <c r="AG52" s="570"/>
      <c r="AH52" s="561">
        <f t="shared" ref="AH52:AH60" si="121">AG52/$E$4</f>
        <v>0</v>
      </c>
      <c r="AI52" s="561">
        <f t="shared" ref="AI52:AI60" si="122">AA52+AH52</f>
        <v>1.4736550756395014E-2</v>
      </c>
    </row>
    <row r="53" spans="1:35" s="542" customFormat="1" ht="18.75" customHeight="1" outlineLevel="1">
      <c r="A53" s="598" t="s">
        <v>3</v>
      </c>
      <c r="B53" s="683" t="s">
        <v>108</v>
      </c>
      <c r="C53" s="671"/>
      <c r="D53" s="570">
        <v>5000</v>
      </c>
      <c r="E53" s="561">
        <f t="shared" si="108"/>
        <v>1.0526107683139295E-2</v>
      </c>
      <c r="F53" s="543"/>
      <c r="G53" s="570"/>
      <c r="H53" s="561">
        <f t="shared" si="109"/>
        <v>0</v>
      </c>
      <c r="I53" s="561">
        <f t="shared" si="110"/>
        <v>1.0526107683139295E-2</v>
      </c>
      <c r="J53" s="543"/>
      <c r="K53" s="570"/>
      <c r="L53" s="561">
        <f t="shared" si="111"/>
        <v>0</v>
      </c>
      <c r="M53" s="561">
        <f t="shared" si="112"/>
        <v>1.0526107683139295E-2</v>
      </c>
      <c r="N53" s="671"/>
      <c r="O53" s="570">
        <v>5000</v>
      </c>
      <c r="P53" s="561">
        <f t="shared" si="113"/>
        <v>1.0526107683139295E-2</v>
      </c>
      <c r="Q53" s="543"/>
      <c r="R53" s="570"/>
      <c r="S53" s="561">
        <f t="shared" si="114"/>
        <v>0</v>
      </c>
      <c r="T53" s="561">
        <f t="shared" si="115"/>
        <v>1.0526107683139295E-2</v>
      </c>
      <c r="U53" s="543"/>
      <c r="V53" s="570"/>
      <c r="W53" s="561">
        <f t="shared" si="116"/>
        <v>0</v>
      </c>
      <c r="X53" s="561">
        <f t="shared" si="117"/>
        <v>1.0526107683139295E-2</v>
      </c>
      <c r="Y53" s="671"/>
      <c r="Z53" s="570">
        <v>5000</v>
      </c>
      <c r="AA53" s="561">
        <f t="shared" si="118"/>
        <v>1.0526107683139295E-2</v>
      </c>
      <c r="AB53" s="543"/>
      <c r="AC53" s="570"/>
      <c r="AD53" s="561">
        <f t="shared" si="119"/>
        <v>0</v>
      </c>
      <c r="AE53" s="561">
        <f t="shared" si="120"/>
        <v>1.0526107683139295E-2</v>
      </c>
      <c r="AF53" s="543"/>
      <c r="AG53" s="570"/>
      <c r="AH53" s="561">
        <f t="shared" si="121"/>
        <v>0</v>
      </c>
      <c r="AI53" s="561">
        <f t="shared" si="122"/>
        <v>1.0526107683139295E-2</v>
      </c>
    </row>
    <row r="54" spans="1:35" s="542" customFormat="1" ht="18.75" customHeight="1" outlineLevel="1">
      <c r="A54" s="598" t="s">
        <v>4</v>
      </c>
      <c r="B54" s="683" t="s">
        <v>109</v>
      </c>
      <c r="C54" s="671"/>
      <c r="D54" s="570">
        <v>10000</v>
      </c>
      <c r="E54" s="561">
        <f t="shared" si="108"/>
        <v>2.105221536627859E-2</v>
      </c>
      <c r="F54" s="543"/>
      <c r="G54" s="570"/>
      <c r="H54" s="561">
        <f t="shared" si="109"/>
        <v>0</v>
      </c>
      <c r="I54" s="561">
        <f t="shared" si="110"/>
        <v>2.105221536627859E-2</v>
      </c>
      <c r="J54" s="543"/>
      <c r="K54" s="570"/>
      <c r="L54" s="561">
        <f t="shared" si="111"/>
        <v>0</v>
      </c>
      <c r="M54" s="561">
        <f t="shared" si="112"/>
        <v>2.105221536627859E-2</v>
      </c>
      <c r="N54" s="671"/>
      <c r="O54" s="570">
        <v>18000</v>
      </c>
      <c r="P54" s="561">
        <f t="shared" si="113"/>
        <v>3.7893987659301465E-2</v>
      </c>
      <c r="Q54" s="543"/>
      <c r="R54" s="570"/>
      <c r="S54" s="561">
        <f t="shared" si="114"/>
        <v>0</v>
      </c>
      <c r="T54" s="561">
        <f t="shared" si="115"/>
        <v>3.7893987659301465E-2</v>
      </c>
      <c r="U54" s="543"/>
      <c r="V54" s="570"/>
      <c r="W54" s="561">
        <f t="shared" si="116"/>
        <v>0</v>
      </c>
      <c r="X54" s="561">
        <f t="shared" si="117"/>
        <v>3.7893987659301465E-2</v>
      </c>
      <c r="Y54" s="671"/>
      <c r="Z54" s="570">
        <v>18000</v>
      </c>
      <c r="AA54" s="561">
        <f t="shared" si="118"/>
        <v>3.7893987659301465E-2</v>
      </c>
      <c r="AB54" s="543"/>
      <c r="AC54" s="570"/>
      <c r="AD54" s="561">
        <f t="shared" si="119"/>
        <v>0</v>
      </c>
      <c r="AE54" s="561">
        <f t="shared" si="120"/>
        <v>3.7893987659301465E-2</v>
      </c>
      <c r="AF54" s="543"/>
      <c r="AG54" s="570"/>
      <c r="AH54" s="561">
        <f t="shared" si="121"/>
        <v>0</v>
      </c>
      <c r="AI54" s="561">
        <f t="shared" si="122"/>
        <v>3.7893987659301465E-2</v>
      </c>
    </row>
    <row r="55" spans="1:35" s="542" customFormat="1" ht="18.75" customHeight="1" outlineLevel="1">
      <c r="A55" s="598" t="s">
        <v>6</v>
      </c>
      <c r="B55" s="683" t="s">
        <v>167</v>
      </c>
      <c r="C55" s="671"/>
      <c r="D55" s="570">
        <f>(Manpower!L8+Manpower!L20)*500*70%</f>
        <v>7000</v>
      </c>
      <c r="E55" s="561">
        <f t="shared" si="108"/>
        <v>1.4736550756395014E-2</v>
      </c>
      <c r="F55" s="543"/>
      <c r="G55" s="570"/>
      <c r="H55" s="561">
        <f t="shared" si="109"/>
        <v>0</v>
      </c>
      <c r="I55" s="561">
        <f t="shared" si="110"/>
        <v>1.4736550756395014E-2</v>
      </c>
      <c r="J55" s="543"/>
      <c r="K55" s="570"/>
      <c r="L55" s="561">
        <f t="shared" si="111"/>
        <v>0</v>
      </c>
      <c r="M55" s="561">
        <f t="shared" si="112"/>
        <v>1.4736550756395014E-2</v>
      </c>
      <c r="N55" s="671"/>
      <c r="O55" s="570">
        <f>D55</f>
        <v>7000</v>
      </c>
      <c r="P55" s="561">
        <f t="shared" si="113"/>
        <v>1.4736550756395014E-2</v>
      </c>
      <c r="Q55" s="543"/>
      <c r="R55" s="570"/>
      <c r="S55" s="561">
        <f t="shared" si="114"/>
        <v>0</v>
      </c>
      <c r="T55" s="561">
        <f t="shared" si="115"/>
        <v>1.4736550756395014E-2</v>
      </c>
      <c r="U55" s="543"/>
      <c r="V55" s="570"/>
      <c r="W55" s="561">
        <f t="shared" si="116"/>
        <v>0</v>
      </c>
      <c r="X55" s="561">
        <f t="shared" si="117"/>
        <v>1.4736550756395014E-2</v>
      </c>
      <c r="Y55" s="671"/>
      <c r="Z55" s="570">
        <f>O55</f>
        <v>7000</v>
      </c>
      <c r="AA55" s="561">
        <f t="shared" si="118"/>
        <v>1.4736550756395014E-2</v>
      </c>
      <c r="AB55" s="543"/>
      <c r="AC55" s="570"/>
      <c r="AD55" s="561">
        <f t="shared" si="119"/>
        <v>0</v>
      </c>
      <c r="AE55" s="561">
        <f t="shared" si="120"/>
        <v>1.4736550756395014E-2</v>
      </c>
      <c r="AF55" s="543"/>
      <c r="AG55" s="570"/>
      <c r="AH55" s="561">
        <f t="shared" si="121"/>
        <v>0</v>
      </c>
      <c r="AI55" s="561">
        <f t="shared" si="122"/>
        <v>1.4736550756395014E-2</v>
      </c>
    </row>
    <row r="56" spans="1:35" s="542" customFormat="1" ht="18.75" customHeight="1" outlineLevel="1">
      <c r="A56" s="598" t="s">
        <v>7</v>
      </c>
      <c r="B56" s="683" t="s">
        <v>253</v>
      </c>
      <c r="C56" s="671"/>
      <c r="D56" s="570">
        <f>150*2+(250*10)</f>
        <v>2800</v>
      </c>
      <c r="E56" s="561">
        <f t="shared" si="108"/>
        <v>5.8946203025580053E-3</v>
      </c>
      <c r="F56" s="543"/>
      <c r="G56" s="570"/>
      <c r="H56" s="561">
        <f t="shared" si="109"/>
        <v>0</v>
      </c>
      <c r="I56" s="561">
        <f t="shared" si="110"/>
        <v>5.8946203025580053E-3</v>
      </c>
      <c r="J56" s="543"/>
      <c r="K56" s="570"/>
      <c r="L56" s="561">
        <f t="shared" si="111"/>
        <v>0</v>
      </c>
      <c r="M56" s="561">
        <f t="shared" si="112"/>
        <v>5.8946203025580053E-3</v>
      </c>
      <c r="N56" s="671"/>
      <c r="O56" s="570">
        <f>150*2+(250*10)</f>
        <v>2800</v>
      </c>
      <c r="P56" s="561">
        <f t="shared" si="113"/>
        <v>5.8946203025580053E-3</v>
      </c>
      <c r="Q56" s="543"/>
      <c r="R56" s="570"/>
      <c r="S56" s="561">
        <f t="shared" si="114"/>
        <v>0</v>
      </c>
      <c r="T56" s="561">
        <f t="shared" si="115"/>
        <v>5.8946203025580053E-3</v>
      </c>
      <c r="U56" s="543"/>
      <c r="V56" s="570"/>
      <c r="W56" s="561">
        <f t="shared" si="116"/>
        <v>0</v>
      </c>
      <c r="X56" s="561">
        <f t="shared" si="117"/>
        <v>5.8946203025580053E-3</v>
      </c>
      <c r="Y56" s="671"/>
      <c r="Z56" s="570">
        <f>150*2+(250*10)</f>
        <v>2800</v>
      </c>
      <c r="AA56" s="561">
        <f t="shared" si="118"/>
        <v>5.8946203025580053E-3</v>
      </c>
      <c r="AB56" s="543"/>
      <c r="AC56" s="570"/>
      <c r="AD56" s="561">
        <f t="shared" si="119"/>
        <v>0</v>
      </c>
      <c r="AE56" s="561">
        <f t="shared" si="120"/>
        <v>5.8946203025580053E-3</v>
      </c>
      <c r="AF56" s="543"/>
      <c r="AG56" s="570"/>
      <c r="AH56" s="561">
        <f t="shared" si="121"/>
        <v>0</v>
      </c>
      <c r="AI56" s="561">
        <f t="shared" si="122"/>
        <v>5.8946203025580053E-3</v>
      </c>
    </row>
    <row r="57" spans="1:35" s="542" customFormat="1" ht="18.75" customHeight="1" outlineLevel="1">
      <c r="A57" s="598" t="s">
        <v>8</v>
      </c>
      <c r="B57" s="683" t="s">
        <v>254</v>
      </c>
      <c r="C57" s="671"/>
      <c r="D57" s="570">
        <v>5000</v>
      </c>
      <c r="E57" s="561">
        <f t="shared" si="108"/>
        <v>1.0526107683139295E-2</v>
      </c>
      <c r="F57" s="543"/>
      <c r="G57" s="570"/>
      <c r="H57" s="561">
        <f t="shared" si="109"/>
        <v>0</v>
      </c>
      <c r="I57" s="561">
        <f t="shared" si="110"/>
        <v>1.0526107683139295E-2</v>
      </c>
      <c r="J57" s="543"/>
      <c r="K57" s="570"/>
      <c r="L57" s="561">
        <f t="shared" si="111"/>
        <v>0</v>
      </c>
      <c r="M57" s="561">
        <f t="shared" si="112"/>
        <v>1.0526107683139295E-2</v>
      </c>
      <c r="N57" s="671"/>
      <c r="O57" s="570">
        <v>5000</v>
      </c>
      <c r="P57" s="561">
        <f t="shared" si="113"/>
        <v>1.0526107683139295E-2</v>
      </c>
      <c r="Q57" s="543"/>
      <c r="R57" s="570"/>
      <c r="S57" s="561">
        <f t="shared" si="114"/>
        <v>0</v>
      </c>
      <c r="T57" s="561">
        <f t="shared" si="115"/>
        <v>1.0526107683139295E-2</v>
      </c>
      <c r="U57" s="543"/>
      <c r="V57" s="570"/>
      <c r="W57" s="561">
        <f t="shared" si="116"/>
        <v>0</v>
      </c>
      <c r="X57" s="561">
        <f t="shared" si="117"/>
        <v>1.0526107683139295E-2</v>
      </c>
      <c r="Y57" s="671"/>
      <c r="Z57" s="570">
        <v>5000</v>
      </c>
      <c r="AA57" s="561">
        <f t="shared" si="118"/>
        <v>1.0526107683139295E-2</v>
      </c>
      <c r="AB57" s="543"/>
      <c r="AC57" s="570"/>
      <c r="AD57" s="561">
        <f t="shared" si="119"/>
        <v>0</v>
      </c>
      <c r="AE57" s="561">
        <f t="shared" si="120"/>
        <v>1.0526107683139295E-2</v>
      </c>
      <c r="AF57" s="543"/>
      <c r="AG57" s="570"/>
      <c r="AH57" s="561">
        <f t="shared" si="121"/>
        <v>0</v>
      </c>
      <c r="AI57" s="561">
        <f t="shared" si="122"/>
        <v>1.0526107683139295E-2</v>
      </c>
    </row>
    <row r="58" spans="1:35" s="542" customFormat="1" ht="18.75" customHeight="1" outlineLevel="1">
      <c r="A58" s="598" t="s">
        <v>119</v>
      </c>
      <c r="B58" s="683" t="s">
        <v>255</v>
      </c>
      <c r="C58" s="671"/>
      <c r="D58" s="570">
        <v>5000</v>
      </c>
      <c r="E58" s="561">
        <f t="shared" si="108"/>
        <v>1.0526107683139295E-2</v>
      </c>
      <c r="F58" s="543"/>
      <c r="G58" s="570"/>
      <c r="H58" s="561">
        <f t="shared" si="109"/>
        <v>0</v>
      </c>
      <c r="I58" s="561">
        <f t="shared" si="110"/>
        <v>1.0526107683139295E-2</v>
      </c>
      <c r="J58" s="543"/>
      <c r="K58" s="570"/>
      <c r="L58" s="561">
        <f t="shared" si="111"/>
        <v>0</v>
      </c>
      <c r="M58" s="561">
        <f t="shared" si="112"/>
        <v>1.0526107683139295E-2</v>
      </c>
      <c r="N58" s="671"/>
      <c r="O58" s="570">
        <v>5000</v>
      </c>
      <c r="P58" s="561">
        <f t="shared" si="113"/>
        <v>1.0526107683139295E-2</v>
      </c>
      <c r="Q58" s="543"/>
      <c r="R58" s="570"/>
      <c r="S58" s="561">
        <f t="shared" si="114"/>
        <v>0</v>
      </c>
      <c r="T58" s="561">
        <f t="shared" si="115"/>
        <v>1.0526107683139295E-2</v>
      </c>
      <c r="U58" s="543"/>
      <c r="V58" s="570"/>
      <c r="W58" s="561">
        <f t="shared" si="116"/>
        <v>0</v>
      </c>
      <c r="X58" s="561">
        <f t="shared" si="117"/>
        <v>1.0526107683139295E-2</v>
      </c>
      <c r="Y58" s="671"/>
      <c r="Z58" s="570">
        <v>5000</v>
      </c>
      <c r="AA58" s="561">
        <f t="shared" si="118"/>
        <v>1.0526107683139295E-2</v>
      </c>
      <c r="AB58" s="543"/>
      <c r="AC58" s="570"/>
      <c r="AD58" s="561">
        <f t="shared" si="119"/>
        <v>0</v>
      </c>
      <c r="AE58" s="561">
        <f t="shared" si="120"/>
        <v>1.0526107683139295E-2</v>
      </c>
      <c r="AF58" s="543"/>
      <c r="AG58" s="570"/>
      <c r="AH58" s="561">
        <f t="shared" si="121"/>
        <v>0</v>
      </c>
      <c r="AI58" s="561">
        <f t="shared" si="122"/>
        <v>1.0526107683139295E-2</v>
      </c>
    </row>
    <row r="59" spans="1:35" s="542" customFormat="1" ht="18.75" customHeight="1" outlineLevel="1">
      <c r="A59" s="598" t="s">
        <v>125</v>
      </c>
      <c r="B59" s="683" t="s">
        <v>136</v>
      </c>
      <c r="C59" s="671"/>
      <c r="D59" s="570">
        <f>200*5*26</f>
        <v>26000</v>
      </c>
      <c r="E59" s="561">
        <f t="shared" si="108"/>
        <v>5.4735759952324339E-2</v>
      </c>
      <c r="F59" s="543"/>
      <c r="G59" s="570"/>
      <c r="H59" s="561">
        <f t="shared" si="109"/>
        <v>0</v>
      </c>
      <c r="I59" s="561">
        <f t="shared" si="110"/>
        <v>5.4735759952324339E-2</v>
      </c>
      <c r="J59" s="543"/>
      <c r="K59" s="570"/>
      <c r="L59" s="561">
        <f t="shared" si="111"/>
        <v>0</v>
      </c>
      <c r="M59" s="561">
        <f t="shared" si="112"/>
        <v>5.4735759952324339E-2</v>
      </c>
      <c r="N59" s="671"/>
      <c r="O59" s="570">
        <f>200*5*26</f>
        <v>26000</v>
      </c>
      <c r="P59" s="561">
        <f t="shared" si="113"/>
        <v>5.4735759952324339E-2</v>
      </c>
      <c r="Q59" s="543"/>
      <c r="R59" s="570"/>
      <c r="S59" s="561">
        <f t="shared" si="114"/>
        <v>0</v>
      </c>
      <c r="T59" s="561">
        <f t="shared" si="115"/>
        <v>5.4735759952324339E-2</v>
      </c>
      <c r="U59" s="543"/>
      <c r="V59" s="570"/>
      <c r="W59" s="561">
        <f t="shared" si="116"/>
        <v>0</v>
      </c>
      <c r="X59" s="561">
        <f t="shared" si="117"/>
        <v>5.4735759952324339E-2</v>
      </c>
      <c r="Y59" s="671"/>
      <c r="Z59" s="570">
        <f>200*5*26</f>
        <v>26000</v>
      </c>
      <c r="AA59" s="561">
        <f t="shared" si="118"/>
        <v>5.4735759952324339E-2</v>
      </c>
      <c r="AB59" s="543"/>
      <c r="AC59" s="570"/>
      <c r="AD59" s="561">
        <f t="shared" si="119"/>
        <v>0</v>
      </c>
      <c r="AE59" s="561">
        <f t="shared" si="120"/>
        <v>5.4735759952324339E-2</v>
      </c>
      <c r="AF59" s="543"/>
      <c r="AG59" s="570"/>
      <c r="AH59" s="561">
        <f t="shared" si="121"/>
        <v>0</v>
      </c>
      <c r="AI59" s="561">
        <f t="shared" si="122"/>
        <v>5.4735759952324339E-2</v>
      </c>
    </row>
    <row r="60" spans="1:35" s="542" customFormat="1" ht="18.75" customHeight="1" outlineLevel="1">
      <c r="A60" s="598" t="s">
        <v>246</v>
      </c>
      <c r="B60" s="683" t="s">
        <v>0</v>
      </c>
      <c r="C60" s="671"/>
      <c r="D60" s="570">
        <v>2500</v>
      </c>
      <c r="E60" s="561">
        <f t="shared" si="108"/>
        <v>5.2630538415696475E-3</v>
      </c>
      <c r="F60" s="543"/>
      <c r="G60" s="570"/>
      <c r="H60" s="561">
        <f t="shared" si="109"/>
        <v>0</v>
      </c>
      <c r="I60" s="561">
        <f t="shared" si="110"/>
        <v>5.2630538415696475E-3</v>
      </c>
      <c r="J60" s="543"/>
      <c r="K60" s="570"/>
      <c r="L60" s="561">
        <f t="shared" si="111"/>
        <v>0</v>
      </c>
      <c r="M60" s="561">
        <f t="shared" si="112"/>
        <v>5.2630538415696475E-3</v>
      </c>
      <c r="N60" s="671"/>
      <c r="O60" s="570">
        <v>2500</v>
      </c>
      <c r="P60" s="561">
        <f t="shared" si="113"/>
        <v>5.2630538415696475E-3</v>
      </c>
      <c r="Q60" s="543"/>
      <c r="R60" s="570"/>
      <c r="S60" s="561">
        <f t="shared" si="114"/>
        <v>0</v>
      </c>
      <c r="T60" s="561">
        <f t="shared" si="115"/>
        <v>5.2630538415696475E-3</v>
      </c>
      <c r="U60" s="543"/>
      <c r="V60" s="570"/>
      <c r="W60" s="561">
        <f t="shared" si="116"/>
        <v>0</v>
      </c>
      <c r="X60" s="561">
        <f t="shared" si="117"/>
        <v>5.2630538415696475E-3</v>
      </c>
      <c r="Y60" s="671"/>
      <c r="Z60" s="570">
        <v>2500</v>
      </c>
      <c r="AA60" s="561">
        <f t="shared" si="118"/>
        <v>5.2630538415696475E-3</v>
      </c>
      <c r="AB60" s="543"/>
      <c r="AC60" s="570"/>
      <c r="AD60" s="561">
        <f t="shared" si="119"/>
        <v>0</v>
      </c>
      <c r="AE60" s="561">
        <f t="shared" si="120"/>
        <v>5.2630538415696475E-3</v>
      </c>
      <c r="AF60" s="543"/>
      <c r="AG60" s="570"/>
      <c r="AH60" s="561">
        <f t="shared" si="121"/>
        <v>0</v>
      </c>
      <c r="AI60" s="561">
        <f t="shared" si="122"/>
        <v>5.2630538415696475E-3</v>
      </c>
    </row>
    <row r="61" spans="1:35" s="542" customFormat="1" ht="8.25" customHeight="1">
      <c r="A61" s="598"/>
      <c r="B61" s="683"/>
      <c r="C61" s="671"/>
      <c r="D61" s="570"/>
      <c r="E61" s="561"/>
      <c r="F61" s="543"/>
      <c r="G61" s="570"/>
      <c r="H61" s="561"/>
      <c r="I61" s="561"/>
      <c r="J61" s="543"/>
      <c r="K61" s="570"/>
      <c r="L61" s="561"/>
      <c r="M61" s="561"/>
      <c r="N61" s="671"/>
      <c r="O61" s="570"/>
      <c r="P61" s="561"/>
      <c r="Q61" s="543"/>
      <c r="R61" s="570"/>
      <c r="S61" s="561"/>
      <c r="T61" s="561"/>
      <c r="U61" s="543"/>
      <c r="V61" s="570"/>
      <c r="W61" s="561"/>
      <c r="X61" s="561"/>
      <c r="Y61" s="671"/>
      <c r="Z61" s="570"/>
      <c r="AA61" s="561"/>
      <c r="AB61" s="543"/>
      <c r="AC61" s="570"/>
      <c r="AD61" s="561"/>
      <c r="AE61" s="561"/>
      <c r="AF61" s="543"/>
      <c r="AG61" s="570"/>
      <c r="AH61" s="561"/>
      <c r="AI61" s="561"/>
    </row>
    <row r="62" spans="1:35" s="569" customFormat="1" ht="18.75" customHeight="1">
      <c r="A62" s="596">
        <v>8</v>
      </c>
      <c r="B62" s="682" t="s">
        <v>304</v>
      </c>
      <c r="C62" s="675"/>
      <c r="D62" s="567">
        <f>SUM(D63:D66)</f>
        <v>692061.66073867586</v>
      </c>
      <c r="E62" s="568">
        <f>ROUND(D62/$E$4,2)</f>
        <v>1.46</v>
      </c>
      <c r="F62" s="566"/>
      <c r="G62" s="567">
        <f>SUM(G63:G66)</f>
        <v>0</v>
      </c>
      <c r="H62" s="568">
        <f>ROUND(G62/$E$4,2)</f>
        <v>0</v>
      </c>
      <c r="I62" s="568">
        <f>SUM(I63:I66)</f>
        <v>1.4569431128615031</v>
      </c>
      <c r="J62" s="566"/>
      <c r="K62" s="567">
        <f>SUM(K63:K66)</f>
        <v>0</v>
      </c>
      <c r="L62" s="568">
        <f>ROUND(K62/$E$4,2)</f>
        <v>0</v>
      </c>
      <c r="M62" s="568">
        <f>SUM(M63:M66)</f>
        <v>1.4569431128615031</v>
      </c>
      <c r="N62" s="675"/>
      <c r="O62" s="567">
        <f>SUM(O63:O66)</f>
        <v>714037.40039925859</v>
      </c>
      <c r="P62" s="568">
        <f>ROUND(O62/$E$4,2)</f>
        <v>1.5</v>
      </c>
      <c r="Q62" s="566"/>
      <c r="R62" s="567">
        <f>SUM(R63:R66)</f>
        <v>0</v>
      </c>
      <c r="S62" s="568">
        <f>ROUND(R62/$E$4,2)</f>
        <v>0</v>
      </c>
      <c r="T62" s="568">
        <f>SUM(T63:T66)</f>
        <v>1.503206913278289</v>
      </c>
      <c r="U62" s="566"/>
      <c r="V62" s="567">
        <f>SUM(V63:V66)</f>
        <v>0</v>
      </c>
      <c r="W62" s="568">
        <f>ROUND(V62/$E$4,2)</f>
        <v>0</v>
      </c>
      <c r="X62" s="568">
        <f>SUM(X63:X66)</f>
        <v>1.503206913278289</v>
      </c>
      <c r="Y62" s="675"/>
      <c r="Z62" s="567">
        <f>SUM(Z63:Z66)</f>
        <v>736892.16964626464</v>
      </c>
      <c r="AA62" s="568">
        <f>ROUND(Z62/$E$4,2)</f>
        <v>1.55</v>
      </c>
      <c r="AB62" s="566"/>
      <c r="AC62" s="567">
        <f>SUM(AC63:AC66)</f>
        <v>0</v>
      </c>
      <c r="AD62" s="568">
        <f>ROUND(AC62/$E$4,2)</f>
        <v>0</v>
      </c>
      <c r="AE62" s="568">
        <f>SUM(AE63:AE66)</f>
        <v>1.5513212657117463</v>
      </c>
      <c r="AF62" s="566"/>
      <c r="AG62" s="567">
        <f>SUM(AG63:AG66)</f>
        <v>0</v>
      </c>
      <c r="AH62" s="568">
        <f>ROUND(AG62/$E$4,2)</f>
        <v>0</v>
      </c>
      <c r="AI62" s="568">
        <f>SUM(AI63:AI66)</f>
        <v>1.5513212657117463</v>
      </c>
    </row>
    <row r="63" spans="1:35" s="542" customFormat="1" ht="18.75" customHeight="1" outlineLevel="1">
      <c r="A63" s="598" t="s">
        <v>2</v>
      </c>
      <c r="B63" s="683" t="s">
        <v>149</v>
      </c>
      <c r="C63" s="671"/>
      <c r="D63" s="570">
        <f>E63*E4</f>
        <v>76001.502557440006</v>
      </c>
      <c r="E63" s="561">
        <v>0.16</v>
      </c>
      <c r="F63" s="543"/>
      <c r="G63" s="570"/>
      <c r="H63" s="561">
        <f>G63/H4</f>
        <v>0</v>
      </c>
      <c r="I63" s="561">
        <f t="shared" ref="I63:I66" si="123">E63+H63</f>
        <v>0.16</v>
      </c>
      <c r="J63" s="543"/>
      <c r="K63" s="570"/>
      <c r="L63" s="561">
        <f>K63/L4</f>
        <v>0</v>
      </c>
      <c r="M63" s="561">
        <f t="shared" ref="M63:M66" si="124">E63+L63</f>
        <v>0.16</v>
      </c>
      <c r="N63" s="671"/>
      <c r="O63" s="570">
        <f>P63*P4</f>
        <v>76001.502557440006</v>
      </c>
      <c r="P63" s="561">
        <v>0.16</v>
      </c>
      <c r="Q63" s="543"/>
      <c r="R63" s="570"/>
      <c r="S63" s="561">
        <f>R63/S4</f>
        <v>0</v>
      </c>
      <c r="T63" s="561">
        <f t="shared" ref="T63:T66" si="125">P63+S63</f>
        <v>0.16</v>
      </c>
      <c r="U63" s="543"/>
      <c r="V63" s="570"/>
      <c r="W63" s="561">
        <f>V63/W4</f>
        <v>0</v>
      </c>
      <c r="X63" s="561">
        <f t="shared" ref="X63:X66" si="126">P63+W63</f>
        <v>0.16</v>
      </c>
      <c r="Y63" s="671"/>
      <c r="Z63" s="570">
        <f>AA63*AA4</f>
        <v>76001.502557440006</v>
      </c>
      <c r="AA63" s="561">
        <v>0.16</v>
      </c>
      <c r="AB63" s="543"/>
      <c r="AC63" s="570"/>
      <c r="AD63" s="561">
        <f>AC63/AD4</f>
        <v>0</v>
      </c>
      <c r="AE63" s="561">
        <f t="shared" ref="AE63:AE66" si="127">AA63+AD63</f>
        <v>0.16</v>
      </c>
      <c r="AF63" s="543"/>
      <c r="AG63" s="570"/>
      <c r="AH63" s="561">
        <f>AG63/AH4</f>
        <v>0</v>
      </c>
      <c r="AI63" s="561">
        <f t="shared" ref="AI63:AI66" si="128">AA63+AH63</f>
        <v>0.16</v>
      </c>
    </row>
    <row r="64" spans="1:35" s="542" customFormat="1" ht="18.75" customHeight="1" outlineLevel="1">
      <c r="A64" s="598" t="s">
        <v>3</v>
      </c>
      <c r="B64" s="683" t="s">
        <v>199</v>
      </c>
      <c r="C64" s="671"/>
      <c r="D64" s="570">
        <f>E64*E4</f>
        <v>549393.49151456926</v>
      </c>
      <c r="E64" s="561">
        <f>SinkingFundEstimation!B27</f>
        <v>1.1565950104196461</v>
      </c>
      <c r="F64" s="543"/>
      <c r="G64" s="570"/>
      <c r="H64" s="561">
        <v>0</v>
      </c>
      <c r="I64" s="561">
        <f t="shared" si="123"/>
        <v>1.1565950104196461</v>
      </c>
      <c r="J64" s="543"/>
      <c r="K64" s="570"/>
      <c r="L64" s="561">
        <v>0</v>
      </c>
      <c r="M64" s="561">
        <f t="shared" si="124"/>
        <v>1.1565950104196461</v>
      </c>
      <c r="N64" s="671"/>
      <c r="O64" s="570">
        <f>P64*P4</f>
        <v>571369.231175152</v>
      </c>
      <c r="P64" s="561">
        <f>SinkingFundEstimation!C27</f>
        <v>1.202858810836432</v>
      </c>
      <c r="Q64" s="543"/>
      <c r="R64" s="570"/>
      <c r="S64" s="561">
        <v>0</v>
      </c>
      <c r="T64" s="561">
        <f t="shared" si="125"/>
        <v>1.202858810836432</v>
      </c>
      <c r="U64" s="543"/>
      <c r="V64" s="570"/>
      <c r="W64" s="561">
        <v>0</v>
      </c>
      <c r="X64" s="561">
        <f t="shared" si="126"/>
        <v>1.202858810836432</v>
      </c>
      <c r="Y64" s="671"/>
      <c r="Z64" s="570">
        <f>AA64*AA4</f>
        <v>594224.00042215805</v>
      </c>
      <c r="AA64" s="561">
        <f>SinkingFundEstimation!D27</f>
        <v>1.2509731632698893</v>
      </c>
      <c r="AB64" s="543"/>
      <c r="AC64" s="570"/>
      <c r="AD64" s="561">
        <v>0</v>
      </c>
      <c r="AE64" s="561">
        <f t="shared" si="127"/>
        <v>1.2509731632698893</v>
      </c>
      <c r="AF64" s="543"/>
      <c r="AG64" s="570"/>
      <c r="AH64" s="561">
        <v>0</v>
      </c>
      <c r="AI64" s="561">
        <f t="shared" si="128"/>
        <v>1.2509731632698893</v>
      </c>
    </row>
    <row r="65" spans="1:35" s="542" customFormat="1" ht="18.75" customHeight="1" outlineLevel="1">
      <c r="A65" s="598" t="s">
        <v>4</v>
      </c>
      <c r="B65" s="683" t="s">
        <v>134</v>
      </c>
      <c r="C65" s="671"/>
      <c r="D65" s="570">
        <v>50000</v>
      </c>
      <c r="E65" s="561">
        <f t="shared" ref="E65:E66" si="129">D65/$E$4</f>
        <v>0.10526107683139295</v>
      </c>
      <c r="F65" s="543"/>
      <c r="G65" s="570"/>
      <c r="H65" s="561">
        <f>G65/$E$4</f>
        <v>0</v>
      </c>
      <c r="I65" s="561">
        <f t="shared" si="123"/>
        <v>0.10526107683139295</v>
      </c>
      <c r="J65" s="543"/>
      <c r="K65" s="570"/>
      <c r="L65" s="561">
        <f t="shared" ref="L65:L66" si="130">K65/$E$4</f>
        <v>0</v>
      </c>
      <c r="M65" s="561">
        <f t="shared" si="124"/>
        <v>0.10526107683139295</v>
      </c>
      <c r="N65" s="671"/>
      <c r="O65" s="570">
        <v>50000</v>
      </c>
      <c r="P65" s="561">
        <f t="shared" ref="P65:P66" si="131">O65/$E$4</f>
        <v>0.10526107683139295</v>
      </c>
      <c r="Q65" s="543"/>
      <c r="R65" s="570"/>
      <c r="S65" s="561">
        <f>R65/$E$4</f>
        <v>0</v>
      </c>
      <c r="T65" s="561">
        <f t="shared" si="125"/>
        <v>0.10526107683139295</v>
      </c>
      <c r="U65" s="543"/>
      <c r="V65" s="570"/>
      <c r="W65" s="561">
        <f t="shared" ref="W65:W66" si="132">V65/$E$4</f>
        <v>0</v>
      </c>
      <c r="X65" s="561">
        <f t="shared" si="126"/>
        <v>0.10526107683139295</v>
      </c>
      <c r="Y65" s="671"/>
      <c r="Z65" s="570">
        <v>50000</v>
      </c>
      <c r="AA65" s="561">
        <f t="shared" ref="AA65:AA66" si="133">Z65/$E$4</f>
        <v>0.10526107683139295</v>
      </c>
      <c r="AB65" s="543"/>
      <c r="AC65" s="570"/>
      <c r="AD65" s="561">
        <f>AC65/$E$4</f>
        <v>0</v>
      </c>
      <c r="AE65" s="561">
        <f t="shared" si="127"/>
        <v>0.10526107683139295</v>
      </c>
      <c r="AF65" s="543"/>
      <c r="AG65" s="570"/>
      <c r="AH65" s="561">
        <f t="shared" ref="AH65:AH66" si="134">AG65/$E$4</f>
        <v>0</v>
      </c>
      <c r="AI65" s="561">
        <f t="shared" si="128"/>
        <v>0.10526107683139295</v>
      </c>
    </row>
    <row r="66" spans="1:35" s="542" customFormat="1" ht="18.75" customHeight="1" outlineLevel="1">
      <c r="A66" s="598" t="s">
        <v>6</v>
      </c>
      <c r="B66" s="683" t="s">
        <v>139</v>
      </c>
      <c r="C66" s="671"/>
      <c r="D66" s="570">
        <f>5*40000/12</f>
        <v>16666.666666666668</v>
      </c>
      <c r="E66" s="561">
        <f t="shared" si="129"/>
        <v>3.5087025610464319E-2</v>
      </c>
      <c r="F66" s="543"/>
      <c r="G66" s="570"/>
      <c r="H66" s="561">
        <f>G66/$E$4</f>
        <v>0</v>
      </c>
      <c r="I66" s="561">
        <f t="shared" si="123"/>
        <v>3.5087025610464319E-2</v>
      </c>
      <c r="J66" s="543"/>
      <c r="K66" s="570"/>
      <c r="L66" s="561">
        <f t="shared" si="130"/>
        <v>0</v>
      </c>
      <c r="M66" s="561">
        <f t="shared" si="124"/>
        <v>3.5087025610464319E-2</v>
      </c>
      <c r="N66" s="671"/>
      <c r="O66" s="570">
        <f>5*40000/12</f>
        <v>16666.666666666668</v>
      </c>
      <c r="P66" s="561">
        <f t="shared" si="131"/>
        <v>3.5087025610464319E-2</v>
      </c>
      <c r="Q66" s="543"/>
      <c r="R66" s="570"/>
      <c r="S66" s="561">
        <f>R66/$E$4</f>
        <v>0</v>
      </c>
      <c r="T66" s="561">
        <f t="shared" si="125"/>
        <v>3.5087025610464319E-2</v>
      </c>
      <c r="U66" s="543"/>
      <c r="V66" s="570"/>
      <c r="W66" s="561">
        <f t="shared" si="132"/>
        <v>0</v>
      </c>
      <c r="X66" s="561">
        <f t="shared" si="126"/>
        <v>3.5087025610464319E-2</v>
      </c>
      <c r="Y66" s="671"/>
      <c r="Z66" s="570">
        <f>5*40000/12</f>
        <v>16666.666666666668</v>
      </c>
      <c r="AA66" s="561">
        <f t="shared" si="133"/>
        <v>3.5087025610464319E-2</v>
      </c>
      <c r="AB66" s="543"/>
      <c r="AC66" s="570"/>
      <c r="AD66" s="561">
        <f>AC66/$E$4</f>
        <v>0</v>
      </c>
      <c r="AE66" s="561">
        <f t="shared" si="127"/>
        <v>3.5087025610464319E-2</v>
      </c>
      <c r="AF66" s="543"/>
      <c r="AG66" s="570"/>
      <c r="AH66" s="561">
        <f t="shared" si="134"/>
        <v>0</v>
      </c>
      <c r="AI66" s="561">
        <f t="shared" si="128"/>
        <v>3.5087025610464319E-2</v>
      </c>
    </row>
    <row r="67" spans="1:35" ht="9" customHeight="1">
      <c r="A67" s="605"/>
      <c r="B67" s="688"/>
      <c r="C67" s="578"/>
      <c r="D67" s="579"/>
      <c r="E67" s="580"/>
      <c r="F67" s="578"/>
      <c r="H67" s="580"/>
      <c r="I67" s="580"/>
      <c r="J67" s="578"/>
      <c r="L67" s="580"/>
      <c r="M67" s="582"/>
      <c r="O67" s="579"/>
      <c r="P67" s="580"/>
      <c r="Q67" s="578"/>
      <c r="S67" s="580"/>
      <c r="T67" s="580"/>
      <c r="U67" s="578"/>
      <c r="W67" s="580"/>
      <c r="X67" s="582"/>
      <c r="Z67" s="579"/>
      <c r="AA67" s="580"/>
      <c r="AB67" s="578"/>
      <c r="AD67" s="580"/>
      <c r="AE67" s="580"/>
      <c r="AF67" s="578"/>
      <c r="AH67" s="580"/>
      <c r="AI67" s="582"/>
    </row>
    <row r="68" spans="1:35" s="569" customFormat="1" ht="18.75" customHeight="1" thickBot="1">
      <c r="A68" s="607">
        <v>9</v>
      </c>
      <c r="B68" s="689" t="s">
        <v>635</v>
      </c>
      <c r="C68" s="676"/>
      <c r="D68" s="585">
        <f>SUM(D8,D19,D26,D28,D32,D40,D51,D62)*10%</f>
        <v>353515.4790402588</v>
      </c>
      <c r="E68" s="620">
        <f>D68/E4</f>
        <v>0.7442284000068673</v>
      </c>
      <c r="F68" s="583"/>
      <c r="G68" s="584">
        <f>SUM(G8,G19,G26,G28,G32,G40,G51,G62)*10%</f>
        <v>128973.24452595001</v>
      </c>
      <c r="H68" s="620">
        <f>G68/H4</f>
        <v>0.68924178212849718</v>
      </c>
      <c r="I68" s="620">
        <f>E68+H68</f>
        <v>1.4334701821353644</v>
      </c>
      <c r="J68" s="583"/>
      <c r="K68" s="584">
        <f>SUM(K8,K19,K26,K28,K32,K40,K51,K62)*10%</f>
        <v>64086.972563737494</v>
      </c>
      <c r="L68" s="620">
        <f>K68/L4</f>
        <v>0.22261231089368985</v>
      </c>
      <c r="M68" s="620">
        <f>E68+L68</f>
        <v>0.96684071090055712</v>
      </c>
      <c r="N68" s="676"/>
      <c r="O68" s="584">
        <f>SUM(O8,O19,O26,O28,O32,O40,O51,O62)*10%</f>
        <v>396145.75357130333</v>
      </c>
      <c r="P68" s="620">
        <f>O68/P4</f>
        <v>0.83397457206198045</v>
      </c>
      <c r="Q68" s="583"/>
      <c r="R68" s="584">
        <f>SUM(R8,R19,R26,R28,R32,R40,R51,R62)*10%</f>
        <v>138094.5922522475</v>
      </c>
      <c r="S68" s="620">
        <f>R68/S4</f>
        <v>0.73798688414864577</v>
      </c>
      <c r="T68" s="620">
        <f>P68+S68</f>
        <v>1.5719614562106261</v>
      </c>
      <c r="U68" s="583"/>
      <c r="V68" s="584">
        <f>SUM(V8,V19,V26,V28,V32,V40,V51,V62)*10%</f>
        <v>86388.371775257707</v>
      </c>
      <c r="W68" s="620">
        <f>V68/W4</f>
        <v>0.3000783826402017</v>
      </c>
      <c r="X68" s="620">
        <f>P68+W68</f>
        <v>1.1340529547021823</v>
      </c>
      <c r="Y68" s="676"/>
      <c r="Z68" s="585">
        <f>SUM(Z8,Z19,Z26,Z28,Z32,Z40,Z51,Z62)*10%</f>
        <v>452440.67542535061</v>
      </c>
      <c r="AA68" s="620">
        <f>Z68/AA4</f>
        <v>0.95248785395190305</v>
      </c>
      <c r="AB68" s="583"/>
      <c r="AC68" s="584">
        <f>SUM(AC8,AC19,AC26,AC28,AC32,AC40,AC51,AC62)*10%</f>
        <v>154022.60924819321</v>
      </c>
      <c r="AD68" s="620">
        <f>AC68/AD4</f>
        <v>0.82310728924049203</v>
      </c>
      <c r="AE68" s="620">
        <f>AA68+AD68</f>
        <v>1.7755951431923951</v>
      </c>
      <c r="AF68" s="583"/>
      <c r="AG68" s="584">
        <f>SUM(AG8,AG19,AG26,AG28,AG32,AG40,AG51,AG62)*10%</f>
        <v>91464.546005687269</v>
      </c>
      <c r="AH68" s="620">
        <f>AG68/AH4</f>
        <v>0.31771096584283415</v>
      </c>
      <c r="AI68" s="620">
        <f>AA68+AH68</f>
        <v>1.2701988197947371</v>
      </c>
    </row>
  </sheetData>
  <sheetProtection formatCells="0" formatColumns="0" formatRows="0" insertColumns="0" insertRows="0" insertHyperlinks="0" deleteColumns="0" deleteRows="0" selectLockedCells="1" sort="0" autoFilter="0" pivotTables="0"/>
  <mergeCells count="20">
    <mergeCell ref="Z2:AI2"/>
    <mergeCell ref="Z3:AA3"/>
    <mergeCell ref="AC3:AE3"/>
    <mergeCell ref="AG3:AI3"/>
    <mergeCell ref="AE5:AE6"/>
    <mergeCell ref="AI5:AI6"/>
    <mergeCell ref="O2:X2"/>
    <mergeCell ref="O3:P3"/>
    <mergeCell ref="R3:T3"/>
    <mergeCell ref="V3:X3"/>
    <mergeCell ref="T5:T6"/>
    <mergeCell ref="X5:X6"/>
    <mergeCell ref="K3:M3"/>
    <mergeCell ref="A6:B6"/>
    <mergeCell ref="D3:E3"/>
    <mergeCell ref="A2:B3"/>
    <mergeCell ref="I5:I6"/>
    <mergeCell ref="G3:I3"/>
    <mergeCell ref="M5:M6"/>
    <mergeCell ref="D2:M2"/>
  </mergeCells>
  <hyperlinks>
    <hyperlink ref="AK2" location="INDEX!A1" display="INDEX" xr:uid="{00000000-0004-0000-0800-000000000000}"/>
  </hyperlinks>
  <printOptions horizontalCentered="1"/>
  <pageMargins left="0.46" right="0.33" top="0.56000000000000005" bottom="0.75" header="0.42" footer="0.48"/>
  <pageSetup paperSize="9" scale="60" fitToWidth="3" orientation="portrait" r:id="rId1"/>
  <headerFooter alignWithMargins="0"/>
  <colBreaks count="2" manualBreakCount="2">
    <brk id="14" min="1" max="66" man="1"/>
    <brk id="25" min="1" max="66" man="1"/>
  </colBreaks>
  <ignoredErrors>
    <ignoredError sqref="N17:AI19 D5:AI6 M17:M68 D8:L10 D17:L19 E11:L11 D21:L32 E20:L20 N21:AI65 N20 P20:AI20 D56:L65 E54:L55 D39:L40 E33:L38 D50:L53 E41:L49 D12:L15 M8:AI15 D67:L68 E66:L66 N67:AI68 N66 P66:Y66 AA66:AI66" unlocked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K23"/>
  <sheetViews>
    <sheetView view="pageBreakPreview" zoomScale="90" zoomScaleSheetLayoutView="90" workbookViewId="0">
      <selection activeCell="I1" sqref="I1:I1048576"/>
    </sheetView>
  </sheetViews>
  <sheetFormatPr defaultColWidth="9.140625" defaultRowHeight="21.75" customHeight="1"/>
  <cols>
    <col min="1" max="1" width="9.7109375" style="259" customWidth="1"/>
    <col min="2" max="2" width="27.5703125" style="405" hidden="1" customWidth="1"/>
    <col min="3" max="3" width="29.140625" style="405" bestFit="1" customWidth="1"/>
    <col min="4" max="4" width="13.85546875" style="412" customWidth="1"/>
    <col min="5" max="5" width="15.85546875" style="412" customWidth="1"/>
    <col min="6" max="6" width="14" style="412" customWidth="1"/>
    <col min="7" max="7" width="13" style="412" customWidth="1"/>
    <col min="8" max="8" width="12.42578125" style="412" customWidth="1"/>
    <col min="9" max="9" width="13.85546875" style="405" bestFit="1" customWidth="1"/>
    <col min="10" max="11" width="12.140625" style="405" bestFit="1" customWidth="1"/>
    <col min="12" max="16384" width="9.140625" style="405"/>
  </cols>
  <sheetData>
    <row r="1" spans="1:11" ht="28.5" customHeight="1">
      <c r="A1" s="998" t="s">
        <v>797</v>
      </c>
      <c r="B1" s="999"/>
      <c r="C1" s="999"/>
      <c r="D1" s="999"/>
      <c r="E1" s="999"/>
      <c r="F1" s="999"/>
      <c r="G1" s="999"/>
      <c r="H1" s="1000"/>
      <c r="I1" s="270" t="s">
        <v>336</v>
      </c>
    </row>
    <row r="2" spans="1:11" ht="44.25" customHeight="1">
      <c r="A2" s="694" t="s">
        <v>575</v>
      </c>
      <c r="B2" s="691" t="s">
        <v>576</v>
      </c>
      <c r="C2" s="691" t="s">
        <v>577</v>
      </c>
      <c r="D2" s="408" t="s">
        <v>310</v>
      </c>
      <c r="E2" s="408" t="s">
        <v>146</v>
      </c>
      <c r="F2" s="408" t="s">
        <v>147</v>
      </c>
      <c r="G2" s="408" t="s">
        <v>578</v>
      </c>
      <c r="H2" s="695" t="s">
        <v>579</v>
      </c>
    </row>
    <row r="3" spans="1:11" ht="21.75" customHeight="1">
      <c r="A3" s="696">
        <v>1</v>
      </c>
      <c r="B3" s="406" t="s">
        <v>580</v>
      </c>
      <c r="C3" s="407" t="s">
        <v>216</v>
      </c>
      <c r="D3" s="408"/>
      <c r="E3" s="404">
        <f>482405+76630</f>
        <v>559035</v>
      </c>
      <c r="F3" s="799">
        <f>E3*107%</f>
        <v>598167.45000000007</v>
      </c>
      <c r="G3" s="799">
        <f t="shared" ref="G3:H3" si="0">F3*107%</f>
        <v>640039.17150000005</v>
      </c>
      <c r="H3" s="799">
        <f t="shared" si="0"/>
        <v>684841.91350500006</v>
      </c>
      <c r="I3" s="697"/>
      <c r="J3" s="697"/>
      <c r="K3" s="697"/>
    </row>
    <row r="4" spans="1:11" ht="21.75" customHeight="1">
      <c r="A4" s="996">
        <v>2</v>
      </c>
      <c r="B4" s="997" t="s">
        <v>581</v>
      </c>
      <c r="C4" s="407" t="s">
        <v>582</v>
      </c>
      <c r="D4" s="408"/>
      <c r="E4" s="404">
        <v>263130</v>
      </c>
      <c r="F4" s="799">
        <f>E4*107%</f>
        <v>281549.10000000003</v>
      </c>
      <c r="G4" s="799">
        <f t="shared" ref="G4:H4" si="1">F4*107%</f>
        <v>301257.53700000007</v>
      </c>
      <c r="H4" s="799">
        <f t="shared" si="1"/>
        <v>322345.56459000008</v>
      </c>
    </row>
    <row r="5" spans="1:11" ht="21.75" customHeight="1">
      <c r="A5" s="996"/>
      <c r="B5" s="997"/>
      <c r="C5" s="407" t="s">
        <v>306</v>
      </c>
      <c r="D5" s="408"/>
      <c r="E5" s="404">
        <v>166000</v>
      </c>
      <c r="F5" s="404">
        <f>E5*107%</f>
        <v>177620</v>
      </c>
      <c r="G5" s="404">
        <f t="shared" ref="G5:H5" si="2">F5*107%</f>
        <v>190053.40000000002</v>
      </c>
      <c r="H5" s="404">
        <f t="shared" si="2"/>
        <v>203357.13800000004</v>
      </c>
    </row>
    <row r="6" spans="1:11" ht="21.75" customHeight="1">
      <c r="A6" s="996"/>
      <c r="B6" s="997"/>
      <c r="C6" s="407" t="s">
        <v>583</v>
      </c>
      <c r="D6" s="408"/>
      <c r="E6" s="404">
        <v>208675</v>
      </c>
      <c r="F6" s="799">
        <f>E6*107%</f>
        <v>223282.25</v>
      </c>
      <c r="G6" s="799">
        <f t="shared" ref="G6:H6" si="3">F6*107%</f>
        <v>238912.00750000001</v>
      </c>
      <c r="H6" s="799">
        <f t="shared" si="3"/>
        <v>255635.84802500001</v>
      </c>
    </row>
    <row r="7" spans="1:11" ht="21.75" customHeight="1">
      <c r="A7" s="696">
        <v>4</v>
      </c>
      <c r="B7" s="406" t="s">
        <v>587</v>
      </c>
      <c r="C7" s="407" t="s">
        <v>605</v>
      </c>
      <c r="D7" s="408"/>
      <c r="E7" s="404">
        <f>5*6000+(10*3500)*2</f>
        <v>100000</v>
      </c>
      <c r="F7" s="404">
        <f>E7*105%</f>
        <v>105000</v>
      </c>
      <c r="G7" s="404">
        <f t="shared" ref="G7:H7" si="4">F7*105%</f>
        <v>110250</v>
      </c>
      <c r="H7" s="697">
        <f t="shared" si="4"/>
        <v>115762.5</v>
      </c>
    </row>
    <row r="8" spans="1:11" ht="21.75" customHeight="1">
      <c r="A8" s="696">
        <v>5</v>
      </c>
      <c r="B8" s="406" t="s">
        <v>589</v>
      </c>
      <c r="C8" s="407" t="s">
        <v>590</v>
      </c>
      <c r="D8" s="408">
        <v>0</v>
      </c>
      <c r="E8" s="404"/>
      <c r="F8" s="404"/>
      <c r="G8" s="404"/>
      <c r="H8" s="697"/>
    </row>
    <row r="9" spans="1:11" ht="21.75" customHeight="1">
      <c r="A9" s="696">
        <v>6</v>
      </c>
      <c r="B9" s="406" t="s">
        <v>591</v>
      </c>
      <c r="C9" s="407" t="s">
        <v>215</v>
      </c>
      <c r="D9" s="408">
        <v>0</v>
      </c>
      <c r="E9" s="408">
        <v>0</v>
      </c>
      <c r="F9" s="697">
        <v>3008333.333333333</v>
      </c>
      <c r="G9" s="404">
        <f>F9*107%</f>
        <v>3218916.6666666665</v>
      </c>
      <c r="H9" s="404">
        <f>G9*107%</f>
        <v>3444240.8333333335</v>
      </c>
      <c r="I9" s="404"/>
      <c r="J9" s="404"/>
    </row>
    <row r="10" spans="1:11" ht="21.75" customHeight="1">
      <c r="A10" s="696">
        <v>7</v>
      </c>
      <c r="B10" s="406" t="s">
        <v>592</v>
      </c>
      <c r="C10" s="407" t="s">
        <v>593</v>
      </c>
      <c r="D10" s="408">
        <v>0</v>
      </c>
      <c r="E10" s="408">
        <v>0</v>
      </c>
      <c r="F10" s="404">
        <v>200000</v>
      </c>
      <c r="G10" s="404">
        <f>+F10+F10*10%</f>
        <v>220000</v>
      </c>
      <c r="H10" s="697">
        <f>+G10+G10*10%</f>
        <v>242000</v>
      </c>
      <c r="I10" s="411"/>
    </row>
    <row r="11" spans="1:11" ht="21.75" customHeight="1">
      <c r="A11" s="696"/>
      <c r="B11" s="406"/>
      <c r="C11" s="235" t="s">
        <v>295</v>
      </c>
      <c r="D11" s="408"/>
      <c r="E11" s="236">
        <f>20*6000*2</f>
        <v>240000</v>
      </c>
      <c r="F11" s="404">
        <f>E11*105%</f>
        <v>252000</v>
      </c>
      <c r="G11" s="404">
        <f t="shared" ref="G11:H11" si="5">F11*105%</f>
        <v>264600</v>
      </c>
      <c r="H11" s="697">
        <f t="shared" si="5"/>
        <v>277830</v>
      </c>
      <c r="I11" s="411"/>
    </row>
    <row r="12" spans="1:11" ht="21.75" customHeight="1">
      <c r="A12" s="990"/>
      <c r="B12" s="991"/>
      <c r="C12" s="413" t="s">
        <v>683</v>
      </c>
      <c r="D12" s="414">
        <f>SUM(D3:D11)</f>
        <v>0</v>
      </c>
      <c r="E12" s="414">
        <f>SUM(E3:E11)</f>
        <v>1536840</v>
      </c>
      <c r="F12" s="414">
        <f t="shared" ref="F12:H12" si="6">SUM(F3:F11)</f>
        <v>4845952.1333333328</v>
      </c>
      <c r="G12" s="414">
        <f t="shared" si="6"/>
        <v>5184028.7826666664</v>
      </c>
      <c r="H12" s="698">
        <f t="shared" si="6"/>
        <v>5546013.7974533336</v>
      </c>
    </row>
    <row r="13" spans="1:11" ht="21.75" customHeight="1">
      <c r="A13" s="992"/>
      <c r="B13" s="993"/>
      <c r="C13" s="413" t="s">
        <v>1</v>
      </c>
      <c r="D13" s="420">
        <f>D12/12</f>
        <v>0</v>
      </c>
      <c r="E13" s="690">
        <f>E12/12</f>
        <v>128070</v>
      </c>
      <c r="F13" s="690">
        <f t="shared" ref="F13:H13" si="7">F12/12</f>
        <v>403829.3444444444</v>
      </c>
      <c r="G13" s="690">
        <f t="shared" si="7"/>
        <v>432002.39855555556</v>
      </c>
      <c r="H13" s="699">
        <f t="shared" si="7"/>
        <v>462167.81645444449</v>
      </c>
    </row>
    <row r="14" spans="1:11" ht="21.75" customHeight="1">
      <c r="A14" s="994"/>
      <c r="B14" s="995"/>
      <c r="C14" s="692" t="s">
        <v>682</v>
      </c>
      <c r="D14" s="693">
        <f>D12/12/'CAM Variables'!$J$3</f>
        <v>0</v>
      </c>
      <c r="E14" s="693">
        <f>E12/12/'CAM Variables'!$J$3</f>
        <v>0.26961572219592994</v>
      </c>
      <c r="F14" s="693">
        <f>F12/12/'CAM Variables'!$J$3</f>
        <v>0.8501502330467543</v>
      </c>
      <c r="G14" s="693">
        <f>G12/12/'CAM Variables'!$J$3</f>
        <v>0.90946075331404752</v>
      </c>
      <c r="H14" s="700">
        <f>H12/12/'CAM Variables'!$J$3</f>
        <v>0.97296564073616798</v>
      </c>
    </row>
    <row r="15" spans="1:11" ht="21.75" customHeight="1">
      <c r="A15" s="701"/>
      <c r="D15" s="702"/>
      <c r="E15" s="702"/>
      <c r="F15" s="702"/>
      <c r="G15" s="702"/>
      <c r="H15" s="703"/>
    </row>
    <row r="16" spans="1:11" ht="21.75" customHeight="1">
      <c r="A16" s="704" t="s">
        <v>363</v>
      </c>
      <c r="B16" s="705"/>
      <c r="C16" s="705"/>
      <c r="D16" s="706"/>
      <c r="E16" s="706"/>
      <c r="F16" s="706"/>
      <c r="G16" s="706"/>
      <c r="H16" s="707"/>
    </row>
    <row r="17" spans="1:9" ht="21.75" customHeight="1">
      <c r="A17" s="696"/>
      <c r="B17" s="406" t="s">
        <v>585</v>
      </c>
      <c r="C17" s="407" t="s">
        <v>586</v>
      </c>
      <c r="D17" s="408"/>
      <c r="E17" s="404">
        <v>2200000</v>
      </c>
      <c r="F17" s="404">
        <v>2300000</v>
      </c>
      <c r="G17" s="404">
        <v>2400000</v>
      </c>
      <c r="H17" s="708">
        <v>2600000</v>
      </c>
    </row>
    <row r="18" spans="1:9" ht="21.75" customHeight="1">
      <c r="A18" s="701"/>
      <c r="B18" s="709" t="s">
        <v>606</v>
      </c>
      <c r="C18" s="413" t="s">
        <v>1</v>
      </c>
      <c r="D18" s="710">
        <f>D17/12</f>
        <v>0</v>
      </c>
      <c r="E18" s="710">
        <f t="shared" ref="E18:H18" si="8">E17/12</f>
        <v>183333.33333333334</v>
      </c>
      <c r="F18" s="710">
        <f t="shared" si="8"/>
        <v>191666.66666666666</v>
      </c>
      <c r="G18" s="710">
        <f t="shared" si="8"/>
        <v>200000</v>
      </c>
      <c r="H18" s="711">
        <f t="shared" si="8"/>
        <v>216666.66666666666</v>
      </c>
    </row>
    <row r="19" spans="1:9" ht="21.75" customHeight="1">
      <c r="A19" s="701"/>
      <c r="D19" s="405"/>
      <c r="E19" s="405"/>
      <c r="F19" s="405"/>
      <c r="G19" s="405"/>
      <c r="H19" s="712"/>
    </row>
    <row r="20" spans="1:9" ht="21.75" customHeight="1">
      <c r="A20" s="701"/>
      <c r="D20" s="702"/>
      <c r="E20" s="702"/>
      <c r="F20" s="702"/>
      <c r="G20" s="702"/>
      <c r="H20" s="703"/>
    </row>
    <row r="21" spans="1:9" ht="21.75" customHeight="1">
      <c r="A21" s="704" t="s">
        <v>358</v>
      </c>
      <c r="B21" s="705"/>
      <c r="C21" s="705"/>
      <c r="D21" s="706"/>
      <c r="E21" s="706"/>
      <c r="F21" s="706"/>
      <c r="G21" s="706"/>
      <c r="H21" s="707"/>
    </row>
    <row r="22" spans="1:9" ht="21.75" customHeight="1">
      <c r="A22" s="696"/>
      <c r="B22" s="406" t="s">
        <v>584</v>
      </c>
      <c r="C22" s="407" t="s">
        <v>297</v>
      </c>
      <c r="D22" s="409">
        <v>0</v>
      </c>
      <c r="E22" s="403">
        <v>0</v>
      </c>
      <c r="F22" s="402">
        <v>730000</v>
      </c>
      <c r="G22" s="402">
        <v>730000</v>
      </c>
      <c r="H22" s="697">
        <v>730000</v>
      </c>
      <c r="I22" s="410"/>
    </row>
    <row r="23" spans="1:9" ht="21.75" customHeight="1" thickBot="1">
      <c r="A23" s="713"/>
      <c r="B23" s="714" t="s">
        <v>607</v>
      </c>
      <c r="C23" s="715" t="s">
        <v>1</v>
      </c>
      <c r="D23" s="716">
        <f>D22/12</f>
        <v>0</v>
      </c>
      <c r="E23" s="716">
        <f t="shared" ref="E23" si="9">E22/12</f>
        <v>0</v>
      </c>
      <c r="F23" s="716">
        <f t="shared" ref="F23" si="10">F22/12</f>
        <v>60833.333333333336</v>
      </c>
      <c r="G23" s="716">
        <f t="shared" ref="G23" si="11">G22/12</f>
        <v>60833.333333333336</v>
      </c>
      <c r="H23" s="717">
        <f t="shared" ref="H23" si="12">H22/12</f>
        <v>60833.333333333336</v>
      </c>
    </row>
  </sheetData>
  <mergeCells count="4">
    <mergeCell ref="A12:B14"/>
    <mergeCell ref="A4:A6"/>
    <mergeCell ref="B4:B6"/>
    <mergeCell ref="A1:H1"/>
  </mergeCells>
  <hyperlinks>
    <hyperlink ref="I1" location="INDEX!A1" display="INDEX" xr:uid="{00000000-0004-0000-0900-000000000000}"/>
  </hyperlinks>
  <pageMargins left="0.7" right="0.7" top="0.75" bottom="0.75" header="0.3" footer="0.3"/>
  <pageSetup paperSize="9" scale="82" orientation="portrait" horizontalDpi="429496729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6">
    <pageSetUpPr fitToPage="1"/>
  </sheetPr>
  <dimension ref="A1:V29"/>
  <sheetViews>
    <sheetView zoomScale="90" zoomScaleNormal="90" workbookViewId="0">
      <pane xSplit="1" ySplit="1" topLeftCell="B2" activePane="bottomRight" state="frozen"/>
      <selection pane="topRight" activeCell="C1" sqref="C1"/>
      <selection pane="bottomLeft" activeCell="A5" sqref="A5"/>
      <selection pane="bottomRight" activeCell="F12" sqref="F12"/>
    </sheetView>
  </sheetViews>
  <sheetFormatPr defaultColWidth="9.140625" defaultRowHeight="23.25" customHeight="1"/>
  <cols>
    <col min="1" max="1" width="51.5703125" style="1" customWidth="1"/>
    <col min="2" max="4" width="13.5703125" style="1" customWidth="1"/>
    <col min="5" max="5" width="15.7109375" style="1" customWidth="1"/>
    <col min="6" max="6" width="26.85546875" style="1" customWidth="1"/>
    <col min="7" max="7" width="12.140625" style="1" customWidth="1"/>
    <col min="8" max="8" width="16.42578125" style="1" customWidth="1"/>
    <col min="9" max="9" width="15.7109375" style="1" customWidth="1"/>
    <col min="10" max="10" width="1.7109375" style="1" customWidth="1"/>
    <col min="11" max="11" width="26.85546875" style="1" customWidth="1"/>
    <col min="12" max="12" width="12.140625" style="1" customWidth="1"/>
    <col min="13" max="13" width="16.42578125" style="1" customWidth="1"/>
    <col min="14" max="14" width="15.7109375" style="1" customWidth="1"/>
    <col min="15" max="17" width="9.140625" style="1"/>
    <col min="18" max="18" width="17.7109375" style="1" bestFit="1" customWidth="1"/>
    <col min="19" max="19" width="10.42578125" style="1" customWidth="1"/>
    <col min="20" max="20" width="11" style="1" bestFit="1" customWidth="1"/>
    <col min="21" max="21" width="12.42578125" style="1" bestFit="1" customWidth="1"/>
    <col min="22" max="22" width="10" style="1" bestFit="1" customWidth="1"/>
    <col min="23" max="16384" width="9.140625" style="1"/>
  </cols>
  <sheetData>
    <row r="1" spans="1:22" ht="23.25" customHeight="1" thickBot="1">
      <c r="A1" s="468" t="s">
        <v>184</v>
      </c>
      <c r="B1" s="469"/>
      <c r="C1" s="469"/>
      <c r="D1" s="470"/>
      <c r="E1" s="270" t="s">
        <v>336</v>
      </c>
      <c r="R1" s="270"/>
    </row>
    <row r="2" spans="1:22" ht="23.25" customHeight="1" thickBot="1">
      <c r="A2" s="1008" t="s">
        <v>631</v>
      </c>
      <c r="B2" s="1009"/>
      <c r="C2" s="1009"/>
      <c r="D2" s="1010"/>
      <c r="R2" s="270"/>
    </row>
    <row r="3" spans="1:22" ht="23.25" customHeight="1" thickBot="1">
      <c r="A3" s="471"/>
      <c r="B3" s="51"/>
      <c r="C3" s="50"/>
      <c r="D3" s="52"/>
      <c r="R3" s="44"/>
      <c r="S3" s="44"/>
      <c r="T3" s="44"/>
      <c r="U3" s="44"/>
    </row>
    <row r="4" spans="1:22" ht="23.25" customHeight="1" thickBot="1">
      <c r="A4" s="1001" t="s">
        <v>193</v>
      </c>
      <c r="B4" s="1002"/>
      <c r="C4" s="50"/>
      <c r="D4" s="52"/>
      <c r="R4" s="44"/>
      <c r="S4" s="44"/>
      <c r="T4" s="44"/>
      <c r="U4" s="44"/>
    </row>
    <row r="5" spans="1:22" ht="23.25" customHeight="1" thickBot="1">
      <c r="A5" s="11" t="s">
        <v>198</v>
      </c>
      <c r="B5" s="53">
        <f>'Load Breakup'!I190</f>
        <v>19752.468618095256</v>
      </c>
      <c r="C5" s="50"/>
      <c r="D5" s="52"/>
      <c r="R5" s="44"/>
      <c r="S5" s="44"/>
      <c r="T5" s="44"/>
      <c r="U5" s="44"/>
    </row>
    <row r="6" spans="1:22" ht="23.25" customHeight="1" thickBot="1">
      <c r="A6" s="472" t="s">
        <v>187</v>
      </c>
      <c r="B6" s="40" t="s">
        <v>188</v>
      </c>
      <c r="C6" s="41" t="s">
        <v>189</v>
      </c>
      <c r="D6" s="42" t="s">
        <v>52</v>
      </c>
      <c r="R6" s="45"/>
      <c r="S6" s="45"/>
      <c r="T6" s="56"/>
      <c r="U6" s="45"/>
    </row>
    <row r="7" spans="1:22" ht="23.25" customHeight="1">
      <c r="A7" s="12" t="s">
        <v>19</v>
      </c>
      <c r="B7" s="46">
        <f>'CAM Variables'!$E$9</f>
        <v>18.29</v>
      </c>
      <c r="C7" s="47">
        <f>B5*'CAM Variables'!$E$10</f>
        <v>1234.5292886309535</v>
      </c>
      <c r="D7" s="48">
        <f>C7*B7</f>
        <v>22579.540689060137</v>
      </c>
      <c r="U7" s="45"/>
      <c r="V7" s="45"/>
    </row>
    <row r="8" spans="1:22" ht="23.25" customHeight="1" thickBot="1">
      <c r="A8" s="473" t="s">
        <v>190</v>
      </c>
      <c r="B8" s="474">
        <f>'CAM Variables'!$G$8</f>
        <v>6.5</v>
      </c>
      <c r="C8" s="475">
        <f>B5*'CAM Variables'!$G$10</f>
        <v>18517.939329464301</v>
      </c>
      <c r="D8" s="476">
        <f t="shared" ref="D8" si="0">C8*B8</f>
        <v>120366.60564151796</v>
      </c>
      <c r="S8" s="54"/>
      <c r="T8" s="55"/>
    </row>
    <row r="9" spans="1:22" ht="23.25" customHeight="1" thickBot="1">
      <c r="A9" s="1003" t="s">
        <v>191</v>
      </c>
      <c r="B9" s="1004"/>
      <c r="C9" s="1004"/>
      <c r="D9" s="43">
        <f>SUM(D7:D8)</f>
        <v>142946.14633057811</v>
      </c>
      <c r="S9" s="54"/>
      <c r="T9" s="55"/>
    </row>
    <row r="10" spans="1:22" ht="23.25" customHeight="1" thickBot="1"/>
    <row r="11" spans="1:22" ht="23.25" customHeight="1" thickBot="1">
      <c r="A11" s="468" t="s">
        <v>184</v>
      </c>
      <c r="B11" s="469"/>
      <c r="C11" s="469"/>
      <c r="D11" s="470"/>
    </row>
    <row r="12" spans="1:22" ht="23.25" customHeight="1" thickBot="1">
      <c r="A12" s="1005" t="s">
        <v>632</v>
      </c>
      <c r="B12" s="1006"/>
      <c r="C12" s="1006"/>
      <c r="D12" s="1007"/>
    </row>
    <row r="13" spans="1:22" ht="23.25" customHeight="1" thickBot="1">
      <c r="A13" s="471"/>
      <c r="B13" s="51"/>
      <c r="C13" s="50"/>
      <c r="D13" s="52"/>
    </row>
    <row r="14" spans="1:22" ht="23.25" customHeight="1" thickBot="1">
      <c r="A14" s="1001" t="s">
        <v>193</v>
      </c>
      <c r="B14" s="1002"/>
      <c r="C14" s="50"/>
      <c r="D14" s="52"/>
    </row>
    <row r="15" spans="1:22" ht="23.25" customHeight="1" thickBot="1">
      <c r="A15" s="11" t="s">
        <v>198</v>
      </c>
      <c r="B15" s="53">
        <f>'Load Breakup'!I226</f>
        <v>13625.723232000002</v>
      </c>
      <c r="C15" s="50"/>
      <c r="D15" s="52"/>
    </row>
    <row r="16" spans="1:22" ht="23.25" customHeight="1" thickBot="1">
      <c r="A16" s="472" t="s">
        <v>187</v>
      </c>
      <c r="B16" s="40" t="s">
        <v>188</v>
      </c>
      <c r="C16" s="41" t="s">
        <v>189</v>
      </c>
      <c r="D16" s="42" t="s">
        <v>52</v>
      </c>
    </row>
    <row r="17" spans="1:4" ht="23.25" customHeight="1">
      <c r="A17" s="12" t="s">
        <v>19</v>
      </c>
      <c r="B17" s="46">
        <f>'CAM Variables'!$E$9</f>
        <v>18.29</v>
      </c>
      <c r="C17" s="47">
        <f>B15*'CAM Variables'!$E$10</f>
        <v>851.60770200000013</v>
      </c>
      <c r="D17" s="48">
        <f>C17*B17</f>
        <v>15575.904869580001</v>
      </c>
    </row>
    <row r="18" spans="1:4" ht="23.25" customHeight="1" thickBot="1">
      <c r="A18" s="473" t="s">
        <v>190</v>
      </c>
      <c r="B18" s="474">
        <f>'CAM Variables'!$G$8</f>
        <v>6.5</v>
      </c>
      <c r="C18" s="475">
        <f>B15*'CAM Variables'!$G$10</f>
        <v>12774.115530000003</v>
      </c>
      <c r="D18" s="476">
        <f t="shared" ref="D18" si="1">C18*B18</f>
        <v>83031.750945000022</v>
      </c>
    </row>
    <row r="19" spans="1:4" ht="23.25" customHeight="1" thickBot="1">
      <c r="A19" s="1003" t="s">
        <v>191</v>
      </c>
      <c r="B19" s="1004"/>
      <c r="C19" s="1004"/>
      <c r="D19" s="43">
        <f>SUM(D17:D18)</f>
        <v>98607.655814580023</v>
      </c>
    </row>
    <row r="20" spans="1:4" ht="23.25" customHeight="1" thickBot="1"/>
    <row r="21" spans="1:4" ht="23.25" customHeight="1" thickBot="1">
      <c r="A21" s="468" t="s">
        <v>184</v>
      </c>
      <c r="B21" s="469"/>
      <c r="C21" s="469"/>
      <c r="D21" s="470"/>
    </row>
    <row r="22" spans="1:4" ht="23.25" customHeight="1" thickBot="1">
      <c r="A22" s="1011" t="s">
        <v>633</v>
      </c>
      <c r="B22" s="1012"/>
      <c r="C22" s="1012"/>
      <c r="D22" s="1013"/>
    </row>
    <row r="23" spans="1:4" ht="23.25" customHeight="1" thickBot="1">
      <c r="A23" s="471"/>
      <c r="B23" s="51"/>
      <c r="C23" s="50"/>
      <c r="D23" s="52"/>
    </row>
    <row r="24" spans="1:4" ht="23.25" customHeight="1" thickBot="1">
      <c r="A24" s="1001" t="s">
        <v>193</v>
      </c>
      <c r="B24" s="1002"/>
      <c r="C24" s="50"/>
      <c r="D24" s="52"/>
    </row>
    <row r="25" spans="1:4" ht="23.25" customHeight="1" thickBot="1">
      <c r="A25" s="11" t="s">
        <v>198</v>
      </c>
      <c r="B25" s="53">
        <f>'Load Breakup'!I243</f>
        <v>5537.1041999999998</v>
      </c>
      <c r="C25" s="50"/>
      <c r="D25" s="52"/>
    </row>
    <row r="26" spans="1:4" ht="23.25" customHeight="1" thickBot="1">
      <c r="A26" s="472" t="s">
        <v>187</v>
      </c>
      <c r="B26" s="40" t="s">
        <v>188</v>
      </c>
      <c r="C26" s="41" t="s">
        <v>189</v>
      </c>
      <c r="D26" s="42" t="s">
        <v>52</v>
      </c>
    </row>
    <row r="27" spans="1:4" ht="23.25" customHeight="1">
      <c r="A27" s="12" t="s">
        <v>19</v>
      </c>
      <c r="B27" s="46">
        <f>'CAM Variables'!$E$9</f>
        <v>18.29</v>
      </c>
      <c r="C27" s="47">
        <f>B25*'CAM Variables'!$E$10</f>
        <v>346.06901249999999</v>
      </c>
      <c r="D27" s="48">
        <f>C27*B27</f>
        <v>6329.6022386249997</v>
      </c>
    </row>
    <row r="28" spans="1:4" ht="23.25" customHeight="1" thickBot="1">
      <c r="A28" s="473" t="s">
        <v>190</v>
      </c>
      <c r="B28" s="474">
        <f>'CAM Variables'!$G$8</f>
        <v>6.5</v>
      </c>
      <c r="C28" s="475">
        <f>B25*'CAM Variables'!$G$10</f>
        <v>5191.0351874999997</v>
      </c>
      <c r="D28" s="476">
        <f t="shared" ref="D28" si="2">C28*B28</f>
        <v>33741.728718749997</v>
      </c>
    </row>
    <row r="29" spans="1:4" ht="23.25" customHeight="1" thickBot="1">
      <c r="A29" s="1003" t="s">
        <v>191</v>
      </c>
      <c r="B29" s="1004"/>
      <c r="C29" s="1004"/>
      <c r="D29" s="43">
        <f>SUM(D27:D28)</f>
        <v>40071.330957374994</v>
      </c>
    </row>
  </sheetData>
  <sheetProtection formatCells="0" formatColumns="0" formatRows="0" insertColumns="0" insertRows="0" insertHyperlinks="0" deleteColumns="0" deleteRows="0" selectLockedCells="1" sort="0" autoFilter="0" pivotTables="0"/>
  <mergeCells count="9">
    <mergeCell ref="A14:B14"/>
    <mergeCell ref="A24:B24"/>
    <mergeCell ref="A29:C29"/>
    <mergeCell ref="A12:D12"/>
    <mergeCell ref="A2:D2"/>
    <mergeCell ref="A22:D22"/>
    <mergeCell ref="A4:B4"/>
    <mergeCell ref="A9:C9"/>
    <mergeCell ref="A19:C19"/>
  </mergeCells>
  <hyperlinks>
    <hyperlink ref="E1" location="INDEX!A1" display="INDEX" xr:uid="{00000000-0004-0000-0A00-000001000000}"/>
  </hyperlinks>
  <pageMargins left="0.75" right="0.75" top="1" bottom="1" header="0.5" footer="0.5"/>
  <pageSetup scale="96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L292"/>
  <sheetViews>
    <sheetView view="pageBreakPreview" zoomScaleNormal="145" zoomScaleSheetLayoutView="100" workbookViewId="0">
      <pane xSplit="10" ySplit="2" topLeftCell="K3" activePane="bottomRight" state="frozen"/>
      <selection pane="topRight" activeCell="K1" sqref="K1"/>
      <selection pane="bottomLeft" activeCell="A4" sqref="A4"/>
      <selection pane="bottomRight" activeCell="Q11" sqref="Q11"/>
    </sheetView>
  </sheetViews>
  <sheetFormatPr defaultRowHeight="14.25" customHeight="1" outlineLevelRow="1"/>
  <cols>
    <col min="1" max="1" width="7.28515625" style="428" customWidth="1"/>
    <col min="2" max="2" width="33.5703125" style="433" bestFit="1" customWidth="1"/>
    <col min="3" max="3" width="22.85546875" style="433" customWidth="1"/>
    <col min="4" max="4" width="14.5703125" style="457" customWidth="1"/>
    <col min="5" max="7" width="14.5703125" style="458" hidden="1" customWidth="1"/>
    <col min="8" max="8" width="9.5703125" style="453" hidden="1" customWidth="1"/>
    <col min="9" max="9" width="13.5703125" style="459" customWidth="1"/>
    <col min="10" max="10" width="10.85546875" style="434" customWidth="1"/>
    <col min="11" max="11" width="10" style="429" bestFit="1" customWidth="1"/>
    <col min="12" max="12" width="11" style="429" bestFit="1" customWidth="1"/>
    <col min="13" max="248" width="9.140625" style="429"/>
    <col min="249" max="249" width="7.28515625" style="429" customWidth="1"/>
    <col min="250" max="250" width="33.5703125" style="429" bestFit="1" customWidth="1"/>
    <col min="251" max="251" width="58.28515625" style="429" customWidth="1"/>
    <col min="252" max="252" width="36.140625" style="429" bestFit="1" customWidth="1"/>
    <col min="253" max="253" width="25.7109375" style="429" customWidth="1"/>
    <col min="254" max="254" width="23.28515625" style="429" bestFit="1" customWidth="1"/>
    <col min="255" max="504" width="9.140625" style="429"/>
    <col min="505" max="505" width="7.28515625" style="429" customWidth="1"/>
    <col min="506" max="506" width="33.5703125" style="429" bestFit="1" customWidth="1"/>
    <col min="507" max="507" width="58.28515625" style="429" customWidth="1"/>
    <col min="508" max="508" width="36.140625" style="429" bestFit="1" customWidth="1"/>
    <col min="509" max="509" width="25.7109375" style="429" customWidth="1"/>
    <col min="510" max="510" width="23.28515625" style="429" bestFit="1" customWidth="1"/>
    <col min="511" max="760" width="9.140625" style="429"/>
    <col min="761" max="761" width="7.28515625" style="429" customWidth="1"/>
    <col min="762" max="762" width="33.5703125" style="429" bestFit="1" customWidth="1"/>
    <col min="763" max="763" width="58.28515625" style="429" customWidth="1"/>
    <col min="764" max="764" width="36.140625" style="429" bestFit="1" customWidth="1"/>
    <col min="765" max="765" width="25.7109375" style="429" customWidth="1"/>
    <col min="766" max="766" width="23.28515625" style="429" bestFit="1" customWidth="1"/>
    <col min="767" max="1016" width="9.140625" style="429"/>
    <col min="1017" max="1017" width="7.28515625" style="429" customWidth="1"/>
    <col min="1018" max="1018" width="33.5703125" style="429" bestFit="1" customWidth="1"/>
    <col min="1019" max="1019" width="58.28515625" style="429" customWidth="1"/>
    <col min="1020" max="1020" width="36.140625" style="429" bestFit="1" customWidth="1"/>
    <col min="1021" max="1021" width="25.7109375" style="429" customWidth="1"/>
    <col min="1022" max="1022" width="23.28515625" style="429" bestFit="1" customWidth="1"/>
    <col min="1023" max="1272" width="9.140625" style="429"/>
    <col min="1273" max="1273" width="7.28515625" style="429" customWidth="1"/>
    <col min="1274" max="1274" width="33.5703125" style="429" bestFit="1" customWidth="1"/>
    <col min="1275" max="1275" width="58.28515625" style="429" customWidth="1"/>
    <col min="1276" max="1276" width="36.140625" style="429" bestFit="1" customWidth="1"/>
    <col min="1277" max="1277" width="25.7109375" style="429" customWidth="1"/>
    <col min="1278" max="1278" width="23.28515625" style="429" bestFit="1" customWidth="1"/>
    <col min="1279" max="1528" width="9.140625" style="429"/>
    <col min="1529" max="1529" width="7.28515625" style="429" customWidth="1"/>
    <col min="1530" max="1530" width="33.5703125" style="429" bestFit="1" customWidth="1"/>
    <col min="1531" max="1531" width="58.28515625" style="429" customWidth="1"/>
    <col min="1532" max="1532" width="36.140625" style="429" bestFit="1" customWidth="1"/>
    <col min="1533" max="1533" width="25.7109375" style="429" customWidth="1"/>
    <col min="1534" max="1534" width="23.28515625" style="429" bestFit="1" customWidth="1"/>
    <col min="1535" max="1784" width="9.140625" style="429"/>
    <col min="1785" max="1785" width="7.28515625" style="429" customWidth="1"/>
    <col min="1786" max="1786" width="33.5703125" style="429" bestFit="1" customWidth="1"/>
    <col min="1787" max="1787" width="58.28515625" style="429" customWidth="1"/>
    <col min="1788" max="1788" width="36.140625" style="429" bestFit="1" customWidth="1"/>
    <col min="1789" max="1789" width="25.7109375" style="429" customWidth="1"/>
    <col min="1790" max="1790" width="23.28515625" style="429" bestFit="1" customWidth="1"/>
    <col min="1791" max="2040" width="9.140625" style="429"/>
    <col min="2041" max="2041" width="7.28515625" style="429" customWidth="1"/>
    <col min="2042" max="2042" width="33.5703125" style="429" bestFit="1" customWidth="1"/>
    <col min="2043" max="2043" width="58.28515625" style="429" customWidth="1"/>
    <col min="2044" max="2044" width="36.140625" style="429" bestFit="1" customWidth="1"/>
    <col min="2045" max="2045" width="25.7109375" style="429" customWidth="1"/>
    <col min="2046" max="2046" width="23.28515625" style="429" bestFit="1" customWidth="1"/>
    <col min="2047" max="2296" width="9.140625" style="429"/>
    <col min="2297" max="2297" width="7.28515625" style="429" customWidth="1"/>
    <col min="2298" max="2298" width="33.5703125" style="429" bestFit="1" customWidth="1"/>
    <col min="2299" max="2299" width="58.28515625" style="429" customWidth="1"/>
    <col min="2300" max="2300" width="36.140625" style="429" bestFit="1" customWidth="1"/>
    <col min="2301" max="2301" width="25.7109375" style="429" customWidth="1"/>
    <col min="2302" max="2302" width="23.28515625" style="429" bestFit="1" customWidth="1"/>
    <col min="2303" max="2552" width="9.140625" style="429"/>
    <col min="2553" max="2553" width="7.28515625" style="429" customWidth="1"/>
    <col min="2554" max="2554" width="33.5703125" style="429" bestFit="1" customWidth="1"/>
    <col min="2555" max="2555" width="58.28515625" style="429" customWidth="1"/>
    <col min="2556" max="2556" width="36.140625" style="429" bestFit="1" customWidth="1"/>
    <col min="2557" max="2557" width="25.7109375" style="429" customWidth="1"/>
    <col min="2558" max="2558" width="23.28515625" style="429" bestFit="1" customWidth="1"/>
    <col min="2559" max="2808" width="9.140625" style="429"/>
    <col min="2809" max="2809" width="7.28515625" style="429" customWidth="1"/>
    <col min="2810" max="2810" width="33.5703125" style="429" bestFit="1" customWidth="1"/>
    <col min="2811" max="2811" width="58.28515625" style="429" customWidth="1"/>
    <col min="2812" max="2812" width="36.140625" style="429" bestFit="1" customWidth="1"/>
    <col min="2813" max="2813" width="25.7109375" style="429" customWidth="1"/>
    <col min="2814" max="2814" width="23.28515625" style="429" bestFit="1" customWidth="1"/>
    <col min="2815" max="3064" width="9.140625" style="429"/>
    <col min="3065" max="3065" width="7.28515625" style="429" customWidth="1"/>
    <col min="3066" max="3066" width="33.5703125" style="429" bestFit="1" customWidth="1"/>
    <col min="3067" max="3067" width="58.28515625" style="429" customWidth="1"/>
    <col min="3068" max="3068" width="36.140625" style="429" bestFit="1" customWidth="1"/>
    <col min="3069" max="3069" width="25.7109375" style="429" customWidth="1"/>
    <col min="3070" max="3070" width="23.28515625" style="429" bestFit="1" customWidth="1"/>
    <col min="3071" max="3320" width="9.140625" style="429"/>
    <col min="3321" max="3321" width="7.28515625" style="429" customWidth="1"/>
    <col min="3322" max="3322" width="33.5703125" style="429" bestFit="1" customWidth="1"/>
    <col min="3323" max="3323" width="58.28515625" style="429" customWidth="1"/>
    <col min="3324" max="3324" width="36.140625" style="429" bestFit="1" customWidth="1"/>
    <col min="3325" max="3325" width="25.7109375" style="429" customWidth="1"/>
    <col min="3326" max="3326" width="23.28515625" style="429" bestFit="1" customWidth="1"/>
    <col min="3327" max="3576" width="9.140625" style="429"/>
    <col min="3577" max="3577" width="7.28515625" style="429" customWidth="1"/>
    <col min="3578" max="3578" width="33.5703125" style="429" bestFit="1" customWidth="1"/>
    <col min="3579" max="3579" width="58.28515625" style="429" customWidth="1"/>
    <col min="3580" max="3580" width="36.140625" style="429" bestFit="1" customWidth="1"/>
    <col min="3581" max="3581" width="25.7109375" style="429" customWidth="1"/>
    <col min="3582" max="3582" width="23.28515625" style="429" bestFit="1" customWidth="1"/>
    <col min="3583" max="3832" width="9.140625" style="429"/>
    <col min="3833" max="3833" width="7.28515625" style="429" customWidth="1"/>
    <col min="3834" max="3834" width="33.5703125" style="429" bestFit="1" customWidth="1"/>
    <col min="3835" max="3835" width="58.28515625" style="429" customWidth="1"/>
    <col min="3836" max="3836" width="36.140625" style="429" bestFit="1" customWidth="1"/>
    <col min="3837" max="3837" width="25.7109375" style="429" customWidth="1"/>
    <col min="3838" max="3838" width="23.28515625" style="429" bestFit="1" customWidth="1"/>
    <col min="3839" max="4088" width="9.140625" style="429"/>
    <col min="4089" max="4089" width="7.28515625" style="429" customWidth="1"/>
    <col min="4090" max="4090" width="33.5703125" style="429" bestFit="1" customWidth="1"/>
    <col min="4091" max="4091" width="58.28515625" style="429" customWidth="1"/>
    <col min="4092" max="4092" width="36.140625" style="429" bestFit="1" customWidth="1"/>
    <col min="4093" max="4093" width="25.7109375" style="429" customWidth="1"/>
    <col min="4094" max="4094" width="23.28515625" style="429" bestFit="1" customWidth="1"/>
    <col min="4095" max="4344" width="9.140625" style="429"/>
    <col min="4345" max="4345" width="7.28515625" style="429" customWidth="1"/>
    <col min="4346" max="4346" width="33.5703125" style="429" bestFit="1" customWidth="1"/>
    <col min="4347" max="4347" width="58.28515625" style="429" customWidth="1"/>
    <col min="4348" max="4348" width="36.140625" style="429" bestFit="1" customWidth="1"/>
    <col min="4349" max="4349" width="25.7109375" style="429" customWidth="1"/>
    <col min="4350" max="4350" width="23.28515625" style="429" bestFit="1" customWidth="1"/>
    <col min="4351" max="4600" width="9.140625" style="429"/>
    <col min="4601" max="4601" width="7.28515625" style="429" customWidth="1"/>
    <col min="4602" max="4602" width="33.5703125" style="429" bestFit="1" customWidth="1"/>
    <col min="4603" max="4603" width="58.28515625" style="429" customWidth="1"/>
    <col min="4604" max="4604" width="36.140625" style="429" bestFit="1" customWidth="1"/>
    <col min="4605" max="4605" width="25.7109375" style="429" customWidth="1"/>
    <col min="4606" max="4606" width="23.28515625" style="429" bestFit="1" customWidth="1"/>
    <col min="4607" max="4856" width="9.140625" style="429"/>
    <col min="4857" max="4857" width="7.28515625" style="429" customWidth="1"/>
    <col min="4858" max="4858" width="33.5703125" style="429" bestFit="1" customWidth="1"/>
    <col min="4859" max="4859" width="58.28515625" style="429" customWidth="1"/>
    <col min="4860" max="4860" width="36.140625" style="429" bestFit="1" customWidth="1"/>
    <col min="4861" max="4861" width="25.7109375" style="429" customWidth="1"/>
    <col min="4862" max="4862" width="23.28515625" style="429" bestFit="1" customWidth="1"/>
    <col min="4863" max="5112" width="9.140625" style="429"/>
    <col min="5113" max="5113" width="7.28515625" style="429" customWidth="1"/>
    <col min="5114" max="5114" width="33.5703125" style="429" bestFit="1" customWidth="1"/>
    <col min="5115" max="5115" width="58.28515625" style="429" customWidth="1"/>
    <col min="5116" max="5116" width="36.140625" style="429" bestFit="1" customWidth="1"/>
    <col min="5117" max="5117" width="25.7109375" style="429" customWidth="1"/>
    <col min="5118" max="5118" width="23.28515625" style="429" bestFit="1" customWidth="1"/>
    <col min="5119" max="5368" width="9.140625" style="429"/>
    <col min="5369" max="5369" width="7.28515625" style="429" customWidth="1"/>
    <col min="5370" max="5370" width="33.5703125" style="429" bestFit="1" customWidth="1"/>
    <col min="5371" max="5371" width="58.28515625" style="429" customWidth="1"/>
    <col min="5372" max="5372" width="36.140625" style="429" bestFit="1" customWidth="1"/>
    <col min="5373" max="5373" width="25.7109375" style="429" customWidth="1"/>
    <col min="5374" max="5374" width="23.28515625" style="429" bestFit="1" customWidth="1"/>
    <col min="5375" max="5624" width="9.140625" style="429"/>
    <col min="5625" max="5625" width="7.28515625" style="429" customWidth="1"/>
    <col min="5626" max="5626" width="33.5703125" style="429" bestFit="1" customWidth="1"/>
    <col min="5627" max="5627" width="58.28515625" style="429" customWidth="1"/>
    <col min="5628" max="5628" width="36.140625" style="429" bestFit="1" customWidth="1"/>
    <col min="5629" max="5629" width="25.7109375" style="429" customWidth="1"/>
    <col min="5630" max="5630" width="23.28515625" style="429" bestFit="1" customWidth="1"/>
    <col min="5631" max="5880" width="9.140625" style="429"/>
    <col min="5881" max="5881" width="7.28515625" style="429" customWidth="1"/>
    <col min="5882" max="5882" width="33.5703125" style="429" bestFit="1" customWidth="1"/>
    <col min="5883" max="5883" width="58.28515625" style="429" customWidth="1"/>
    <col min="5884" max="5884" width="36.140625" style="429" bestFit="1" customWidth="1"/>
    <col min="5885" max="5885" width="25.7109375" style="429" customWidth="1"/>
    <col min="5886" max="5886" width="23.28515625" style="429" bestFit="1" customWidth="1"/>
    <col min="5887" max="6136" width="9.140625" style="429"/>
    <col min="6137" max="6137" width="7.28515625" style="429" customWidth="1"/>
    <col min="6138" max="6138" width="33.5703125" style="429" bestFit="1" customWidth="1"/>
    <col min="6139" max="6139" width="58.28515625" style="429" customWidth="1"/>
    <col min="6140" max="6140" width="36.140625" style="429" bestFit="1" customWidth="1"/>
    <col min="6141" max="6141" width="25.7109375" style="429" customWidth="1"/>
    <col min="6142" max="6142" width="23.28515625" style="429" bestFit="1" customWidth="1"/>
    <col min="6143" max="6392" width="9.140625" style="429"/>
    <col min="6393" max="6393" width="7.28515625" style="429" customWidth="1"/>
    <col min="6394" max="6394" width="33.5703125" style="429" bestFit="1" customWidth="1"/>
    <col min="6395" max="6395" width="58.28515625" style="429" customWidth="1"/>
    <col min="6396" max="6396" width="36.140625" style="429" bestFit="1" customWidth="1"/>
    <col min="6397" max="6397" width="25.7109375" style="429" customWidth="1"/>
    <col min="6398" max="6398" width="23.28515625" style="429" bestFit="1" customWidth="1"/>
    <col min="6399" max="6648" width="9.140625" style="429"/>
    <col min="6649" max="6649" width="7.28515625" style="429" customWidth="1"/>
    <col min="6650" max="6650" width="33.5703125" style="429" bestFit="1" customWidth="1"/>
    <col min="6651" max="6651" width="58.28515625" style="429" customWidth="1"/>
    <col min="6652" max="6652" width="36.140625" style="429" bestFit="1" customWidth="1"/>
    <col min="6653" max="6653" width="25.7109375" style="429" customWidth="1"/>
    <col min="6654" max="6654" width="23.28515625" style="429" bestFit="1" customWidth="1"/>
    <col min="6655" max="6904" width="9.140625" style="429"/>
    <col min="6905" max="6905" width="7.28515625" style="429" customWidth="1"/>
    <col min="6906" max="6906" width="33.5703125" style="429" bestFit="1" customWidth="1"/>
    <col min="6907" max="6907" width="58.28515625" style="429" customWidth="1"/>
    <col min="6908" max="6908" width="36.140625" style="429" bestFit="1" customWidth="1"/>
    <col min="6909" max="6909" width="25.7109375" style="429" customWidth="1"/>
    <col min="6910" max="6910" width="23.28515625" style="429" bestFit="1" customWidth="1"/>
    <col min="6911" max="7160" width="9.140625" style="429"/>
    <col min="7161" max="7161" width="7.28515625" style="429" customWidth="1"/>
    <col min="7162" max="7162" width="33.5703125" style="429" bestFit="1" customWidth="1"/>
    <col min="7163" max="7163" width="58.28515625" style="429" customWidth="1"/>
    <col min="7164" max="7164" width="36.140625" style="429" bestFit="1" customWidth="1"/>
    <col min="7165" max="7165" width="25.7109375" style="429" customWidth="1"/>
    <col min="7166" max="7166" width="23.28515625" style="429" bestFit="1" customWidth="1"/>
    <col min="7167" max="7416" width="9.140625" style="429"/>
    <col min="7417" max="7417" width="7.28515625" style="429" customWidth="1"/>
    <col min="7418" max="7418" width="33.5703125" style="429" bestFit="1" customWidth="1"/>
    <col min="7419" max="7419" width="58.28515625" style="429" customWidth="1"/>
    <col min="7420" max="7420" width="36.140625" style="429" bestFit="1" customWidth="1"/>
    <col min="7421" max="7421" width="25.7109375" style="429" customWidth="1"/>
    <col min="7422" max="7422" width="23.28515625" style="429" bestFit="1" customWidth="1"/>
    <col min="7423" max="7672" width="9.140625" style="429"/>
    <col min="7673" max="7673" width="7.28515625" style="429" customWidth="1"/>
    <col min="7674" max="7674" width="33.5703125" style="429" bestFit="1" customWidth="1"/>
    <col min="7675" max="7675" width="58.28515625" style="429" customWidth="1"/>
    <col min="7676" max="7676" width="36.140625" style="429" bestFit="1" customWidth="1"/>
    <col min="7677" max="7677" width="25.7109375" style="429" customWidth="1"/>
    <col min="7678" max="7678" width="23.28515625" style="429" bestFit="1" customWidth="1"/>
    <col min="7679" max="7928" width="9.140625" style="429"/>
    <col min="7929" max="7929" width="7.28515625" style="429" customWidth="1"/>
    <col min="7930" max="7930" width="33.5703125" style="429" bestFit="1" customWidth="1"/>
    <col min="7931" max="7931" width="58.28515625" style="429" customWidth="1"/>
    <col min="7932" max="7932" width="36.140625" style="429" bestFit="1" customWidth="1"/>
    <col min="7933" max="7933" width="25.7109375" style="429" customWidth="1"/>
    <col min="7934" max="7934" width="23.28515625" style="429" bestFit="1" customWidth="1"/>
    <col min="7935" max="8184" width="9.140625" style="429"/>
    <col min="8185" max="8185" width="7.28515625" style="429" customWidth="1"/>
    <col min="8186" max="8186" width="33.5703125" style="429" bestFit="1" customWidth="1"/>
    <col min="8187" max="8187" width="58.28515625" style="429" customWidth="1"/>
    <col min="8188" max="8188" width="36.140625" style="429" bestFit="1" customWidth="1"/>
    <col min="8189" max="8189" width="25.7109375" style="429" customWidth="1"/>
    <col min="8190" max="8190" width="23.28515625" style="429" bestFit="1" customWidth="1"/>
    <col min="8191" max="8440" width="9.140625" style="429"/>
    <col min="8441" max="8441" width="7.28515625" style="429" customWidth="1"/>
    <col min="8442" max="8442" width="33.5703125" style="429" bestFit="1" customWidth="1"/>
    <col min="8443" max="8443" width="58.28515625" style="429" customWidth="1"/>
    <col min="8444" max="8444" width="36.140625" style="429" bestFit="1" customWidth="1"/>
    <col min="8445" max="8445" width="25.7109375" style="429" customWidth="1"/>
    <col min="8446" max="8446" width="23.28515625" style="429" bestFit="1" customWidth="1"/>
    <col min="8447" max="8696" width="9.140625" style="429"/>
    <col min="8697" max="8697" width="7.28515625" style="429" customWidth="1"/>
    <col min="8698" max="8698" width="33.5703125" style="429" bestFit="1" customWidth="1"/>
    <col min="8699" max="8699" width="58.28515625" style="429" customWidth="1"/>
    <col min="8700" max="8700" width="36.140625" style="429" bestFit="1" customWidth="1"/>
    <col min="8701" max="8701" width="25.7109375" style="429" customWidth="1"/>
    <col min="8702" max="8702" width="23.28515625" style="429" bestFit="1" customWidth="1"/>
    <col min="8703" max="8952" width="9.140625" style="429"/>
    <col min="8953" max="8953" width="7.28515625" style="429" customWidth="1"/>
    <col min="8954" max="8954" width="33.5703125" style="429" bestFit="1" customWidth="1"/>
    <col min="8955" max="8955" width="58.28515625" style="429" customWidth="1"/>
    <col min="8956" max="8956" width="36.140625" style="429" bestFit="1" customWidth="1"/>
    <col min="8957" max="8957" width="25.7109375" style="429" customWidth="1"/>
    <col min="8958" max="8958" width="23.28515625" style="429" bestFit="1" customWidth="1"/>
    <col min="8959" max="9208" width="9.140625" style="429"/>
    <col min="9209" max="9209" width="7.28515625" style="429" customWidth="1"/>
    <col min="9210" max="9210" width="33.5703125" style="429" bestFit="1" customWidth="1"/>
    <col min="9211" max="9211" width="58.28515625" style="429" customWidth="1"/>
    <col min="9212" max="9212" width="36.140625" style="429" bestFit="1" customWidth="1"/>
    <col min="9213" max="9213" width="25.7109375" style="429" customWidth="1"/>
    <col min="9214" max="9214" width="23.28515625" style="429" bestFit="1" customWidth="1"/>
    <col min="9215" max="9464" width="9.140625" style="429"/>
    <col min="9465" max="9465" width="7.28515625" style="429" customWidth="1"/>
    <col min="9466" max="9466" width="33.5703125" style="429" bestFit="1" customWidth="1"/>
    <col min="9467" max="9467" width="58.28515625" style="429" customWidth="1"/>
    <col min="9468" max="9468" width="36.140625" style="429" bestFit="1" customWidth="1"/>
    <col min="9469" max="9469" width="25.7109375" style="429" customWidth="1"/>
    <col min="9470" max="9470" width="23.28515625" style="429" bestFit="1" customWidth="1"/>
    <col min="9471" max="9720" width="9.140625" style="429"/>
    <col min="9721" max="9721" width="7.28515625" style="429" customWidth="1"/>
    <col min="9722" max="9722" width="33.5703125" style="429" bestFit="1" customWidth="1"/>
    <col min="9723" max="9723" width="58.28515625" style="429" customWidth="1"/>
    <col min="9724" max="9724" width="36.140625" style="429" bestFit="1" customWidth="1"/>
    <col min="9725" max="9725" width="25.7109375" style="429" customWidth="1"/>
    <col min="9726" max="9726" width="23.28515625" style="429" bestFit="1" customWidth="1"/>
    <col min="9727" max="9976" width="9.140625" style="429"/>
    <col min="9977" max="9977" width="7.28515625" style="429" customWidth="1"/>
    <col min="9978" max="9978" width="33.5703125" style="429" bestFit="1" customWidth="1"/>
    <col min="9979" max="9979" width="58.28515625" style="429" customWidth="1"/>
    <col min="9980" max="9980" width="36.140625" style="429" bestFit="1" customWidth="1"/>
    <col min="9981" max="9981" width="25.7109375" style="429" customWidth="1"/>
    <col min="9982" max="9982" width="23.28515625" style="429" bestFit="1" customWidth="1"/>
    <col min="9983" max="10232" width="9.140625" style="429"/>
    <col min="10233" max="10233" width="7.28515625" style="429" customWidth="1"/>
    <col min="10234" max="10234" width="33.5703125" style="429" bestFit="1" customWidth="1"/>
    <col min="10235" max="10235" width="58.28515625" style="429" customWidth="1"/>
    <col min="10236" max="10236" width="36.140625" style="429" bestFit="1" customWidth="1"/>
    <col min="10237" max="10237" width="25.7109375" style="429" customWidth="1"/>
    <col min="10238" max="10238" width="23.28515625" style="429" bestFit="1" customWidth="1"/>
    <col min="10239" max="10488" width="9.140625" style="429"/>
    <col min="10489" max="10489" width="7.28515625" style="429" customWidth="1"/>
    <col min="10490" max="10490" width="33.5703125" style="429" bestFit="1" customWidth="1"/>
    <col min="10491" max="10491" width="58.28515625" style="429" customWidth="1"/>
    <col min="10492" max="10492" width="36.140625" style="429" bestFit="1" customWidth="1"/>
    <col min="10493" max="10493" width="25.7109375" style="429" customWidth="1"/>
    <col min="10494" max="10494" width="23.28515625" style="429" bestFit="1" customWidth="1"/>
    <col min="10495" max="10744" width="9.140625" style="429"/>
    <col min="10745" max="10745" width="7.28515625" style="429" customWidth="1"/>
    <col min="10746" max="10746" width="33.5703125" style="429" bestFit="1" customWidth="1"/>
    <col min="10747" max="10747" width="58.28515625" style="429" customWidth="1"/>
    <col min="10748" max="10748" width="36.140625" style="429" bestFit="1" customWidth="1"/>
    <col min="10749" max="10749" width="25.7109375" style="429" customWidth="1"/>
    <col min="10750" max="10750" width="23.28515625" style="429" bestFit="1" customWidth="1"/>
    <col min="10751" max="11000" width="9.140625" style="429"/>
    <col min="11001" max="11001" width="7.28515625" style="429" customWidth="1"/>
    <col min="11002" max="11002" width="33.5703125" style="429" bestFit="1" customWidth="1"/>
    <col min="11003" max="11003" width="58.28515625" style="429" customWidth="1"/>
    <col min="11004" max="11004" width="36.140625" style="429" bestFit="1" customWidth="1"/>
    <col min="11005" max="11005" width="25.7109375" style="429" customWidth="1"/>
    <col min="11006" max="11006" width="23.28515625" style="429" bestFit="1" customWidth="1"/>
    <col min="11007" max="11256" width="9.140625" style="429"/>
    <col min="11257" max="11257" width="7.28515625" style="429" customWidth="1"/>
    <col min="11258" max="11258" width="33.5703125" style="429" bestFit="1" customWidth="1"/>
    <col min="11259" max="11259" width="58.28515625" style="429" customWidth="1"/>
    <col min="11260" max="11260" width="36.140625" style="429" bestFit="1" customWidth="1"/>
    <col min="11261" max="11261" width="25.7109375" style="429" customWidth="1"/>
    <col min="11262" max="11262" width="23.28515625" style="429" bestFit="1" customWidth="1"/>
    <col min="11263" max="11512" width="9.140625" style="429"/>
    <col min="11513" max="11513" width="7.28515625" style="429" customWidth="1"/>
    <col min="11514" max="11514" width="33.5703125" style="429" bestFit="1" customWidth="1"/>
    <col min="11515" max="11515" width="58.28515625" style="429" customWidth="1"/>
    <col min="11516" max="11516" width="36.140625" style="429" bestFit="1" customWidth="1"/>
    <col min="11517" max="11517" width="25.7109375" style="429" customWidth="1"/>
    <col min="11518" max="11518" width="23.28515625" style="429" bestFit="1" customWidth="1"/>
    <col min="11519" max="11768" width="9.140625" style="429"/>
    <col min="11769" max="11769" width="7.28515625" style="429" customWidth="1"/>
    <col min="11770" max="11770" width="33.5703125" style="429" bestFit="1" customWidth="1"/>
    <col min="11771" max="11771" width="58.28515625" style="429" customWidth="1"/>
    <col min="11772" max="11772" width="36.140625" style="429" bestFit="1" customWidth="1"/>
    <col min="11773" max="11773" width="25.7109375" style="429" customWidth="1"/>
    <col min="11774" max="11774" width="23.28515625" style="429" bestFit="1" customWidth="1"/>
    <col min="11775" max="12024" width="9.140625" style="429"/>
    <col min="12025" max="12025" width="7.28515625" style="429" customWidth="1"/>
    <col min="12026" max="12026" width="33.5703125" style="429" bestFit="1" customWidth="1"/>
    <col min="12027" max="12027" width="58.28515625" style="429" customWidth="1"/>
    <col min="12028" max="12028" width="36.140625" style="429" bestFit="1" customWidth="1"/>
    <col min="12029" max="12029" width="25.7109375" style="429" customWidth="1"/>
    <col min="12030" max="12030" width="23.28515625" style="429" bestFit="1" customWidth="1"/>
    <col min="12031" max="12280" width="9.140625" style="429"/>
    <col min="12281" max="12281" width="7.28515625" style="429" customWidth="1"/>
    <col min="12282" max="12282" width="33.5703125" style="429" bestFit="1" customWidth="1"/>
    <col min="12283" max="12283" width="58.28515625" style="429" customWidth="1"/>
    <col min="12284" max="12284" width="36.140625" style="429" bestFit="1" customWidth="1"/>
    <col min="12285" max="12285" width="25.7109375" style="429" customWidth="1"/>
    <col min="12286" max="12286" width="23.28515625" style="429" bestFit="1" customWidth="1"/>
    <col min="12287" max="12536" width="9.140625" style="429"/>
    <col min="12537" max="12537" width="7.28515625" style="429" customWidth="1"/>
    <col min="12538" max="12538" width="33.5703125" style="429" bestFit="1" customWidth="1"/>
    <col min="12539" max="12539" width="58.28515625" style="429" customWidth="1"/>
    <col min="12540" max="12540" width="36.140625" style="429" bestFit="1" customWidth="1"/>
    <col min="12541" max="12541" width="25.7109375" style="429" customWidth="1"/>
    <col min="12542" max="12542" width="23.28515625" style="429" bestFit="1" customWidth="1"/>
    <col min="12543" max="12792" width="9.140625" style="429"/>
    <col min="12793" max="12793" width="7.28515625" style="429" customWidth="1"/>
    <col min="12794" max="12794" width="33.5703125" style="429" bestFit="1" customWidth="1"/>
    <col min="12795" max="12795" width="58.28515625" style="429" customWidth="1"/>
    <col min="12796" max="12796" width="36.140625" style="429" bestFit="1" customWidth="1"/>
    <col min="12797" max="12797" width="25.7109375" style="429" customWidth="1"/>
    <col min="12798" max="12798" width="23.28515625" style="429" bestFit="1" customWidth="1"/>
    <col min="12799" max="13048" width="9.140625" style="429"/>
    <col min="13049" max="13049" width="7.28515625" style="429" customWidth="1"/>
    <col min="13050" max="13050" width="33.5703125" style="429" bestFit="1" customWidth="1"/>
    <col min="13051" max="13051" width="58.28515625" style="429" customWidth="1"/>
    <col min="13052" max="13052" width="36.140625" style="429" bestFit="1" customWidth="1"/>
    <col min="13053" max="13053" width="25.7109375" style="429" customWidth="1"/>
    <col min="13054" max="13054" width="23.28515625" style="429" bestFit="1" customWidth="1"/>
    <col min="13055" max="13304" width="9.140625" style="429"/>
    <col min="13305" max="13305" width="7.28515625" style="429" customWidth="1"/>
    <col min="13306" max="13306" width="33.5703125" style="429" bestFit="1" customWidth="1"/>
    <col min="13307" max="13307" width="58.28515625" style="429" customWidth="1"/>
    <col min="13308" max="13308" width="36.140625" style="429" bestFit="1" customWidth="1"/>
    <col min="13309" max="13309" width="25.7109375" style="429" customWidth="1"/>
    <col min="13310" max="13310" width="23.28515625" style="429" bestFit="1" customWidth="1"/>
    <col min="13311" max="13560" width="9.140625" style="429"/>
    <col min="13561" max="13561" width="7.28515625" style="429" customWidth="1"/>
    <col min="13562" max="13562" width="33.5703125" style="429" bestFit="1" customWidth="1"/>
    <col min="13563" max="13563" width="58.28515625" style="429" customWidth="1"/>
    <col min="13564" max="13564" width="36.140625" style="429" bestFit="1" customWidth="1"/>
    <col min="13565" max="13565" width="25.7109375" style="429" customWidth="1"/>
    <col min="13566" max="13566" width="23.28515625" style="429" bestFit="1" customWidth="1"/>
    <col min="13567" max="13816" width="9.140625" style="429"/>
    <col min="13817" max="13817" width="7.28515625" style="429" customWidth="1"/>
    <col min="13818" max="13818" width="33.5703125" style="429" bestFit="1" customWidth="1"/>
    <col min="13819" max="13819" width="58.28515625" style="429" customWidth="1"/>
    <col min="13820" max="13820" width="36.140625" style="429" bestFit="1" customWidth="1"/>
    <col min="13821" max="13821" width="25.7109375" style="429" customWidth="1"/>
    <col min="13822" max="13822" width="23.28515625" style="429" bestFit="1" customWidth="1"/>
    <col min="13823" max="14072" width="9.140625" style="429"/>
    <col min="14073" max="14073" width="7.28515625" style="429" customWidth="1"/>
    <col min="14074" max="14074" width="33.5703125" style="429" bestFit="1" customWidth="1"/>
    <col min="14075" max="14075" width="58.28515625" style="429" customWidth="1"/>
    <col min="14076" max="14076" width="36.140625" style="429" bestFit="1" customWidth="1"/>
    <col min="14077" max="14077" width="25.7109375" style="429" customWidth="1"/>
    <col min="14078" max="14078" width="23.28515625" style="429" bestFit="1" customWidth="1"/>
    <col min="14079" max="14328" width="9.140625" style="429"/>
    <col min="14329" max="14329" width="7.28515625" style="429" customWidth="1"/>
    <col min="14330" max="14330" width="33.5703125" style="429" bestFit="1" customWidth="1"/>
    <col min="14331" max="14331" width="58.28515625" style="429" customWidth="1"/>
    <col min="14332" max="14332" width="36.140625" style="429" bestFit="1" customWidth="1"/>
    <col min="14333" max="14333" width="25.7109375" style="429" customWidth="1"/>
    <col min="14334" max="14334" width="23.28515625" style="429" bestFit="1" customWidth="1"/>
    <col min="14335" max="14584" width="9.140625" style="429"/>
    <col min="14585" max="14585" width="7.28515625" style="429" customWidth="1"/>
    <col min="14586" max="14586" width="33.5703125" style="429" bestFit="1" customWidth="1"/>
    <col min="14587" max="14587" width="58.28515625" style="429" customWidth="1"/>
    <col min="14588" max="14588" width="36.140625" style="429" bestFit="1" customWidth="1"/>
    <col min="14589" max="14589" width="25.7109375" style="429" customWidth="1"/>
    <col min="14590" max="14590" width="23.28515625" style="429" bestFit="1" customWidth="1"/>
    <col min="14591" max="14840" width="9.140625" style="429"/>
    <col min="14841" max="14841" width="7.28515625" style="429" customWidth="1"/>
    <col min="14842" max="14842" width="33.5703125" style="429" bestFit="1" customWidth="1"/>
    <col min="14843" max="14843" width="58.28515625" style="429" customWidth="1"/>
    <col min="14844" max="14844" width="36.140625" style="429" bestFit="1" customWidth="1"/>
    <col min="14845" max="14845" width="25.7109375" style="429" customWidth="1"/>
    <col min="14846" max="14846" width="23.28515625" style="429" bestFit="1" customWidth="1"/>
    <col min="14847" max="15096" width="9.140625" style="429"/>
    <col min="15097" max="15097" width="7.28515625" style="429" customWidth="1"/>
    <col min="15098" max="15098" width="33.5703125" style="429" bestFit="1" customWidth="1"/>
    <col min="15099" max="15099" width="58.28515625" style="429" customWidth="1"/>
    <col min="15100" max="15100" width="36.140625" style="429" bestFit="1" customWidth="1"/>
    <col min="15101" max="15101" width="25.7109375" style="429" customWidth="1"/>
    <col min="15102" max="15102" width="23.28515625" style="429" bestFit="1" customWidth="1"/>
    <col min="15103" max="15352" width="9.140625" style="429"/>
    <col min="15353" max="15353" width="7.28515625" style="429" customWidth="1"/>
    <col min="15354" max="15354" width="33.5703125" style="429" bestFit="1" customWidth="1"/>
    <col min="15355" max="15355" width="58.28515625" style="429" customWidth="1"/>
    <col min="15356" max="15356" width="36.140625" style="429" bestFit="1" customWidth="1"/>
    <col min="15357" max="15357" width="25.7109375" style="429" customWidth="1"/>
    <col min="15358" max="15358" width="23.28515625" style="429" bestFit="1" customWidth="1"/>
    <col min="15359" max="15608" width="9.140625" style="429"/>
    <col min="15609" max="15609" width="7.28515625" style="429" customWidth="1"/>
    <col min="15610" max="15610" width="33.5703125" style="429" bestFit="1" customWidth="1"/>
    <col min="15611" max="15611" width="58.28515625" style="429" customWidth="1"/>
    <col min="15612" max="15612" width="36.140625" style="429" bestFit="1" customWidth="1"/>
    <col min="15613" max="15613" width="25.7109375" style="429" customWidth="1"/>
    <col min="15614" max="15614" width="23.28515625" style="429" bestFit="1" customWidth="1"/>
    <col min="15615" max="15864" width="9.140625" style="429"/>
    <col min="15865" max="15865" width="7.28515625" style="429" customWidth="1"/>
    <col min="15866" max="15866" width="33.5703125" style="429" bestFit="1" customWidth="1"/>
    <col min="15867" max="15867" width="58.28515625" style="429" customWidth="1"/>
    <col min="15868" max="15868" width="36.140625" style="429" bestFit="1" customWidth="1"/>
    <col min="15869" max="15869" width="25.7109375" style="429" customWidth="1"/>
    <col min="15870" max="15870" width="23.28515625" style="429" bestFit="1" customWidth="1"/>
    <col min="15871" max="16120" width="9.140625" style="429"/>
    <col min="16121" max="16121" width="7.28515625" style="429" customWidth="1"/>
    <col min="16122" max="16122" width="33.5703125" style="429" bestFit="1" customWidth="1"/>
    <col min="16123" max="16123" width="58.28515625" style="429" customWidth="1"/>
    <col min="16124" max="16124" width="36.140625" style="429" bestFit="1" customWidth="1"/>
    <col min="16125" max="16125" width="25.7109375" style="429" customWidth="1"/>
    <col min="16126" max="16126" width="23.28515625" style="429" bestFit="1" customWidth="1"/>
    <col min="16127" max="16384" width="9.140625" style="429"/>
  </cols>
  <sheetData>
    <row r="1" spans="1:12" ht="22.5" customHeight="1">
      <c r="A1" s="727" t="s">
        <v>684</v>
      </c>
      <c r="B1" s="728"/>
      <c r="C1" s="728"/>
      <c r="D1" s="728"/>
      <c r="E1" s="728"/>
      <c r="F1" s="728"/>
      <c r="G1" s="728"/>
      <c r="H1" s="728"/>
      <c r="I1" s="729"/>
      <c r="L1" s="270" t="s">
        <v>336</v>
      </c>
    </row>
    <row r="2" spans="1:12" ht="33" customHeight="1">
      <c r="A2" s="730" t="s">
        <v>10</v>
      </c>
      <c r="B2" s="449" t="s">
        <v>415</v>
      </c>
      <c r="C2" s="449" t="s">
        <v>416</v>
      </c>
      <c r="D2" s="455" t="s">
        <v>418</v>
      </c>
      <c r="E2" s="455" t="s">
        <v>113</v>
      </c>
      <c r="F2" s="455" t="s">
        <v>148</v>
      </c>
      <c r="G2" s="455" t="s">
        <v>71</v>
      </c>
      <c r="H2" s="455" t="s">
        <v>72</v>
      </c>
      <c r="I2" s="731" t="s">
        <v>73</v>
      </c>
      <c r="J2" s="726" t="s">
        <v>1</v>
      </c>
    </row>
    <row r="3" spans="1:12" ht="14.25" customHeight="1">
      <c r="A3" s="732"/>
      <c r="B3" s="627"/>
      <c r="C3" s="627"/>
      <c r="D3" s="456"/>
      <c r="E3" s="438"/>
      <c r="F3" s="438"/>
      <c r="G3" s="438"/>
      <c r="H3" s="448"/>
      <c r="I3" s="733"/>
    </row>
    <row r="4" spans="1:12" ht="14.25" customHeight="1">
      <c r="A4" s="734" t="s">
        <v>630</v>
      </c>
      <c r="B4" s="718"/>
      <c r="C4" s="718"/>
      <c r="D4" s="718"/>
      <c r="E4" s="718"/>
      <c r="F4" s="718"/>
      <c r="G4" s="718"/>
      <c r="H4" s="718"/>
      <c r="I4" s="735"/>
      <c r="J4" s="718"/>
    </row>
    <row r="5" spans="1:12" s="435" customFormat="1" ht="14.25" customHeight="1">
      <c r="A5" s="736" t="s">
        <v>618</v>
      </c>
      <c r="B5" s="442"/>
      <c r="C5" s="461"/>
      <c r="D5" s="462">
        <f>SUM(D6:D17)</f>
        <v>69.179999999999993</v>
      </c>
      <c r="E5" s="462"/>
      <c r="F5" s="462"/>
      <c r="G5" s="462"/>
      <c r="H5" s="462">
        <f>SUM(H6:H17)</f>
        <v>273.44856000000004</v>
      </c>
      <c r="I5" s="737">
        <f>SUM(I6:I17)</f>
        <v>8340.1810800000003</v>
      </c>
      <c r="J5" s="436"/>
      <c r="K5" s="623">
        <f>I5*'HVAC-Mall'!$C$14</f>
        <v>66502.518886649996</v>
      </c>
      <c r="L5" s="432">
        <f>K5*12</f>
        <v>798030.22663980001</v>
      </c>
    </row>
    <row r="6" spans="1:12" ht="14.25" customHeight="1" outlineLevel="1">
      <c r="A6" s="732">
        <v>1</v>
      </c>
      <c r="B6" s="627" t="s">
        <v>568</v>
      </c>
      <c r="C6" s="627" t="s">
        <v>658</v>
      </c>
      <c r="D6" s="633">
        <v>1.6</v>
      </c>
      <c r="E6" s="438">
        <v>0.5</v>
      </c>
      <c r="F6" s="438">
        <v>0.5</v>
      </c>
      <c r="G6" s="438">
        <v>18</v>
      </c>
      <c r="H6" s="460">
        <f t="shared" ref="H6:H8" si="0">D6*E6*F6*G6</f>
        <v>7.2</v>
      </c>
      <c r="I6" s="738">
        <f t="shared" ref="I6:I8" si="1">H6*30.5</f>
        <v>219.6</v>
      </c>
      <c r="J6" s="634"/>
    </row>
    <row r="7" spans="1:12" ht="14.25" customHeight="1" outlineLevel="1">
      <c r="A7" s="732">
        <v>2</v>
      </c>
      <c r="B7" s="627" t="s">
        <v>569</v>
      </c>
      <c r="C7" s="627" t="s">
        <v>659</v>
      </c>
      <c r="D7" s="633">
        <v>1.78</v>
      </c>
      <c r="E7" s="438">
        <v>0.2</v>
      </c>
      <c r="F7" s="438">
        <v>0.5</v>
      </c>
      <c r="G7" s="438">
        <v>1</v>
      </c>
      <c r="H7" s="460">
        <f t="shared" si="0"/>
        <v>0.17800000000000002</v>
      </c>
      <c r="I7" s="738">
        <f t="shared" si="1"/>
        <v>5.4290000000000003</v>
      </c>
      <c r="J7" s="634"/>
    </row>
    <row r="8" spans="1:12" ht="14.25" customHeight="1" outlineLevel="1">
      <c r="A8" s="732">
        <v>3</v>
      </c>
      <c r="B8" s="441" t="s">
        <v>570</v>
      </c>
      <c r="C8" s="430"/>
      <c r="D8" s="633">
        <v>10</v>
      </c>
      <c r="E8" s="438">
        <v>0.7</v>
      </c>
      <c r="F8" s="438">
        <v>0.5</v>
      </c>
      <c r="G8" s="438">
        <v>10</v>
      </c>
      <c r="H8" s="460">
        <f t="shared" si="0"/>
        <v>35</v>
      </c>
      <c r="I8" s="738">
        <f t="shared" si="1"/>
        <v>1067.5</v>
      </c>
      <c r="J8" s="634"/>
    </row>
    <row r="9" spans="1:12" ht="14.25" customHeight="1" outlineLevel="1">
      <c r="A9" s="739">
        <v>4</v>
      </c>
      <c r="B9" s="719" t="s">
        <v>417</v>
      </c>
      <c r="C9" s="635" t="s">
        <v>654</v>
      </c>
      <c r="D9" s="633">
        <v>14.84</v>
      </c>
      <c r="E9" s="438">
        <v>0.7</v>
      </c>
      <c r="F9" s="438">
        <v>0.5</v>
      </c>
      <c r="G9" s="438">
        <v>12</v>
      </c>
      <c r="H9" s="460">
        <f t="shared" ref="H9:H17" si="2">D9*E9*F9*G9</f>
        <v>62.328000000000003</v>
      </c>
      <c r="I9" s="738">
        <f t="shared" ref="I9:I17" si="3">H9*30.5</f>
        <v>1901.0040000000001</v>
      </c>
      <c r="J9" s="634"/>
    </row>
    <row r="10" spans="1:12" ht="14.25" customHeight="1" outlineLevel="1">
      <c r="A10" s="740"/>
      <c r="B10" s="720"/>
      <c r="C10" s="635" t="s">
        <v>656</v>
      </c>
      <c r="D10" s="633">
        <v>1.008</v>
      </c>
      <c r="E10" s="438">
        <v>0.7</v>
      </c>
      <c r="F10" s="438">
        <v>0.3</v>
      </c>
      <c r="G10" s="438">
        <v>18</v>
      </c>
      <c r="H10" s="460">
        <f t="shared" si="2"/>
        <v>3.8102400000000003</v>
      </c>
      <c r="I10" s="738">
        <f t="shared" si="3"/>
        <v>116.21232000000001</v>
      </c>
      <c r="J10" s="634"/>
    </row>
    <row r="11" spans="1:12" ht="14.25" customHeight="1" outlineLevel="1">
      <c r="A11" s="741"/>
      <c r="B11" s="721"/>
      <c r="C11" s="635" t="s">
        <v>657</v>
      </c>
      <c r="D11" s="633">
        <v>0.108</v>
      </c>
      <c r="E11" s="438">
        <v>0.7</v>
      </c>
      <c r="F11" s="438">
        <v>0.5</v>
      </c>
      <c r="G11" s="438">
        <v>18</v>
      </c>
      <c r="H11" s="460">
        <f t="shared" si="2"/>
        <v>0.6804</v>
      </c>
      <c r="I11" s="738">
        <f t="shared" si="3"/>
        <v>20.752199999999998</v>
      </c>
      <c r="J11" s="634"/>
    </row>
    <row r="12" spans="1:12" ht="14.25" customHeight="1" outlineLevel="1">
      <c r="A12" s="739">
        <v>5</v>
      </c>
      <c r="B12" s="722" t="s">
        <v>566</v>
      </c>
      <c r="C12" s="635" t="s">
        <v>654</v>
      </c>
      <c r="D12" s="633">
        <v>8.2880000000000003</v>
      </c>
      <c r="E12" s="438">
        <v>0.7</v>
      </c>
      <c r="F12" s="438">
        <v>0.5</v>
      </c>
      <c r="G12" s="438">
        <v>12</v>
      </c>
      <c r="H12" s="460">
        <f t="shared" si="2"/>
        <v>34.809599999999996</v>
      </c>
      <c r="I12" s="738">
        <f t="shared" si="3"/>
        <v>1061.6927999999998</v>
      </c>
      <c r="J12" s="634"/>
    </row>
    <row r="13" spans="1:12" ht="14.25" customHeight="1" outlineLevel="1">
      <c r="A13" s="741"/>
      <c r="B13" s="723"/>
      <c r="C13" s="635" t="s">
        <v>656</v>
      </c>
      <c r="D13" s="633">
        <v>4.9000000000000004</v>
      </c>
      <c r="E13" s="438">
        <v>0.7</v>
      </c>
      <c r="F13" s="438">
        <v>0.3</v>
      </c>
      <c r="G13" s="438">
        <v>18</v>
      </c>
      <c r="H13" s="460">
        <f t="shared" si="2"/>
        <v>18.521999999999998</v>
      </c>
      <c r="I13" s="738">
        <f t="shared" si="3"/>
        <v>564.92099999999994</v>
      </c>
      <c r="J13" s="634"/>
    </row>
    <row r="14" spans="1:12" ht="14.25" customHeight="1" outlineLevel="1">
      <c r="A14" s="739">
        <v>6</v>
      </c>
      <c r="B14" s="722" t="s">
        <v>565</v>
      </c>
      <c r="C14" s="635" t="s">
        <v>654</v>
      </c>
      <c r="D14" s="633">
        <v>12.151999999999999</v>
      </c>
      <c r="E14" s="438">
        <v>0.7</v>
      </c>
      <c r="F14" s="438">
        <v>0.5</v>
      </c>
      <c r="G14" s="438">
        <v>12</v>
      </c>
      <c r="H14" s="460">
        <f t="shared" si="2"/>
        <v>51.038399999999996</v>
      </c>
      <c r="I14" s="738">
        <f t="shared" si="3"/>
        <v>1556.6711999999998</v>
      </c>
      <c r="J14" s="634"/>
    </row>
    <row r="15" spans="1:12" ht="14.25" customHeight="1" outlineLevel="1">
      <c r="A15" s="741"/>
      <c r="B15" s="723"/>
      <c r="C15" s="635" t="s">
        <v>656</v>
      </c>
      <c r="D15" s="633">
        <v>1.3720000000000001</v>
      </c>
      <c r="E15" s="438">
        <v>0.7</v>
      </c>
      <c r="F15" s="438">
        <v>0.3</v>
      </c>
      <c r="G15" s="438">
        <v>18</v>
      </c>
      <c r="H15" s="460">
        <f t="shared" si="2"/>
        <v>5.1861600000000001</v>
      </c>
      <c r="I15" s="738">
        <f t="shared" si="3"/>
        <v>158.17788000000002</v>
      </c>
      <c r="J15" s="634"/>
    </row>
    <row r="16" spans="1:12" ht="14.25" customHeight="1" outlineLevel="1">
      <c r="A16" s="739">
        <v>7</v>
      </c>
      <c r="B16" s="722" t="s">
        <v>564</v>
      </c>
      <c r="C16" s="635" t="s">
        <v>654</v>
      </c>
      <c r="D16" s="633">
        <v>12.04</v>
      </c>
      <c r="E16" s="438">
        <v>0.7</v>
      </c>
      <c r="F16" s="438">
        <v>0.5</v>
      </c>
      <c r="G16" s="438">
        <v>12</v>
      </c>
      <c r="H16" s="460">
        <f t="shared" si="2"/>
        <v>50.567999999999998</v>
      </c>
      <c r="I16" s="738">
        <f t="shared" si="3"/>
        <v>1542.3239999999998</v>
      </c>
      <c r="J16" s="634"/>
    </row>
    <row r="17" spans="1:11" ht="14.25" customHeight="1" outlineLevel="1">
      <c r="A17" s="741"/>
      <c r="B17" s="723"/>
      <c r="C17" s="635" t="s">
        <v>656</v>
      </c>
      <c r="D17" s="633">
        <v>1.0920000000000001</v>
      </c>
      <c r="E17" s="438">
        <v>0.7</v>
      </c>
      <c r="F17" s="438">
        <v>0.3</v>
      </c>
      <c r="G17" s="438">
        <v>18</v>
      </c>
      <c r="H17" s="460">
        <f t="shared" si="2"/>
        <v>4.1277599999999994</v>
      </c>
      <c r="I17" s="738">
        <f t="shared" si="3"/>
        <v>125.89667999999999</v>
      </c>
      <c r="J17" s="634"/>
    </row>
    <row r="18" spans="1:11" ht="14.25" customHeight="1">
      <c r="A18" s="732"/>
      <c r="B18" s="441"/>
      <c r="C18" s="430"/>
      <c r="D18" s="456"/>
      <c r="E18" s="438"/>
      <c r="F18" s="438"/>
      <c r="G18" s="438"/>
      <c r="H18" s="460"/>
      <c r="I18" s="733"/>
    </row>
    <row r="19" spans="1:11" s="435" customFormat="1" ht="14.25" customHeight="1">
      <c r="A19" s="736" t="s">
        <v>621</v>
      </c>
      <c r="B19" s="442"/>
      <c r="C19" s="461"/>
      <c r="D19" s="462">
        <f>SUM(D20:D125)</f>
        <v>1057.7999999999984</v>
      </c>
      <c r="E19" s="462"/>
      <c r="F19" s="462"/>
      <c r="G19" s="462"/>
      <c r="H19" s="462">
        <f>SUM(H20:H125)</f>
        <v>112.30510000000001</v>
      </c>
      <c r="I19" s="737">
        <f>SUM(I20:I125)</f>
        <v>3425.3055500000169</v>
      </c>
      <c r="J19" s="436"/>
      <c r="K19" s="435">
        <f>6000000*70%</f>
        <v>4200000</v>
      </c>
    </row>
    <row r="20" spans="1:11" ht="14.25" customHeight="1" outlineLevel="1">
      <c r="A20" s="732">
        <v>119</v>
      </c>
      <c r="B20" s="450" t="s">
        <v>462</v>
      </c>
      <c r="C20" s="439" t="s">
        <v>463</v>
      </c>
      <c r="D20" s="443">
        <v>15</v>
      </c>
      <c r="E20" s="438">
        <v>0.5</v>
      </c>
      <c r="F20" s="438">
        <v>0.7</v>
      </c>
      <c r="G20" s="438">
        <f t="shared" ref="G20:G27" si="4">0.1*12/12</f>
        <v>0.10000000000000002</v>
      </c>
      <c r="H20" s="460">
        <f t="shared" ref="H20" si="5">D20*E20*F20*G20</f>
        <v>0.52500000000000013</v>
      </c>
      <c r="I20" s="733">
        <f t="shared" ref="I20:I83" si="6">H20*30.5</f>
        <v>16.012500000000003</v>
      </c>
    </row>
    <row r="21" spans="1:11" ht="14.25" customHeight="1" outlineLevel="1">
      <c r="A21" s="732">
        <v>120</v>
      </c>
      <c r="B21" s="450" t="s">
        <v>462</v>
      </c>
      <c r="C21" s="439" t="s">
        <v>463</v>
      </c>
      <c r="D21" s="443">
        <v>15</v>
      </c>
      <c r="E21" s="438">
        <v>0.5</v>
      </c>
      <c r="F21" s="438">
        <v>0.7</v>
      </c>
      <c r="G21" s="438">
        <f t="shared" si="4"/>
        <v>0.10000000000000002</v>
      </c>
      <c r="H21" s="460">
        <f t="shared" ref="H21:H27" si="7">D21*E21*F21*G21</f>
        <v>0.52500000000000013</v>
      </c>
      <c r="I21" s="733">
        <f t="shared" si="6"/>
        <v>16.012500000000003</v>
      </c>
    </row>
    <row r="22" spans="1:11" ht="14.25" customHeight="1" outlineLevel="1">
      <c r="A22" s="732">
        <v>121</v>
      </c>
      <c r="B22" s="450" t="s">
        <v>462</v>
      </c>
      <c r="C22" s="439" t="s">
        <v>463</v>
      </c>
      <c r="D22" s="443">
        <v>15</v>
      </c>
      <c r="E22" s="438">
        <v>0.5</v>
      </c>
      <c r="F22" s="438">
        <v>0.7</v>
      </c>
      <c r="G22" s="438">
        <f t="shared" si="4"/>
        <v>0.10000000000000002</v>
      </c>
      <c r="H22" s="460">
        <f t="shared" si="7"/>
        <v>0.52500000000000013</v>
      </c>
      <c r="I22" s="733">
        <f t="shared" si="6"/>
        <v>16.012500000000003</v>
      </c>
    </row>
    <row r="23" spans="1:11" ht="14.25" customHeight="1" outlineLevel="1">
      <c r="A23" s="732">
        <v>122</v>
      </c>
      <c r="B23" s="450" t="s">
        <v>462</v>
      </c>
      <c r="C23" s="439" t="s">
        <v>463</v>
      </c>
      <c r="D23" s="443">
        <v>15</v>
      </c>
      <c r="E23" s="438">
        <v>0.5</v>
      </c>
      <c r="F23" s="438">
        <v>0.7</v>
      </c>
      <c r="G23" s="438">
        <f t="shared" si="4"/>
        <v>0.10000000000000002</v>
      </c>
      <c r="H23" s="460">
        <f t="shared" si="7"/>
        <v>0.52500000000000013</v>
      </c>
      <c r="I23" s="733">
        <f t="shared" si="6"/>
        <v>16.012500000000003</v>
      </c>
    </row>
    <row r="24" spans="1:11" ht="14.25" customHeight="1" outlineLevel="1">
      <c r="A24" s="732">
        <v>123</v>
      </c>
      <c r="B24" s="450" t="s">
        <v>465</v>
      </c>
      <c r="C24" s="439" t="s">
        <v>463</v>
      </c>
      <c r="D24" s="443">
        <v>15</v>
      </c>
      <c r="E24" s="438">
        <v>0.5</v>
      </c>
      <c r="F24" s="438">
        <v>0.7</v>
      </c>
      <c r="G24" s="438">
        <f t="shared" si="4"/>
        <v>0.10000000000000002</v>
      </c>
      <c r="H24" s="460">
        <f t="shared" si="7"/>
        <v>0.52500000000000013</v>
      </c>
      <c r="I24" s="733">
        <f t="shared" si="6"/>
        <v>16.012500000000003</v>
      </c>
    </row>
    <row r="25" spans="1:11" ht="14.25" customHeight="1" outlineLevel="1">
      <c r="A25" s="732">
        <v>124</v>
      </c>
      <c r="B25" s="450" t="s">
        <v>465</v>
      </c>
      <c r="C25" s="439" t="s">
        <v>463</v>
      </c>
      <c r="D25" s="443">
        <v>15</v>
      </c>
      <c r="E25" s="438">
        <v>0.5</v>
      </c>
      <c r="F25" s="438">
        <v>0.7</v>
      </c>
      <c r="G25" s="438">
        <f t="shared" si="4"/>
        <v>0.10000000000000002</v>
      </c>
      <c r="H25" s="460">
        <f t="shared" si="7"/>
        <v>0.52500000000000013</v>
      </c>
      <c r="I25" s="733">
        <f t="shared" si="6"/>
        <v>16.012500000000003</v>
      </c>
    </row>
    <row r="26" spans="1:11" ht="14.25" customHeight="1" outlineLevel="1">
      <c r="A26" s="732">
        <v>125</v>
      </c>
      <c r="B26" s="450" t="s">
        <v>465</v>
      </c>
      <c r="C26" s="439" t="s">
        <v>463</v>
      </c>
      <c r="D26" s="443">
        <v>15</v>
      </c>
      <c r="E26" s="438">
        <v>0.5</v>
      </c>
      <c r="F26" s="438">
        <v>0.7</v>
      </c>
      <c r="G26" s="438">
        <f t="shared" si="4"/>
        <v>0.10000000000000002</v>
      </c>
      <c r="H26" s="460">
        <f t="shared" si="7"/>
        <v>0.52500000000000013</v>
      </c>
      <c r="I26" s="733">
        <f t="shared" si="6"/>
        <v>16.012500000000003</v>
      </c>
    </row>
    <row r="27" spans="1:11" ht="14.25" customHeight="1" outlineLevel="1">
      <c r="A27" s="732">
        <v>126</v>
      </c>
      <c r="B27" s="450" t="s">
        <v>465</v>
      </c>
      <c r="C27" s="439" t="s">
        <v>463</v>
      </c>
      <c r="D27" s="443">
        <v>15</v>
      </c>
      <c r="E27" s="438">
        <v>0.5</v>
      </c>
      <c r="F27" s="438">
        <v>0.7</v>
      </c>
      <c r="G27" s="438">
        <f t="shared" si="4"/>
        <v>0.10000000000000002</v>
      </c>
      <c r="H27" s="460">
        <f t="shared" si="7"/>
        <v>0.52500000000000013</v>
      </c>
      <c r="I27" s="733">
        <f t="shared" si="6"/>
        <v>16.012500000000003</v>
      </c>
    </row>
    <row r="28" spans="1:11" ht="14.25" customHeight="1" outlineLevel="1">
      <c r="A28" s="732">
        <v>127</v>
      </c>
      <c r="B28" s="450" t="s">
        <v>466</v>
      </c>
      <c r="C28" s="439" t="s">
        <v>463</v>
      </c>
      <c r="D28" s="443">
        <v>2.2000000000000002</v>
      </c>
      <c r="E28" s="438">
        <v>0.5</v>
      </c>
      <c r="F28" s="438">
        <v>0.7</v>
      </c>
      <c r="G28" s="438">
        <v>11</v>
      </c>
      <c r="H28" s="460">
        <f t="shared" ref="H28:H33" si="8">D28*E28*F28*G28</f>
        <v>8.4700000000000006</v>
      </c>
      <c r="I28" s="733">
        <f t="shared" si="6"/>
        <v>258.33500000000004</v>
      </c>
    </row>
    <row r="29" spans="1:11" ht="14.25" customHeight="1" outlineLevel="1">
      <c r="A29" s="732">
        <v>128</v>
      </c>
      <c r="B29" s="450" t="s">
        <v>466</v>
      </c>
      <c r="C29" s="439" t="s">
        <v>463</v>
      </c>
      <c r="D29" s="443">
        <v>2.2000000000000002</v>
      </c>
      <c r="E29" s="438">
        <v>0.5</v>
      </c>
      <c r="F29" s="438">
        <v>0.7</v>
      </c>
      <c r="G29" s="438">
        <v>11</v>
      </c>
      <c r="H29" s="460">
        <f t="shared" si="8"/>
        <v>8.4700000000000006</v>
      </c>
      <c r="I29" s="733">
        <f t="shared" si="6"/>
        <v>258.33500000000004</v>
      </c>
    </row>
    <row r="30" spans="1:11" ht="14.25" customHeight="1" outlineLevel="1">
      <c r="A30" s="732">
        <v>129</v>
      </c>
      <c r="B30" s="450" t="s">
        <v>467</v>
      </c>
      <c r="C30" s="439" t="s">
        <v>463</v>
      </c>
      <c r="D30" s="443">
        <v>5.5</v>
      </c>
      <c r="E30" s="438">
        <v>0.25</v>
      </c>
      <c r="F30" s="438">
        <v>0.7</v>
      </c>
      <c r="G30" s="438">
        <v>12</v>
      </c>
      <c r="H30" s="460">
        <f t="shared" si="8"/>
        <v>11.549999999999999</v>
      </c>
      <c r="I30" s="733">
        <f t="shared" si="6"/>
        <v>352.27499999999998</v>
      </c>
    </row>
    <row r="31" spans="1:11" ht="14.25" customHeight="1" outlineLevel="1">
      <c r="A31" s="732">
        <v>130</v>
      </c>
      <c r="B31" s="450" t="s">
        <v>467</v>
      </c>
      <c r="C31" s="439" t="s">
        <v>463</v>
      </c>
      <c r="D31" s="443">
        <v>5.5</v>
      </c>
      <c r="E31" s="438">
        <v>0.25</v>
      </c>
      <c r="F31" s="438">
        <v>0.7</v>
      </c>
      <c r="G31" s="438">
        <v>12</v>
      </c>
      <c r="H31" s="460">
        <f t="shared" si="8"/>
        <v>11.549999999999999</v>
      </c>
      <c r="I31" s="733">
        <f t="shared" si="6"/>
        <v>352.27499999999998</v>
      </c>
    </row>
    <row r="32" spans="1:11" ht="14.25" customHeight="1" outlineLevel="1">
      <c r="A32" s="732">
        <v>131</v>
      </c>
      <c r="B32" s="450" t="s">
        <v>468</v>
      </c>
      <c r="C32" s="439" t="s">
        <v>463</v>
      </c>
      <c r="D32" s="443">
        <v>5.5</v>
      </c>
      <c r="E32" s="438">
        <v>0.25</v>
      </c>
      <c r="F32" s="438">
        <v>0.7</v>
      </c>
      <c r="G32" s="438">
        <v>12</v>
      </c>
      <c r="H32" s="460">
        <f t="shared" si="8"/>
        <v>11.549999999999999</v>
      </c>
      <c r="I32" s="733">
        <f t="shared" si="6"/>
        <v>352.27499999999998</v>
      </c>
    </row>
    <row r="33" spans="1:9" ht="14.25" customHeight="1" outlineLevel="1">
      <c r="A33" s="732">
        <v>132</v>
      </c>
      <c r="B33" s="450" t="s">
        <v>468</v>
      </c>
      <c r="C33" s="439" t="s">
        <v>463</v>
      </c>
      <c r="D33" s="443">
        <v>5.5</v>
      </c>
      <c r="E33" s="438">
        <v>0.25</v>
      </c>
      <c r="F33" s="438">
        <v>0.7</v>
      </c>
      <c r="G33" s="438">
        <v>12</v>
      </c>
      <c r="H33" s="460">
        <f t="shared" si="8"/>
        <v>11.549999999999999</v>
      </c>
      <c r="I33" s="733">
        <f t="shared" si="6"/>
        <v>352.27499999999998</v>
      </c>
    </row>
    <row r="34" spans="1:9" ht="14.25" customHeight="1" outlineLevel="1">
      <c r="A34" s="732">
        <v>133</v>
      </c>
      <c r="B34" s="450" t="s">
        <v>469</v>
      </c>
      <c r="C34" s="439" t="s">
        <v>463</v>
      </c>
      <c r="D34" s="443">
        <v>7.5</v>
      </c>
      <c r="E34" s="438">
        <v>0.2</v>
      </c>
      <c r="F34" s="438">
        <v>0.7</v>
      </c>
      <c r="G34" s="438">
        <v>0.25</v>
      </c>
      <c r="H34" s="460">
        <f t="shared" ref="H34:H38" si="9">D34*E34*F34*G34</f>
        <v>0.26249999999999996</v>
      </c>
      <c r="I34" s="733">
        <f t="shared" si="6"/>
        <v>8.0062499999999979</v>
      </c>
    </row>
    <row r="35" spans="1:9" ht="14.25" customHeight="1" outlineLevel="1">
      <c r="A35" s="732">
        <v>134</v>
      </c>
      <c r="B35" s="450" t="s">
        <v>469</v>
      </c>
      <c r="C35" s="439" t="s">
        <v>463</v>
      </c>
      <c r="D35" s="443">
        <v>7.5</v>
      </c>
      <c r="E35" s="438">
        <v>0.2</v>
      </c>
      <c r="F35" s="438">
        <v>0.7</v>
      </c>
      <c r="G35" s="438">
        <v>0.25</v>
      </c>
      <c r="H35" s="460">
        <f t="shared" si="9"/>
        <v>0.26249999999999996</v>
      </c>
      <c r="I35" s="733">
        <f t="shared" si="6"/>
        <v>8.0062499999999979</v>
      </c>
    </row>
    <row r="36" spans="1:9" ht="14.25" customHeight="1" outlineLevel="1">
      <c r="A36" s="732">
        <v>135</v>
      </c>
      <c r="B36" s="450" t="s">
        <v>469</v>
      </c>
      <c r="C36" s="439" t="s">
        <v>463</v>
      </c>
      <c r="D36" s="443">
        <v>7.5</v>
      </c>
      <c r="E36" s="438">
        <v>0.2</v>
      </c>
      <c r="F36" s="438">
        <v>0.7</v>
      </c>
      <c r="G36" s="438">
        <v>0.25</v>
      </c>
      <c r="H36" s="460">
        <f t="shared" si="9"/>
        <v>0.26249999999999996</v>
      </c>
      <c r="I36" s="733">
        <f t="shared" si="6"/>
        <v>8.0062499999999979</v>
      </c>
    </row>
    <row r="37" spans="1:9" ht="14.25" customHeight="1" outlineLevel="1">
      <c r="A37" s="732">
        <v>136</v>
      </c>
      <c r="B37" s="450" t="s">
        <v>470</v>
      </c>
      <c r="C37" s="439" t="s">
        <v>463</v>
      </c>
      <c r="D37" s="443">
        <v>7.5</v>
      </c>
      <c r="E37" s="438">
        <v>0.2</v>
      </c>
      <c r="F37" s="438">
        <v>0.7</v>
      </c>
      <c r="G37" s="438">
        <v>0.25</v>
      </c>
      <c r="H37" s="460">
        <f t="shared" si="9"/>
        <v>0.26249999999999996</v>
      </c>
      <c r="I37" s="733">
        <f t="shared" si="6"/>
        <v>8.0062499999999979</v>
      </c>
    </row>
    <row r="38" spans="1:9" ht="14.25" customHeight="1" outlineLevel="1">
      <c r="A38" s="732">
        <v>137</v>
      </c>
      <c r="B38" s="450" t="s">
        <v>470</v>
      </c>
      <c r="C38" s="439" t="s">
        <v>463</v>
      </c>
      <c r="D38" s="443">
        <v>7.5</v>
      </c>
      <c r="E38" s="438">
        <v>0.2</v>
      </c>
      <c r="F38" s="438">
        <v>0.7</v>
      </c>
      <c r="G38" s="438">
        <v>0.25</v>
      </c>
      <c r="H38" s="460">
        <f t="shared" si="9"/>
        <v>0.26249999999999996</v>
      </c>
      <c r="I38" s="733">
        <f t="shared" si="6"/>
        <v>8.0062499999999979</v>
      </c>
    </row>
    <row r="39" spans="1:9" ht="14.25" customHeight="1" outlineLevel="1">
      <c r="A39" s="732">
        <v>143</v>
      </c>
      <c r="B39" s="430" t="s">
        <v>478</v>
      </c>
      <c r="C39" s="439" t="s">
        <v>463</v>
      </c>
      <c r="D39" s="443">
        <v>9.3000000000000007</v>
      </c>
      <c r="E39" s="438">
        <v>0.2</v>
      </c>
      <c r="F39" s="438">
        <v>0.7</v>
      </c>
      <c r="G39" s="438">
        <f>0.1*12/12</f>
        <v>0.10000000000000002</v>
      </c>
      <c r="H39" s="460">
        <f t="shared" ref="H39" si="10">D39*E39*F39*G39</f>
        <v>0.13020000000000004</v>
      </c>
      <c r="I39" s="733">
        <f t="shared" si="6"/>
        <v>3.9711000000000012</v>
      </c>
    </row>
    <row r="40" spans="1:9" ht="14.25" customHeight="1" outlineLevel="1">
      <c r="A40" s="732">
        <v>144</v>
      </c>
      <c r="B40" s="430" t="s">
        <v>478</v>
      </c>
      <c r="C40" s="439" t="s">
        <v>463</v>
      </c>
      <c r="D40" s="443">
        <v>9.3000000000000007</v>
      </c>
      <c r="E40" s="438">
        <v>0.2</v>
      </c>
      <c r="F40" s="438">
        <v>0.7</v>
      </c>
      <c r="G40" s="438">
        <f t="shared" ref="G40:G103" si="11">0.1*12/12</f>
        <v>0.10000000000000002</v>
      </c>
      <c r="H40" s="460">
        <f t="shared" ref="H40:H103" si="12">D40*E40*F40*G40</f>
        <v>0.13020000000000004</v>
      </c>
      <c r="I40" s="733">
        <f t="shared" si="6"/>
        <v>3.9711000000000012</v>
      </c>
    </row>
    <row r="41" spans="1:9" ht="14.25" customHeight="1" outlineLevel="1">
      <c r="A41" s="732">
        <v>145</v>
      </c>
      <c r="B41" s="430" t="s">
        <v>478</v>
      </c>
      <c r="C41" s="439" t="s">
        <v>463</v>
      </c>
      <c r="D41" s="443">
        <v>9.3000000000000007</v>
      </c>
      <c r="E41" s="438">
        <v>0.2</v>
      </c>
      <c r="F41" s="438">
        <v>0.7</v>
      </c>
      <c r="G41" s="438">
        <f t="shared" si="11"/>
        <v>0.10000000000000002</v>
      </c>
      <c r="H41" s="460">
        <f t="shared" si="12"/>
        <v>0.13020000000000004</v>
      </c>
      <c r="I41" s="733">
        <f t="shared" si="6"/>
        <v>3.9711000000000012</v>
      </c>
    </row>
    <row r="42" spans="1:9" ht="14.25" customHeight="1" outlineLevel="1">
      <c r="A42" s="732">
        <v>146</v>
      </c>
      <c r="B42" s="430" t="s">
        <v>478</v>
      </c>
      <c r="C42" s="439" t="s">
        <v>463</v>
      </c>
      <c r="D42" s="443">
        <v>9.3000000000000007</v>
      </c>
      <c r="E42" s="438">
        <v>0.2</v>
      </c>
      <c r="F42" s="438">
        <v>0.7</v>
      </c>
      <c r="G42" s="438">
        <f t="shared" si="11"/>
        <v>0.10000000000000002</v>
      </c>
      <c r="H42" s="460">
        <f t="shared" si="12"/>
        <v>0.13020000000000004</v>
      </c>
      <c r="I42" s="733">
        <f t="shared" si="6"/>
        <v>3.9711000000000012</v>
      </c>
    </row>
    <row r="43" spans="1:9" ht="14.25" customHeight="1" outlineLevel="1">
      <c r="A43" s="732">
        <v>147</v>
      </c>
      <c r="B43" s="430" t="s">
        <v>478</v>
      </c>
      <c r="C43" s="439" t="s">
        <v>463</v>
      </c>
      <c r="D43" s="443">
        <v>9.3000000000000007</v>
      </c>
      <c r="E43" s="438">
        <v>0.2</v>
      </c>
      <c r="F43" s="438">
        <v>0.7</v>
      </c>
      <c r="G43" s="438">
        <f t="shared" si="11"/>
        <v>0.10000000000000002</v>
      </c>
      <c r="H43" s="460">
        <f t="shared" si="12"/>
        <v>0.13020000000000004</v>
      </c>
      <c r="I43" s="733">
        <f t="shared" si="6"/>
        <v>3.9711000000000012</v>
      </c>
    </row>
    <row r="44" spans="1:9" ht="14.25" customHeight="1" outlineLevel="1">
      <c r="A44" s="732">
        <v>148</v>
      </c>
      <c r="B44" s="430" t="s">
        <v>478</v>
      </c>
      <c r="C44" s="439" t="s">
        <v>463</v>
      </c>
      <c r="D44" s="443">
        <v>9.3000000000000007</v>
      </c>
      <c r="E44" s="438">
        <v>0.2</v>
      </c>
      <c r="F44" s="438">
        <v>0.7</v>
      </c>
      <c r="G44" s="438">
        <f t="shared" si="11"/>
        <v>0.10000000000000002</v>
      </c>
      <c r="H44" s="460">
        <f t="shared" si="12"/>
        <v>0.13020000000000004</v>
      </c>
      <c r="I44" s="733">
        <f t="shared" si="6"/>
        <v>3.9711000000000012</v>
      </c>
    </row>
    <row r="45" spans="1:9" ht="14.25" customHeight="1" outlineLevel="1">
      <c r="A45" s="732">
        <v>149</v>
      </c>
      <c r="B45" s="430" t="s">
        <v>478</v>
      </c>
      <c r="C45" s="439" t="s">
        <v>463</v>
      </c>
      <c r="D45" s="443">
        <v>9.3000000000000007</v>
      </c>
      <c r="E45" s="438">
        <v>0.2</v>
      </c>
      <c r="F45" s="438">
        <v>0.7</v>
      </c>
      <c r="G45" s="438">
        <f t="shared" si="11"/>
        <v>0.10000000000000002</v>
      </c>
      <c r="H45" s="460">
        <f t="shared" si="12"/>
        <v>0.13020000000000004</v>
      </c>
      <c r="I45" s="733">
        <f t="shared" si="6"/>
        <v>3.9711000000000012</v>
      </c>
    </row>
    <row r="46" spans="1:9" ht="14.25" customHeight="1" outlineLevel="1">
      <c r="A46" s="732">
        <v>150</v>
      </c>
      <c r="B46" s="430" t="s">
        <v>478</v>
      </c>
      <c r="C46" s="439" t="s">
        <v>463</v>
      </c>
      <c r="D46" s="443">
        <v>9.3000000000000007</v>
      </c>
      <c r="E46" s="438">
        <v>0.2</v>
      </c>
      <c r="F46" s="438">
        <v>0.7</v>
      </c>
      <c r="G46" s="438">
        <f t="shared" si="11"/>
        <v>0.10000000000000002</v>
      </c>
      <c r="H46" s="460">
        <f t="shared" si="12"/>
        <v>0.13020000000000004</v>
      </c>
      <c r="I46" s="733">
        <f t="shared" si="6"/>
        <v>3.9711000000000012</v>
      </c>
    </row>
    <row r="47" spans="1:9" ht="14.25" customHeight="1" outlineLevel="1">
      <c r="A47" s="732">
        <v>151</v>
      </c>
      <c r="B47" s="430" t="s">
        <v>478</v>
      </c>
      <c r="C47" s="439" t="s">
        <v>463</v>
      </c>
      <c r="D47" s="443">
        <v>9.3000000000000007</v>
      </c>
      <c r="E47" s="438">
        <v>0.2</v>
      </c>
      <c r="F47" s="438">
        <v>0.7</v>
      </c>
      <c r="G47" s="438">
        <f t="shared" si="11"/>
        <v>0.10000000000000002</v>
      </c>
      <c r="H47" s="460">
        <f t="shared" si="12"/>
        <v>0.13020000000000004</v>
      </c>
      <c r="I47" s="733">
        <f t="shared" si="6"/>
        <v>3.9711000000000012</v>
      </c>
    </row>
    <row r="48" spans="1:9" ht="14.25" customHeight="1" outlineLevel="1">
      <c r="A48" s="732">
        <v>152</v>
      </c>
      <c r="B48" s="430" t="s">
        <v>478</v>
      </c>
      <c r="C48" s="439" t="s">
        <v>463</v>
      </c>
      <c r="D48" s="443">
        <v>9.3000000000000007</v>
      </c>
      <c r="E48" s="438">
        <v>0.2</v>
      </c>
      <c r="F48" s="438">
        <v>0.7</v>
      </c>
      <c r="G48" s="438">
        <f t="shared" si="11"/>
        <v>0.10000000000000002</v>
      </c>
      <c r="H48" s="460">
        <f t="shared" si="12"/>
        <v>0.13020000000000004</v>
      </c>
      <c r="I48" s="733">
        <f t="shared" si="6"/>
        <v>3.9711000000000012</v>
      </c>
    </row>
    <row r="49" spans="1:9" ht="14.25" customHeight="1" outlineLevel="1">
      <c r="A49" s="732">
        <v>153</v>
      </c>
      <c r="B49" s="430" t="s">
        <v>478</v>
      </c>
      <c r="C49" s="439" t="s">
        <v>463</v>
      </c>
      <c r="D49" s="443">
        <v>9.3000000000000007</v>
      </c>
      <c r="E49" s="438">
        <v>0.2</v>
      </c>
      <c r="F49" s="438">
        <v>0.7</v>
      </c>
      <c r="G49" s="438">
        <f t="shared" si="11"/>
        <v>0.10000000000000002</v>
      </c>
      <c r="H49" s="460">
        <f t="shared" si="12"/>
        <v>0.13020000000000004</v>
      </c>
      <c r="I49" s="733">
        <f t="shared" si="6"/>
        <v>3.9711000000000012</v>
      </c>
    </row>
    <row r="50" spans="1:9" ht="14.25" customHeight="1" outlineLevel="1">
      <c r="A50" s="732">
        <v>154</v>
      </c>
      <c r="B50" s="430" t="s">
        <v>478</v>
      </c>
      <c r="C50" s="439" t="s">
        <v>463</v>
      </c>
      <c r="D50" s="443">
        <v>9.3000000000000007</v>
      </c>
      <c r="E50" s="438">
        <v>0.2</v>
      </c>
      <c r="F50" s="438">
        <v>0.7</v>
      </c>
      <c r="G50" s="438">
        <f t="shared" si="11"/>
        <v>0.10000000000000002</v>
      </c>
      <c r="H50" s="460">
        <f t="shared" si="12"/>
        <v>0.13020000000000004</v>
      </c>
      <c r="I50" s="733">
        <f t="shared" si="6"/>
        <v>3.9711000000000012</v>
      </c>
    </row>
    <row r="51" spans="1:9" ht="14.25" customHeight="1" outlineLevel="1">
      <c r="A51" s="732">
        <v>155</v>
      </c>
      <c r="B51" s="430" t="s">
        <v>478</v>
      </c>
      <c r="C51" s="439" t="s">
        <v>463</v>
      </c>
      <c r="D51" s="443">
        <v>9.3000000000000007</v>
      </c>
      <c r="E51" s="438">
        <v>0.2</v>
      </c>
      <c r="F51" s="438">
        <v>0.7</v>
      </c>
      <c r="G51" s="438">
        <f t="shared" si="11"/>
        <v>0.10000000000000002</v>
      </c>
      <c r="H51" s="460">
        <f t="shared" si="12"/>
        <v>0.13020000000000004</v>
      </c>
      <c r="I51" s="733">
        <f t="shared" si="6"/>
        <v>3.9711000000000012</v>
      </c>
    </row>
    <row r="52" spans="1:9" ht="14.25" customHeight="1" outlineLevel="1">
      <c r="A52" s="732">
        <v>156</v>
      </c>
      <c r="B52" s="430" t="s">
        <v>478</v>
      </c>
      <c r="C52" s="439" t="s">
        <v>463</v>
      </c>
      <c r="D52" s="443">
        <v>9.3000000000000007</v>
      </c>
      <c r="E52" s="438">
        <v>0.2</v>
      </c>
      <c r="F52" s="438">
        <v>0.7</v>
      </c>
      <c r="G52" s="438">
        <f t="shared" si="11"/>
        <v>0.10000000000000002</v>
      </c>
      <c r="H52" s="460">
        <f t="shared" si="12"/>
        <v>0.13020000000000004</v>
      </c>
      <c r="I52" s="733">
        <f t="shared" si="6"/>
        <v>3.9711000000000012</v>
      </c>
    </row>
    <row r="53" spans="1:9" ht="14.25" customHeight="1" outlineLevel="1">
      <c r="A53" s="732">
        <v>157</v>
      </c>
      <c r="B53" s="430" t="s">
        <v>478</v>
      </c>
      <c r="C53" s="439" t="s">
        <v>463</v>
      </c>
      <c r="D53" s="443">
        <v>9.3000000000000007</v>
      </c>
      <c r="E53" s="438">
        <v>0.2</v>
      </c>
      <c r="F53" s="438">
        <v>0.7</v>
      </c>
      <c r="G53" s="438">
        <f t="shared" si="11"/>
        <v>0.10000000000000002</v>
      </c>
      <c r="H53" s="460">
        <f t="shared" si="12"/>
        <v>0.13020000000000004</v>
      </c>
      <c r="I53" s="733">
        <f t="shared" si="6"/>
        <v>3.9711000000000012</v>
      </c>
    </row>
    <row r="54" spans="1:9" ht="14.25" customHeight="1" outlineLevel="1">
      <c r="A54" s="732">
        <v>158</v>
      </c>
      <c r="B54" s="430" t="s">
        <v>478</v>
      </c>
      <c r="C54" s="439" t="s">
        <v>463</v>
      </c>
      <c r="D54" s="443">
        <v>9.3000000000000007</v>
      </c>
      <c r="E54" s="438">
        <v>0.2</v>
      </c>
      <c r="F54" s="438">
        <v>0.7</v>
      </c>
      <c r="G54" s="438">
        <f t="shared" si="11"/>
        <v>0.10000000000000002</v>
      </c>
      <c r="H54" s="460">
        <f t="shared" si="12"/>
        <v>0.13020000000000004</v>
      </c>
      <c r="I54" s="733">
        <f t="shared" si="6"/>
        <v>3.9711000000000012</v>
      </c>
    </row>
    <row r="55" spans="1:9" ht="14.25" customHeight="1" outlineLevel="1">
      <c r="A55" s="732">
        <v>159</v>
      </c>
      <c r="B55" s="430" t="s">
        <v>478</v>
      </c>
      <c r="C55" s="439" t="s">
        <v>463</v>
      </c>
      <c r="D55" s="443">
        <v>9.3000000000000007</v>
      </c>
      <c r="E55" s="438">
        <v>0.2</v>
      </c>
      <c r="F55" s="438">
        <v>0.7</v>
      </c>
      <c r="G55" s="438">
        <f t="shared" si="11"/>
        <v>0.10000000000000002</v>
      </c>
      <c r="H55" s="460">
        <f t="shared" si="12"/>
        <v>0.13020000000000004</v>
      </c>
      <c r="I55" s="733">
        <f t="shared" si="6"/>
        <v>3.9711000000000012</v>
      </c>
    </row>
    <row r="56" spans="1:9" ht="14.25" customHeight="1" outlineLevel="1">
      <c r="A56" s="732">
        <v>160</v>
      </c>
      <c r="B56" s="430" t="s">
        <v>478</v>
      </c>
      <c r="C56" s="439" t="s">
        <v>463</v>
      </c>
      <c r="D56" s="443">
        <v>9.3000000000000007</v>
      </c>
      <c r="E56" s="438">
        <v>0.2</v>
      </c>
      <c r="F56" s="438">
        <v>0.7</v>
      </c>
      <c r="G56" s="438">
        <f t="shared" si="11"/>
        <v>0.10000000000000002</v>
      </c>
      <c r="H56" s="460">
        <f t="shared" si="12"/>
        <v>0.13020000000000004</v>
      </c>
      <c r="I56" s="733">
        <f t="shared" si="6"/>
        <v>3.9711000000000012</v>
      </c>
    </row>
    <row r="57" spans="1:9" ht="14.25" customHeight="1" outlineLevel="1">
      <c r="A57" s="732">
        <v>161</v>
      </c>
      <c r="B57" s="430" t="s">
        <v>478</v>
      </c>
      <c r="C57" s="439" t="s">
        <v>463</v>
      </c>
      <c r="D57" s="443">
        <v>9.3000000000000007</v>
      </c>
      <c r="E57" s="438">
        <v>0.2</v>
      </c>
      <c r="F57" s="438">
        <v>0.7</v>
      </c>
      <c r="G57" s="438">
        <f t="shared" si="11"/>
        <v>0.10000000000000002</v>
      </c>
      <c r="H57" s="460">
        <f t="shared" si="12"/>
        <v>0.13020000000000004</v>
      </c>
      <c r="I57" s="733">
        <f t="shared" si="6"/>
        <v>3.9711000000000012</v>
      </c>
    </row>
    <row r="58" spans="1:9" ht="14.25" customHeight="1" outlineLevel="1">
      <c r="A58" s="732">
        <v>162</v>
      </c>
      <c r="B58" s="430" t="s">
        <v>478</v>
      </c>
      <c r="C58" s="439" t="s">
        <v>463</v>
      </c>
      <c r="D58" s="443">
        <v>9.3000000000000007</v>
      </c>
      <c r="E58" s="438">
        <v>0.2</v>
      </c>
      <c r="F58" s="438">
        <v>0.7</v>
      </c>
      <c r="G58" s="438">
        <f t="shared" si="11"/>
        <v>0.10000000000000002</v>
      </c>
      <c r="H58" s="460">
        <f t="shared" si="12"/>
        <v>0.13020000000000004</v>
      </c>
      <c r="I58" s="733">
        <f t="shared" si="6"/>
        <v>3.9711000000000012</v>
      </c>
    </row>
    <row r="59" spans="1:9" ht="14.25" customHeight="1" outlineLevel="1">
      <c r="A59" s="732">
        <v>163</v>
      </c>
      <c r="B59" s="430" t="s">
        <v>478</v>
      </c>
      <c r="C59" s="439" t="s">
        <v>463</v>
      </c>
      <c r="D59" s="443">
        <v>9.3000000000000007</v>
      </c>
      <c r="E59" s="438">
        <v>0.2</v>
      </c>
      <c r="F59" s="438">
        <v>0.7</v>
      </c>
      <c r="G59" s="438">
        <f t="shared" si="11"/>
        <v>0.10000000000000002</v>
      </c>
      <c r="H59" s="460">
        <f t="shared" si="12"/>
        <v>0.13020000000000004</v>
      </c>
      <c r="I59" s="733">
        <f t="shared" si="6"/>
        <v>3.9711000000000012</v>
      </c>
    </row>
    <row r="60" spans="1:9" ht="14.25" customHeight="1" outlineLevel="1">
      <c r="A60" s="732">
        <v>164</v>
      </c>
      <c r="B60" s="430" t="s">
        <v>478</v>
      </c>
      <c r="C60" s="439" t="s">
        <v>463</v>
      </c>
      <c r="D60" s="443">
        <v>15</v>
      </c>
      <c r="E60" s="438">
        <v>0.2</v>
      </c>
      <c r="F60" s="438">
        <v>0.7</v>
      </c>
      <c r="G60" s="438">
        <f t="shared" si="11"/>
        <v>0.10000000000000002</v>
      </c>
      <c r="H60" s="460">
        <f t="shared" si="12"/>
        <v>0.21</v>
      </c>
      <c r="I60" s="733">
        <f t="shared" si="6"/>
        <v>6.4049999999999994</v>
      </c>
    </row>
    <row r="61" spans="1:9" ht="14.25" customHeight="1" outlineLevel="1">
      <c r="A61" s="732">
        <v>165</v>
      </c>
      <c r="B61" s="430" t="s">
        <v>478</v>
      </c>
      <c r="C61" s="439" t="s">
        <v>463</v>
      </c>
      <c r="D61" s="443">
        <v>15</v>
      </c>
      <c r="E61" s="438">
        <v>0.2</v>
      </c>
      <c r="F61" s="438">
        <v>0.7</v>
      </c>
      <c r="G61" s="438">
        <f t="shared" si="11"/>
        <v>0.10000000000000002</v>
      </c>
      <c r="H61" s="460">
        <f t="shared" si="12"/>
        <v>0.21</v>
      </c>
      <c r="I61" s="733">
        <f t="shared" si="6"/>
        <v>6.4049999999999994</v>
      </c>
    </row>
    <row r="62" spans="1:9" ht="14.25" customHeight="1" outlineLevel="1">
      <c r="A62" s="732">
        <v>166</v>
      </c>
      <c r="B62" s="430" t="s">
        <v>478</v>
      </c>
      <c r="C62" s="439" t="s">
        <v>463</v>
      </c>
      <c r="D62" s="443">
        <v>15</v>
      </c>
      <c r="E62" s="438">
        <v>0.2</v>
      </c>
      <c r="F62" s="438">
        <v>0.7</v>
      </c>
      <c r="G62" s="438">
        <f t="shared" si="11"/>
        <v>0.10000000000000002</v>
      </c>
      <c r="H62" s="460">
        <f t="shared" si="12"/>
        <v>0.21</v>
      </c>
      <c r="I62" s="733">
        <f t="shared" si="6"/>
        <v>6.4049999999999994</v>
      </c>
    </row>
    <row r="63" spans="1:9" ht="14.25" customHeight="1" outlineLevel="1">
      <c r="A63" s="732">
        <v>167</v>
      </c>
      <c r="B63" s="430" t="s">
        <v>478</v>
      </c>
      <c r="C63" s="439" t="s">
        <v>463</v>
      </c>
      <c r="D63" s="443">
        <v>15</v>
      </c>
      <c r="E63" s="438">
        <v>0.2</v>
      </c>
      <c r="F63" s="438">
        <v>0.7</v>
      </c>
      <c r="G63" s="438">
        <f t="shared" si="11"/>
        <v>0.10000000000000002</v>
      </c>
      <c r="H63" s="460">
        <f t="shared" si="12"/>
        <v>0.21</v>
      </c>
      <c r="I63" s="733">
        <f t="shared" si="6"/>
        <v>6.4049999999999994</v>
      </c>
    </row>
    <row r="64" spans="1:9" ht="14.25" customHeight="1" outlineLevel="1">
      <c r="A64" s="732">
        <v>168</v>
      </c>
      <c r="B64" s="430" t="s">
        <v>478</v>
      </c>
      <c r="C64" s="439" t="s">
        <v>463</v>
      </c>
      <c r="D64" s="443">
        <v>15</v>
      </c>
      <c r="E64" s="438">
        <v>0.2</v>
      </c>
      <c r="F64" s="438">
        <v>0.7</v>
      </c>
      <c r="G64" s="438">
        <f t="shared" si="11"/>
        <v>0.10000000000000002</v>
      </c>
      <c r="H64" s="460">
        <f t="shared" si="12"/>
        <v>0.21</v>
      </c>
      <c r="I64" s="733">
        <f t="shared" si="6"/>
        <v>6.4049999999999994</v>
      </c>
    </row>
    <row r="65" spans="1:9" ht="14.25" customHeight="1" outlineLevel="1">
      <c r="A65" s="732">
        <v>169</v>
      </c>
      <c r="B65" s="441" t="s">
        <v>479</v>
      </c>
      <c r="C65" s="439" t="s">
        <v>463</v>
      </c>
      <c r="D65" s="443">
        <v>15</v>
      </c>
      <c r="E65" s="438">
        <v>0.2</v>
      </c>
      <c r="F65" s="438">
        <v>0.7</v>
      </c>
      <c r="G65" s="438">
        <f t="shared" si="11"/>
        <v>0.10000000000000002</v>
      </c>
      <c r="H65" s="460">
        <f t="shared" si="12"/>
        <v>0.21</v>
      </c>
      <c r="I65" s="733">
        <f t="shared" si="6"/>
        <v>6.4049999999999994</v>
      </c>
    </row>
    <row r="66" spans="1:9" ht="14.25" customHeight="1" outlineLevel="1">
      <c r="A66" s="732">
        <v>170</v>
      </c>
      <c r="B66" s="441" t="s">
        <v>479</v>
      </c>
      <c r="C66" s="439" t="s">
        <v>463</v>
      </c>
      <c r="D66" s="443">
        <v>15</v>
      </c>
      <c r="E66" s="438">
        <v>0.2</v>
      </c>
      <c r="F66" s="438">
        <v>0.7</v>
      </c>
      <c r="G66" s="438">
        <f t="shared" si="11"/>
        <v>0.10000000000000002</v>
      </c>
      <c r="H66" s="460">
        <f t="shared" si="12"/>
        <v>0.21</v>
      </c>
      <c r="I66" s="733">
        <f t="shared" si="6"/>
        <v>6.4049999999999994</v>
      </c>
    </row>
    <row r="67" spans="1:9" ht="14.25" customHeight="1" outlineLevel="1">
      <c r="A67" s="732">
        <v>171</v>
      </c>
      <c r="B67" s="441" t="s">
        <v>479</v>
      </c>
      <c r="C67" s="439" t="s">
        <v>463</v>
      </c>
      <c r="D67" s="443">
        <v>15</v>
      </c>
      <c r="E67" s="438">
        <v>0.2</v>
      </c>
      <c r="F67" s="438">
        <v>0.7</v>
      </c>
      <c r="G67" s="438">
        <f t="shared" si="11"/>
        <v>0.10000000000000002</v>
      </c>
      <c r="H67" s="460">
        <f t="shared" si="12"/>
        <v>0.21</v>
      </c>
      <c r="I67" s="733">
        <f t="shared" si="6"/>
        <v>6.4049999999999994</v>
      </c>
    </row>
    <row r="68" spans="1:9" ht="14.25" customHeight="1" outlineLevel="1">
      <c r="A68" s="732">
        <v>172</v>
      </c>
      <c r="B68" s="441" t="s">
        <v>479</v>
      </c>
      <c r="C68" s="439" t="s">
        <v>463</v>
      </c>
      <c r="D68" s="443">
        <v>15</v>
      </c>
      <c r="E68" s="438">
        <v>0.2</v>
      </c>
      <c r="F68" s="438">
        <v>0.7</v>
      </c>
      <c r="G68" s="438">
        <f t="shared" si="11"/>
        <v>0.10000000000000002</v>
      </c>
      <c r="H68" s="460">
        <f t="shared" si="12"/>
        <v>0.21</v>
      </c>
      <c r="I68" s="733">
        <f t="shared" si="6"/>
        <v>6.4049999999999994</v>
      </c>
    </row>
    <row r="69" spans="1:9" ht="14.25" customHeight="1" outlineLevel="1">
      <c r="A69" s="732">
        <v>173</v>
      </c>
      <c r="B69" s="441" t="s">
        <v>479</v>
      </c>
      <c r="C69" s="439" t="s">
        <v>463</v>
      </c>
      <c r="D69" s="443">
        <v>15</v>
      </c>
      <c r="E69" s="438">
        <v>0.2</v>
      </c>
      <c r="F69" s="438">
        <v>0.7</v>
      </c>
      <c r="G69" s="438">
        <f t="shared" si="11"/>
        <v>0.10000000000000002</v>
      </c>
      <c r="H69" s="460">
        <f t="shared" si="12"/>
        <v>0.21</v>
      </c>
      <c r="I69" s="733">
        <f t="shared" si="6"/>
        <v>6.4049999999999994</v>
      </c>
    </row>
    <row r="70" spans="1:9" ht="14.25" customHeight="1" outlineLevel="1">
      <c r="A70" s="732">
        <v>174</v>
      </c>
      <c r="B70" s="441" t="s">
        <v>479</v>
      </c>
      <c r="C70" s="439" t="s">
        <v>463</v>
      </c>
      <c r="D70" s="443">
        <v>15</v>
      </c>
      <c r="E70" s="438">
        <v>0.2</v>
      </c>
      <c r="F70" s="438">
        <v>0.7</v>
      </c>
      <c r="G70" s="438">
        <f t="shared" si="11"/>
        <v>0.10000000000000002</v>
      </c>
      <c r="H70" s="460">
        <f t="shared" si="12"/>
        <v>0.21</v>
      </c>
      <c r="I70" s="733">
        <f t="shared" si="6"/>
        <v>6.4049999999999994</v>
      </c>
    </row>
    <row r="71" spans="1:9" ht="14.25" customHeight="1" outlineLevel="1">
      <c r="A71" s="732">
        <v>175</v>
      </c>
      <c r="B71" s="441" t="s">
        <v>479</v>
      </c>
      <c r="C71" s="439" t="s">
        <v>463</v>
      </c>
      <c r="D71" s="443">
        <v>9.3000000000000007</v>
      </c>
      <c r="E71" s="438">
        <v>0.2</v>
      </c>
      <c r="F71" s="438">
        <v>0.7</v>
      </c>
      <c r="G71" s="438">
        <f t="shared" si="11"/>
        <v>0.10000000000000002</v>
      </c>
      <c r="H71" s="460">
        <f t="shared" si="12"/>
        <v>0.13020000000000004</v>
      </c>
      <c r="I71" s="733">
        <f t="shared" si="6"/>
        <v>3.9711000000000012</v>
      </c>
    </row>
    <row r="72" spans="1:9" ht="14.25" customHeight="1" outlineLevel="1">
      <c r="A72" s="732">
        <v>176</v>
      </c>
      <c r="B72" s="441" t="s">
        <v>479</v>
      </c>
      <c r="C72" s="439" t="s">
        <v>463</v>
      </c>
      <c r="D72" s="443">
        <v>9.3000000000000007</v>
      </c>
      <c r="E72" s="438">
        <v>0.2</v>
      </c>
      <c r="F72" s="438">
        <v>0.7</v>
      </c>
      <c r="G72" s="438">
        <f t="shared" si="11"/>
        <v>0.10000000000000002</v>
      </c>
      <c r="H72" s="460">
        <f t="shared" si="12"/>
        <v>0.13020000000000004</v>
      </c>
      <c r="I72" s="733">
        <f t="shared" si="6"/>
        <v>3.9711000000000012</v>
      </c>
    </row>
    <row r="73" spans="1:9" ht="14.25" customHeight="1" outlineLevel="1">
      <c r="A73" s="732">
        <v>177</v>
      </c>
      <c r="B73" s="441" t="s">
        <v>479</v>
      </c>
      <c r="C73" s="439" t="s">
        <v>463</v>
      </c>
      <c r="D73" s="443">
        <v>9.3000000000000007</v>
      </c>
      <c r="E73" s="438">
        <v>0.2</v>
      </c>
      <c r="F73" s="438">
        <v>0.7</v>
      </c>
      <c r="G73" s="438">
        <f t="shared" si="11"/>
        <v>0.10000000000000002</v>
      </c>
      <c r="H73" s="460">
        <f t="shared" si="12"/>
        <v>0.13020000000000004</v>
      </c>
      <c r="I73" s="733">
        <f t="shared" si="6"/>
        <v>3.9711000000000012</v>
      </c>
    </row>
    <row r="74" spans="1:9" ht="14.25" customHeight="1" outlineLevel="1">
      <c r="A74" s="732">
        <v>178</v>
      </c>
      <c r="B74" s="441" t="s">
        <v>479</v>
      </c>
      <c r="C74" s="439" t="s">
        <v>463</v>
      </c>
      <c r="D74" s="443">
        <v>9.3000000000000007</v>
      </c>
      <c r="E74" s="438">
        <v>0.2</v>
      </c>
      <c r="F74" s="438">
        <v>0.7</v>
      </c>
      <c r="G74" s="438">
        <f t="shared" si="11"/>
        <v>0.10000000000000002</v>
      </c>
      <c r="H74" s="460">
        <f t="shared" si="12"/>
        <v>0.13020000000000004</v>
      </c>
      <c r="I74" s="733">
        <f t="shared" si="6"/>
        <v>3.9711000000000012</v>
      </c>
    </row>
    <row r="75" spans="1:9" ht="14.25" customHeight="1" outlineLevel="1">
      <c r="A75" s="732">
        <v>179</v>
      </c>
      <c r="B75" s="441" t="s">
        <v>479</v>
      </c>
      <c r="C75" s="439" t="s">
        <v>463</v>
      </c>
      <c r="D75" s="443">
        <v>9.3000000000000007</v>
      </c>
      <c r="E75" s="438">
        <v>0.2</v>
      </c>
      <c r="F75" s="438">
        <v>0.7</v>
      </c>
      <c r="G75" s="438">
        <f t="shared" si="11"/>
        <v>0.10000000000000002</v>
      </c>
      <c r="H75" s="460">
        <f t="shared" si="12"/>
        <v>0.13020000000000004</v>
      </c>
      <c r="I75" s="733">
        <f t="shared" si="6"/>
        <v>3.9711000000000012</v>
      </c>
    </row>
    <row r="76" spans="1:9" ht="14.25" customHeight="1" outlineLevel="1">
      <c r="A76" s="732">
        <v>180</v>
      </c>
      <c r="B76" s="441" t="s">
        <v>479</v>
      </c>
      <c r="C76" s="439" t="s">
        <v>463</v>
      </c>
      <c r="D76" s="443">
        <v>9.3000000000000007</v>
      </c>
      <c r="E76" s="438">
        <v>0.2</v>
      </c>
      <c r="F76" s="438">
        <v>0.7</v>
      </c>
      <c r="G76" s="438">
        <f t="shared" si="11"/>
        <v>0.10000000000000002</v>
      </c>
      <c r="H76" s="460">
        <f t="shared" si="12"/>
        <v>0.13020000000000004</v>
      </c>
      <c r="I76" s="733">
        <f t="shared" si="6"/>
        <v>3.9711000000000012</v>
      </c>
    </row>
    <row r="77" spans="1:9" ht="14.25" customHeight="1" outlineLevel="1">
      <c r="A77" s="732">
        <v>181</v>
      </c>
      <c r="B77" s="441" t="s">
        <v>479</v>
      </c>
      <c r="C77" s="439" t="s">
        <v>463</v>
      </c>
      <c r="D77" s="443">
        <v>9.3000000000000007</v>
      </c>
      <c r="E77" s="438">
        <v>0.2</v>
      </c>
      <c r="F77" s="438">
        <v>0.7</v>
      </c>
      <c r="G77" s="438">
        <f t="shared" si="11"/>
        <v>0.10000000000000002</v>
      </c>
      <c r="H77" s="460">
        <f t="shared" si="12"/>
        <v>0.13020000000000004</v>
      </c>
      <c r="I77" s="733">
        <f t="shared" si="6"/>
        <v>3.9711000000000012</v>
      </c>
    </row>
    <row r="78" spans="1:9" ht="14.25" customHeight="1" outlineLevel="1">
      <c r="A78" s="732">
        <v>182</v>
      </c>
      <c r="B78" s="441" t="s">
        <v>479</v>
      </c>
      <c r="C78" s="439" t="s">
        <v>463</v>
      </c>
      <c r="D78" s="443">
        <v>9.3000000000000007</v>
      </c>
      <c r="E78" s="438">
        <v>0.2</v>
      </c>
      <c r="F78" s="438">
        <v>0.7</v>
      </c>
      <c r="G78" s="438">
        <f t="shared" si="11"/>
        <v>0.10000000000000002</v>
      </c>
      <c r="H78" s="460">
        <f t="shared" si="12"/>
        <v>0.13020000000000004</v>
      </c>
      <c r="I78" s="733">
        <f t="shared" si="6"/>
        <v>3.9711000000000012</v>
      </c>
    </row>
    <row r="79" spans="1:9" ht="14.25" customHeight="1" outlineLevel="1">
      <c r="A79" s="732">
        <v>183</v>
      </c>
      <c r="B79" s="441" t="s">
        <v>479</v>
      </c>
      <c r="C79" s="439" t="s">
        <v>463</v>
      </c>
      <c r="D79" s="443">
        <v>9.3000000000000007</v>
      </c>
      <c r="E79" s="438">
        <v>0.2</v>
      </c>
      <c r="F79" s="438">
        <v>0.7</v>
      </c>
      <c r="G79" s="438">
        <f t="shared" si="11"/>
        <v>0.10000000000000002</v>
      </c>
      <c r="H79" s="460">
        <f t="shared" si="12"/>
        <v>0.13020000000000004</v>
      </c>
      <c r="I79" s="733">
        <f t="shared" si="6"/>
        <v>3.9711000000000012</v>
      </c>
    </row>
    <row r="80" spans="1:9" ht="14.25" customHeight="1" outlineLevel="1">
      <c r="A80" s="732">
        <v>184</v>
      </c>
      <c r="B80" s="441" t="s">
        <v>479</v>
      </c>
      <c r="C80" s="439" t="s">
        <v>463</v>
      </c>
      <c r="D80" s="443">
        <v>9.3000000000000007</v>
      </c>
      <c r="E80" s="438">
        <v>0.2</v>
      </c>
      <c r="F80" s="438">
        <v>0.7</v>
      </c>
      <c r="G80" s="438">
        <f t="shared" si="11"/>
        <v>0.10000000000000002</v>
      </c>
      <c r="H80" s="460">
        <f t="shared" si="12"/>
        <v>0.13020000000000004</v>
      </c>
      <c r="I80" s="733">
        <f t="shared" si="6"/>
        <v>3.9711000000000012</v>
      </c>
    </row>
    <row r="81" spans="1:9" ht="14.25" customHeight="1" outlineLevel="1">
      <c r="A81" s="732">
        <v>185</v>
      </c>
      <c r="B81" s="441" t="s">
        <v>479</v>
      </c>
      <c r="C81" s="439" t="s">
        <v>463</v>
      </c>
      <c r="D81" s="443">
        <v>9.3000000000000007</v>
      </c>
      <c r="E81" s="438">
        <v>0.2</v>
      </c>
      <c r="F81" s="438">
        <v>0.7</v>
      </c>
      <c r="G81" s="438">
        <f t="shared" si="11"/>
        <v>0.10000000000000002</v>
      </c>
      <c r="H81" s="460">
        <f t="shared" si="12"/>
        <v>0.13020000000000004</v>
      </c>
      <c r="I81" s="733">
        <f t="shared" si="6"/>
        <v>3.9711000000000012</v>
      </c>
    </row>
    <row r="82" spans="1:9" ht="14.25" customHeight="1" outlineLevel="1">
      <c r="A82" s="732">
        <v>186</v>
      </c>
      <c r="B82" s="441" t="s">
        <v>479</v>
      </c>
      <c r="C82" s="439" t="s">
        <v>463</v>
      </c>
      <c r="D82" s="443">
        <v>9.3000000000000007</v>
      </c>
      <c r="E82" s="438">
        <v>0.2</v>
      </c>
      <c r="F82" s="438">
        <v>0.7</v>
      </c>
      <c r="G82" s="438">
        <f t="shared" si="11"/>
        <v>0.10000000000000002</v>
      </c>
      <c r="H82" s="460">
        <f t="shared" si="12"/>
        <v>0.13020000000000004</v>
      </c>
      <c r="I82" s="733">
        <f t="shared" si="6"/>
        <v>3.9711000000000012</v>
      </c>
    </row>
    <row r="83" spans="1:9" ht="14.25" customHeight="1" outlineLevel="1">
      <c r="A83" s="732">
        <v>187</v>
      </c>
      <c r="B83" s="441" t="s">
        <v>479</v>
      </c>
      <c r="C83" s="439" t="s">
        <v>463</v>
      </c>
      <c r="D83" s="443">
        <v>9.3000000000000007</v>
      </c>
      <c r="E83" s="438">
        <v>0.2</v>
      </c>
      <c r="F83" s="438">
        <v>0.7</v>
      </c>
      <c r="G83" s="438">
        <f t="shared" si="11"/>
        <v>0.10000000000000002</v>
      </c>
      <c r="H83" s="460">
        <f t="shared" si="12"/>
        <v>0.13020000000000004</v>
      </c>
      <c r="I83" s="733">
        <f t="shared" si="6"/>
        <v>3.9711000000000012</v>
      </c>
    </row>
    <row r="84" spans="1:9" ht="14.25" customHeight="1" outlineLevel="1">
      <c r="A84" s="732">
        <v>188</v>
      </c>
      <c r="B84" s="441" t="s">
        <v>479</v>
      </c>
      <c r="C84" s="439" t="s">
        <v>463</v>
      </c>
      <c r="D84" s="443">
        <v>9.3000000000000007</v>
      </c>
      <c r="E84" s="438">
        <v>0.2</v>
      </c>
      <c r="F84" s="438">
        <v>0.7</v>
      </c>
      <c r="G84" s="438">
        <f t="shared" si="11"/>
        <v>0.10000000000000002</v>
      </c>
      <c r="H84" s="460">
        <f t="shared" si="12"/>
        <v>0.13020000000000004</v>
      </c>
      <c r="I84" s="733">
        <f t="shared" ref="I84:I118" si="13">H84*30.5</f>
        <v>3.9711000000000012</v>
      </c>
    </row>
    <row r="85" spans="1:9" ht="14.25" customHeight="1" outlineLevel="1">
      <c r="A85" s="732">
        <v>189</v>
      </c>
      <c r="B85" s="441" t="s">
        <v>479</v>
      </c>
      <c r="C85" s="439" t="s">
        <v>463</v>
      </c>
      <c r="D85" s="443">
        <v>9.3000000000000007</v>
      </c>
      <c r="E85" s="438">
        <v>0.2</v>
      </c>
      <c r="F85" s="438">
        <v>0.7</v>
      </c>
      <c r="G85" s="438">
        <f t="shared" si="11"/>
        <v>0.10000000000000002</v>
      </c>
      <c r="H85" s="460">
        <f t="shared" si="12"/>
        <v>0.13020000000000004</v>
      </c>
      <c r="I85" s="733">
        <f t="shared" si="13"/>
        <v>3.9711000000000012</v>
      </c>
    </row>
    <row r="86" spans="1:9" ht="14.25" customHeight="1" outlineLevel="1">
      <c r="A86" s="732">
        <v>190</v>
      </c>
      <c r="B86" s="441" t="s">
        <v>479</v>
      </c>
      <c r="C86" s="439" t="s">
        <v>463</v>
      </c>
      <c r="D86" s="443">
        <v>9.3000000000000007</v>
      </c>
      <c r="E86" s="438">
        <v>0.2</v>
      </c>
      <c r="F86" s="438">
        <v>0.7</v>
      </c>
      <c r="G86" s="438">
        <f t="shared" si="11"/>
        <v>0.10000000000000002</v>
      </c>
      <c r="H86" s="460">
        <f t="shared" si="12"/>
        <v>0.13020000000000004</v>
      </c>
      <c r="I86" s="733">
        <f t="shared" si="13"/>
        <v>3.9711000000000012</v>
      </c>
    </row>
    <row r="87" spans="1:9" ht="14.25" customHeight="1" outlineLevel="1">
      <c r="A87" s="732">
        <v>191</v>
      </c>
      <c r="B87" s="441" t="s">
        <v>479</v>
      </c>
      <c r="C87" s="439" t="s">
        <v>463</v>
      </c>
      <c r="D87" s="443">
        <v>9.3000000000000007</v>
      </c>
      <c r="E87" s="438">
        <v>0.2</v>
      </c>
      <c r="F87" s="438">
        <v>0.7</v>
      </c>
      <c r="G87" s="438">
        <f t="shared" si="11"/>
        <v>0.10000000000000002</v>
      </c>
      <c r="H87" s="460">
        <f t="shared" si="12"/>
        <v>0.13020000000000004</v>
      </c>
      <c r="I87" s="733">
        <f t="shared" si="13"/>
        <v>3.9711000000000012</v>
      </c>
    </row>
    <row r="88" spans="1:9" ht="14.25" customHeight="1" outlineLevel="1">
      <c r="A88" s="732">
        <v>192</v>
      </c>
      <c r="B88" s="441" t="s">
        <v>479</v>
      </c>
      <c r="C88" s="439" t="s">
        <v>463</v>
      </c>
      <c r="D88" s="443">
        <v>9.3000000000000007</v>
      </c>
      <c r="E88" s="438">
        <v>0.2</v>
      </c>
      <c r="F88" s="438">
        <v>0.7</v>
      </c>
      <c r="G88" s="438">
        <f t="shared" si="11"/>
        <v>0.10000000000000002</v>
      </c>
      <c r="H88" s="460">
        <f t="shared" si="12"/>
        <v>0.13020000000000004</v>
      </c>
      <c r="I88" s="733">
        <f t="shared" si="13"/>
        <v>3.9711000000000012</v>
      </c>
    </row>
    <row r="89" spans="1:9" ht="14.25" customHeight="1" outlineLevel="1">
      <c r="A89" s="732">
        <v>193</v>
      </c>
      <c r="B89" s="441" t="s">
        <v>479</v>
      </c>
      <c r="C89" s="439" t="s">
        <v>463</v>
      </c>
      <c r="D89" s="443">
        <v>9.3000000000000007</v>
      </c>
      <c r="E89" s="438">
        <v>0.2</v>
      </c>
      <c r="F89" s="438">
        <v>0.7</v>
      </c>
      <c r="G89" s="438">
        <f t="shared" si="11"/>
        <v>0.10000000000000002</v>
      </c>
      <c r="H89" s="460">
        <f t="shared" si="12"/>
        <v>0.13020000000000004</v>
      </c>
      <c r="I89" s="733">
        <f t="shared" si="13"/>
        <v>3.9711000000000012</v>
      </c>
    </row>
    <row r="90" spans="1:9" ht="14.25" customHeight="1" outlineLevel="1">
      <c r="A90" s="732">
        <v>194</v>
      </c>
      <c r="B90" s="441" t="s">
        <v>479</v>
      </c>
      <c r="C90" s="439" t="s">
        <v>463</v>
      </c>
      <c r="D90" s="443">
        <v>9.3000000000000007</v>
      </c>
      <c r="E90" s="438">
        <v>0.2</v>
      </c>
      <c r="F90" s="438">
        <v>0.7</v>
      </c>
      <c r="G90" s="438">
        <f t="shared" si="11"/>
        <v>0.10000000000000002</v>
      </c>
      <c r="H90" s="460">
        <f t="shared" si="12"/>
        <v>0.13020000000000004</v>
      </c>
      <c r="I90" s="733">
        <f t="shared" si="13"/>
        <v>3.9711000000000012</v>
      </c>
    </row>
    <row r="91" spans="1:9" ht="14.25" customHeight="1" outlineLevel="1">
      <c r="A91" s="732">
        <v>195</v>
      </c>
      <c r="B91" s="441" t="s">
        <v>479</v>
      </c>
      <c r="C91" s="439" t="s">
        <v>463</v>
      </c>
      <c r="D91" s="443">
        <v>9.3000000000000007</v>
      </c>
      <c r="E91" s="438">
        <v>0.2</v>
      </c>
      <c r="F91" s="438">
        <v>0.7</v>
      </c>
      <c r="G91" s="438">
        <f t="shared" si="11"/>
        <v>0.10000000000000002</v>
      </c>
      <c r="H91" s="460">
        <f t="shared" si="12"/>
        <v>0.13020000000000004</v>
      </c>
      <c r="I91" s="733">
        <f t="shared" si="13"/>
        <v>3.9711000000000012</v>
      </c>
    </row>
    <row r="92" spans="1:9" ht="14.25" customHeight="1" outlineLevel="1">
      <c r="A92" s="732">
        <v>196</v>
      </c>
      <c r="B92" s="441" t="s">
        <v>480</v>
      </c>
      <c r="C92" s="439" t="s">
        <v>463</v>
      </c>
      <c r="D92" s="443">
        <v>9.3000000000000007</v>
      </c>
      <c r="E92" s="438">
        <v>0.2</v>
      </c>
      <c r="F92" s="438">
        <v>0.7</v>
      </c>
      <c r="G92" s="438">
        <f t="shared" si="11"/>
        <v>0.10000000000000002</v>
      </c>
      <c r="H92" s="460">
        <f t="shared" si="12"/>
        <v>0.13020000000000004</v>
      </c>
      <c r="I92" s="733">
        <f t="shared" si="13"/>
        <v>3.9711000000000012</v>
      </c>
    </row>
    <row r="93" spans="1:9" ht="14.25" customHeight="1" outlineLevel="1">
      <c r="A93" s="732">
        <v>197</v>
      </c>
      <c r="B93" s="441" t="s">
        <v>480</v>
      </c>
      <c r="C93" s="439" t="s">
        <v>463</v>
      </c>
      <c r="D93" s="443">
        <v>9.3000000000000007</v>
      </c>
      <c r="E93" s="438">
        <v>0.2</v>
      </c>
      <c r="F93" s="438">
        <v>0.7</v>
      </c>
      <c r="G93" s="438">
        <f t="shared" si="11"/>
        <v>0.10000000000000002</v>
      </c>
      <c r="H93" s="460">
        <f t="shared" si="12"/>
        <v>0.13020000000000004</v>
      </c>
      <c r="I93" s="733">
        <f t="shared" si="13"/>
        <v>3.9711000000000012</v>
      </c>
    </row>
    <row r="94" spans="1:9" ht="14.25" customHeight="1" outlineLevel="1">
      <c r="A94" s="732">
        <v>198</v>
      </c>
      <c r="B94" s="441" t="s">
        <v>480</v>
      </c>
      <c r="C94" s="439" t="s">
        <v>463</v>
      </c>
      <c r="D94" s="443">
        <v>9.3000000000000007</v>
      </c>
      <c r="E94" s="438">
        <v>0.2</v>
      </c>
      <c r="F94" s="438">
        <v>0.7</v>
      </c>
      <c r="G94" s="438">
        <f t="shared" si="11"/>
        <v>0.10000000000000002</v>
      </c>
      <c r="H94" s="460">
        <f t="shared" si="12"/>
        <v>0.13020000000000004</v>
      </c>
      <c r="I94" s="733">
        <f t="shared" si="13"/>
        <v>3.9711000000000012</v>
      </c>
    </row>
    <row r="95" spans="1:9" ht="14.25" customHeight="1" outlineLevel="1">
      <c r="A95" s="732">
        <v>199</v>
      </c>
      <c r="B95" s="441" t="s">
        <v>480</v>
      </c>
      <c r="C95" s="439" t="s">
        <v>463</v>
      </c>
      <c r="D95" s="443">
        <v>9.3000000000000007</v>
      </c>
      <c r="E95" s="438">
        <v>0.2</v>
      </c>
      <c r="F95" s="438">
        <v>0.7</v>
      </c>
      <c r="G95" s="438">
        <f t="shared" si="11"/>
        <v>0.10000000000000002</v>
      </c>
      <c r="H95" s="460">
        <f t="shared" si="12"/>
        <v>0.13020000000000004</v>
      </c>
      <c r="I95" s="733">
        <f t="shared" si="13"/>
        <v>3.9711000000000012</v>
      </c>
    </row>
    <row r="96" spans="1:9" ht="14.25" customHeight="1" outlineLevel="1">
      <c r="A96" s="732">
        <v>200</v>
      </c>
      <c r="B96" s="441" t="s">
        <v>480</v>
      </c>
      <c r="C96" s="439" t="s">
        <v>463</v>
      </c>
      <c r="D96" s="443">
        <v>9.3000000000000007</v>
      </c>
      <c r="E96" s="438">
        <v>0.2</v>
      </c>
      <c r="F96" s="438">
        <v>0.7</v>
      </c>
      <c r="G96" s="438">
        <f t="shared" si="11"/>
        <v>0.10000000000000002</v>
      </c>
      <c r="H96" s="460">
        <f t="shared" si="12"/>
        <v>0.13020000000000004</v>
      </c>
      <c r="I96" s="733">
        <f t="shared" si="13"/>
        <v>3.9711000000000012</v>
      </c>
    </row>
    <row r="97" spans="1:9" ht="14.25" customHeight="1" outlineLevel="1">
      <c r="A97" s="732">
        <v>201</v>
      </c>
      <c r="B97" s="441" t="s">
        <v>480</v>
      </c>
      <c r="C97" s="439" t="s">
        <v>463</v>
      </c>
      <c r="D97" s="443">
        <v>9.3000000000000007</v>
      </c>
      <c r="E97" s="438">
        <v>0.2</v>
      </c>
      <c r="F97" s="438">
        <v>0.7</v>
      </c>
      <c r="G97" s="438">
        <f t="shared" si="11"/>
        <v>0.10000000000000002</v>
      </c>
      <c r="H97" s="460">
        <f t="shared" si="12"/>
        <v>0.13020000000000004</v>
      </c>
      <c r="I97" s="733">
        <f t="shared" si="13"/>
        <v>3.9711000000000012</v>
      </c>
    </row>
    <row r="98" spans="1:9" ht="14.25" customHeight="1" outlineLevel="1">
      <c r="A98" s="732">
        <v>202</v>
      </c>
      <c r="B98" s="441" t="s">
        <v>480</v>
      </c>
      <c r="C98" s="439" t="s">
        <v>463</v>
      </c>
      <c r="D98" s="443">
        <v>9.3000000000000007</v>
      </c>
      <c r="E98" s="438">
        <v>0.2</v>
      </c>
      <c r="F98" s="438">
        <v>0.7</v>
      </c>
      <c r="G98" s="438">
        <f t="shared" si="11"/>
        <v>0.10000000000000002</v>
      </c>
      <c r="H98" s="460">
        <f t="shared" si="12"/>
        <v>0.13020000000000004</v>
      </c>
      <c r="I98" s="733">
        <f t="shared" si="13"/>
        <v>3.9711000000000012</v>
      </c>
    </row>
    <row r="99" spans="1:9" ht="14.25" customHeight="1" outlineLevel="1">
      <c r="A99" s="732">
        <v>203</v>
      </c>
      <c r="B99" s="441" t="s">
        <v>480</v>
      </c>
      <c r="C99" s="439" t="s">
        <v>463</v>
      </c>
      <c r="D99" s="443">
        <v>9.3000000000000007</v>
      </c>
      <c r="E99" s="438">
        <v>0.2</v>
      </c>
      <c r="F99" s="438">
        <v>0.7</v>
      </c>
      <c r="G99" s="438">
        <f t="shared" si="11"/>
        <v>0.10000000000000002</v>
      </c>
      <c r="H99" s="460">
        <f t="shared" si="12"/>
        <v>0.13020000000000004</v>
      </c>
      <c r="I99" s="733">
        <f t="shared" si="13"/>
        <v>3.9711000000000012</v>
      </c>
    </row>
    <row r="100" spans="1:9" ht="14.25" customHeight="1" outlineLevel="1">
      <c r="A100" s="732">
        <v>204</v>
      </c>
      <c r="B100" s="441" t="s">
        <v>480</v>
      </c>
      <c r="C100" s="439" t="s">
        <v>463</v>
      </c>
      <c r="D100" s="443">
        <v>9.3000000000000007</v>
      </c>
      <c r="E100" s="438">
        <v>0.2</v>
      </c>
      <c r="F100" s="438">
        <v>0.7</v>
      </c>
      <c r="G100" s="438">
        <f t="shared" si="11"/>
        <v>0.10000000000000002</v>
      </c>
      <c r="H100" s="460">
        <f t="shared" si="12"/>
        <v>0.13020000000000004</v>
      </c>
      <c r="I100" s="733">
        <f t="shared" si="13"/>
        <v>3.9711000000000012</v>
      </c>
    </row>
    <row r="101" spans="1:9" ht="14.25" customHeight="1" outlineLevel="1">
      <c r="A101" s="732">
        <v>205</v>
      </c>
      <c r="B101" s="441" t="s">
        <v>480</v>
      </c>
      <c r="C101" s="439" t="s">
        <v>463</v>
      </c>
      <c r="D101" s="443">
        <v>9.3000000000000007</v>
      </c>
      <c r="E101" s="438">
        <v>0.2</v>
      </c>
      <c r="F101" s="438">
        <v>0.7</v>
      </c>
      <c r="G101" s="438">
        <f t="shared" si="11"/>
        <v>0.10000000000000002</v>
      </c>
      <c r="H101" s="460">
        <f t="shared" si="12"/>
        <v>0.13020000000000004</v>
      </c>
      <c r="I101" s="733">
        <f t="shared" si="13"/>
        <v>3.9711000000000012</v>
      </c>
    </row>
    <row r="102" spans="1:9" ht="14.25" customHeight="1" outlineLevel="1">
      <c r="A102" s="732">
        <v>206</v>
      </c>
      <c r="B102" s="441" t="s">
        <v>480</v>
      </c>
      <c r="C102" s="439" t="s">
        <v>463</v>
      </c>
      <c r="D102" s="443">
        <v>9.3000000000000007</v>
      </c>
      <c r="E102" s="438">
        <v>0.2</v>
      </c>
      <c r="F102" s="438">
        <v>0.7</v>
      </c>
      <c r="G102" s="438">
        <f t="shared" si="11"/>
        <v>0.10000000000000002</v>
      </c>
      <c r="H102" s="460">
        <f t="shared" si="12"/>
        <v>0.13020000000000004</v>
      </c>
      <c r="I102" s="733">
        <f t="shared" si="13"/>
        <v>3.9711000000000012</v>
      </c>
    </row>
    <row r="103" spans="1:9" ht="14.25" customHeight="1" outlineLevel="1">
      <c r="A103" s="732">
        <v>207</v>
      </c>
      <c r="B103" s="441" t="s">
        <v>480</v>
      </c>
      <c r="C103" s="439" t="s">
        <v>463</v>
      </c>
      <c r="D103" s="443">
        <v>9.3000000000000007</v>
      </c>
      <c r="E103" s="438">
        <v>0.2</v>
      </c>
      <c r="F103" s="438">
        <v>0.7</v>
      </c>
      <c r="G103" s="438">
        <f t="shared" si="11"/>
        <v>0.10000000000000002</v>
      </c>
      <c r="H103" s="460">
        <f t="shared" si="12"/>
        <v>0.13020000000000004</v>
      </c>
      <c r="I103" s="733">
        <f t="shared" si="13"/>
        <v>3.9711000000000012</v>
      </c>
    </row>
    <row r="104" spans="1:9" ht="14.25" customHeight="1" outlineLevel="1">
      <c r="A104" s="732">
        <v>208</v>
      </c>
      <c r="B104" s="441" t="s">
        <v>480</v>
      </c>
      <c r="C104" s="439" t="s">
        <v>463</v>
      </c>
      <c r="D104" s="443">
        <v>9.3000000000000007</v>
      </c>
      <c r="E104" s="438">
        <v>0.2</v>
      </c>
      <c r="F104" s="438">
        <v>0.7</v>
      </c>
      <c r="G104" s="438">
        <f t="shared" ref="G104:G118" si="14">0.1*12/12</f>
        <v>0.10000000000000002</v>
      </c>
      <c r="H104" s="460">
        <f t="shared" ref="H104:H118" si="15">D104*E104*F104*G104</f>
        <v>0.13020000000000004</v>
      </c>
      <c r="I104" s="733">
        <f t="shared" si="13"/>
        <v>3.9711000000000012</v>
      </c>
    </row>
    <row r="105" spans="1:9" ht="14.25" customHeight="1" outlineLevel="1">
      <c r="A105" s="732">
        <v>209</v>
      </c>
      <c r="B105" s="441" t="s">
        <v>480</v>
      </c>
      <c r="C105" s="439" t="s">
        <v>463</v>
      </c>
      <c r="D105" s="443">
        <v>9.3000000000000007</v>
      </c>
      <c r="E105" s="438">
        <v>0.2</v>
      </c>
      <c r="F105" s="438">
        <v>0.7</v>
      </c>
      <c r="G105" s="438">
        <f t="shared" si="14"/>
        <v>0.10000000000000002</v>
      </c>
      <c r="H105" s="460">
        <f t="shared" si="15"/>
        <v>0.13020000000000004</v>
      </c>
      <c r="I105" s="733">
        <f t="shared" si="13"/>
        <v>3.9711000000000012</v>
      </c>
    </row>
    <row r="106" spans="1:9" ht="14.25" customHeight="1" outlineLevel="1">
      <c r="A106" s="732">
        <v>210</v>
      </c>
      <c r="B106" s="441" t="s">
        <v>480</v>
      </c>
      <c r="C106" s="439" t="s">
        <v>463</v>
      </c>
      <c r="D106" s="443">
        <v>9.3000000000000007</v>
      </c>
      <c r="E106" s="438">
        <v>0.2</v>
      </c>
      <c r="F106" s="438">
        <v>0.7</v>
      </c>
      <c r="G106" s="438">
        <f t="shared" si="14"/>
        <v>0.10000000000000002</v>
      </c>
      <c r="H106" s="460">
        <f t="shared" si="15"/>
        <v>0.13020000000000004</v>
      </c>
      <c r="I106" s="733">
        <f t="shared" si="13"/>
        <v>3.9711000000000012</v>
      </c>
    </row>
    <row r="107" spans="1:9" ht="14.25" customHeight="1" outlineLevel="1">
      <c r="A107" s="732">
        <v>211</v>
      </c>
      <c r="B107" s="441" t="s">
        <v>480</v>
      </c>
      <c r="C107" s="439" t="s">
        <v>463</v>
      </c>
      <c r="D107" s="443">
        <v>9.3000000000000007</v>
      </c>
      <c r="E107" s="438">
        <v>0.2</v>
      </c>
      <c r="F107" s="438">
        <v>0.7</v>
      </c>
      <c r="G107" s="438">
        <f t="shared" si="14"/>
        <v>0.10000000000000002</v>
      </c>
      <c r="H107" s="460">
        <f t="shared" si="15"/>
        <v>0.13020000000000004</v>
      </c>
      <c r="I107" s="733">
        <f t="shared" si="13"/>
        <v>3.9711000000000012</v>
      </c>
    </row>
    <row r="108" spans="1:9" ht="14.25" customHeight="1" outlineLevel="1">
      <c r="A108" s="732">
        <v>212</v>
      </c>
      <c r="B108" s="441" t="s">
        <v>480</v>
      </c>
      <c r="C108" s="439" t="s">
        <v>463</v>
      </c>
      <c r="D108" s="443">
        <v>9.3000000000000007</v>
      </c>
      <c r="E108" s="438">
        <v>0.2</v>
      </c>
      <c r="F108" s="438">
        <v>0.7</v>
      </c>
      <c r="G108" s="438">
        <f t="shared" si="14"/>
        <v>0.10000000000000002</v>
      </c>
      <c r="H108" s="460">
        <f t="shared" si="15"/>
        <v>0.13020000000000004</v>
      </c>
      <c r="I108" s="733">
        <f t="shared" si="13"/>
        <v>3.9711000000000012</v>
      </c>
    </row>
    <row r="109" spans="1:9" ht="14.25" customHeight="1" outlineLevel="1">
      <c r="A109" s="732">
        <v>213</v>
      </c>
      <c r="B109" s="441" t="s">
        <v>480</v>
      </c>
      <c r="C109" s="439" t="s">
        <v>463</v>
      </c>
      <c r="D109" s="443">
        <v>9.3000000000000007</v>
      </c>
      <c r="E109" s="438">
        <v>0.2</v>
      </c>
      <c r="F109" s="438">
        <v>0.7</v>
      </c>
      <c r="G109" s="438">
        <f t="shared" si="14"/>
        <v>0.10000000000000002</v>
      </c>
      <c r="H109" s="460">
        <f t="shared" si="15"/>
        <v>0.13020000000000004</v>
      </c>
      <c r="I109" s="733">
        <f t="shared" si="13"/>
        <v>3.9711000000000012</v>
      </c>
    </row>
    <row r="110" spans="1:9" ht="14.25" customHeight="1" outlineLevel="1">
      <c r="A110" s="732">
        <v>214</v>
      </c>
      <c r="B110" s="441" t="s">
        <v>480</v>
      </c>
      <c r="C110" s="439" t="s">
        <v>463</v>
      </c>
      <c r="D110" s="443">
        <v>9.3000000000000007</v>
      </c>
      <c r="E110" s="438">
        <v>0.2</v>
      </c>
      <c r="F110" s="438">
        <v>0.7</v>
      </c>
      <c r="G110" s="438">
        <f t="shared" si="14"/>
        <v>0.10000000000000002</v>
      </c>
      <c r="H110" s="460">
        <f t="shared" si="15"/>
        <v>0.13020000000000004</v>
      </c>
      <c r="I110" s="733">
        <f t="shared" si="13"/>
        <v>3.9711000000000012</v>
      </c>
    </row>
    <row r="111" spans="1:9" ht="14.25" customHeight="1" outlineLevel="1">
      <c r="A111" s="732">
        <v>215</v>
      </c>
      <c r="B111" s="441" t="s">
        <v>480</v>
      </c>
      <c r="C111" s="439" t="s">
        <v>463</v>
      </c>
      <c r="D111" s="443">
        <v>9.3000000000000007</v>
      </c>
      <c r="E111" s="438">
        <v>0.2</v>
      </c>
      <c r="F111" s="438">
        <v>0.7</v>
      </c>
      <c r="G111" s="438">
        <f t="shared" si="14"/>
        <v>0.10000000000000002</v>
      </c>
      <c r="H111" s="460">
        <f t="shared" si="15"/>
        <v>0.13020000000000004</v>
      </c>
      <c r="I111" s="733">
        <f t="shared" si="13"/>
        <v>3.9711000000000012</v>
      </c>
    </row>
    <row r="112" spans="1:9" ht="14.25" customHeight="1" outlineLevel="1">
      <c r="A112" s="732">
        <v>216</v>
      </c>
      <c r="B112" s="441" t="s">
        <v>480</v>
      </c>
      <c r="C112" s="439" t="s">
        <v>463</v>
      </c>
      <c r="D112" s="443">
        <v>9.3000000000000007</v>
      </c>
      <c r="E112" s="438">
        <v>0.2</v>
      </c>
      <c r="F112" s="438">
        <v>0.7</v>
      </c>
      <c r="G112" s="438">
        <f t="shared" si="14"/>
        <v>0.10000000000000002</v>
      </c>
      <c r="H112" s="460">
        <f t="shared" si="15"/>
        <v>0.13020000000000004</v>
      </c>
      <c r="I112" s="733">
        <f t="shared" si="13"/>
        <v>3.9711000000000012</v>
      </c>
    </row>
    <row r="113" spans="1:11" ht="14.25" customHeight="1" outlineLevel="1">
      <c r="A113" s="732">
        <v>217</v>
      </c>
      <c r="B113" s="441" t="s">
        <v>480</v>
      </c>
      <c r="C113" s="439" t="s">
        <v>463</v>
      </c>
      <c r="D113" s="443">
        <v>15</v>
      </c>
      <c r="E113" s="438">
        <v>0.2</v>
      </c>
      <c r="F113" s="438">
        <v>0.7</v>
      </c>
      <c r="G113" s="438">
        <f t="shared" si="14"/>
        <v>0.10000000000000002</v>
      </c>
      <c r="H113" s="460">
        <f t="shared" si="15"/>
        <v>0.21</v>
      </c>
      <c r="I113" s="733">
        <f t="shared" si="13"/>
        <v>6.4049999999999994</v>
      </c>
    </row>
    <row r="114" spans="1:11" ht="14.25" customHeight="1" outlineLevel="1">
      <c r="A114" s="732">
        <v>218</v>
      </c>
      <c r="B114" s="441" t="s">
        <v>480</v>
      </c>
      <c r="C114" s="439" t="s">
        <v>463</v>
      </c>
      <c r="D114" s="443">
        <v>15</v>
      </c>
      <c r="E114" s="438">
        <v>0.2</v>
      </c>
      <c r="F114" s="438">
        <v>0.7</v>
      </c>
      <c r="G114" s="438">
        <f t="shared" si="14"/>
        <v>0.10000000000000002</v>
      </c>
      <c r="H114" s="460">
        <f t="shared" si="15"/>
        <v>0.21</v>
      </c>
      <c r="I114" s="733">
        <f t="shared" si="13"/>
        <v>6.4049999999999994</v>
      </c>
    </row>
    <row r="115" spans="1:11" ht="14.25" customHeight="1" outlineLevel="1">
      <c r="A115" s="732">
        <v>219</v>
      </c>
      <c r="B115" s="441" t="s">
        <v>480</v>
      </c>
      <c r="C115" s="439" t="s">
        <v>463</v>
      </c>
      <c r="D115" s="443">
        <v>15</v>
      </c>
      <c r="E115" s="438">
        <v>0.2</v>
      </c>
      <c r="F115" s="438">
        <v>0.7</v>
      </c>
      <c r="G115" s="438">
        <f t="shared" si="14"/>
        <v>0.10000000000000002</v>
      </c>
      <c r="H115" s="460">
        <f t="shared" si="15"/>
        <v>0.21</v>
      </c>
      <c r="I115" s="733">
        <f t="shared" si="13"/>
        <v>6.4049999999999994</v>
      </c>
    </row>
    <row r="116" spans="1:11" ht="14.25" customHeight="1" outlineLevel="1">
      <c r="A116" s="732">
        <v>220</v>
      </c>
      <c r="B116" s="441" t="s">
        <v>480</v>
      </c>
      <c r="C116" s="439" t="s">
        <v>463</v>
      </c>
      <c r="D116" s="443">
        <v>15</v>
      </c>
      <c r="E116" s="438">
        <v>0.2</v>
      </c>
      <c r="F116" s="438">
        <v>0.7</v>
      </c>
      <c r="G116" s="438">
        <f t="shared" si="14"/>
        <v>0.10000000000000002</v>
      </c>
      <c r="H116" s="460">
        <f t="shared" si="15"/>
        <v>0.21</v>
      </c>
      <c r="I116" s="733">
        <f t="shared" si="13"/>
        <v>6.4049999999999994</v>
      </c>
    </row>
    <row r="117" spans="1:11" ht="14.25" customHeight="1" outlineLevel="1">
      <c r="A117" s="732">
        <v>221</v>
      </c>
      <c r="B117" s="441" t="s">
        <v>480</v>
      </c>
      <c r="C117" s="439" t="s">
        <v>463</v>
      </c>
      <c r="D117" s="443">
        <v>15</v>
      </c>
      <c r="E117" s="438">
        <v>0.2</v>
      </c>
      <c r="F117" s="438">
        <v>0.7</v>
      </c>
      <c r="G117" s="438">
        <f t="shared" si="14"/>
        <v>0.10000000000000002</v>
      </c>
      <c r="H117" s="460">
        <f t="shared" si="15"/>
        <v>0.21</v>
      </c>
      <c r="I117" s="733">
        <f t="shared" si="13"/>
        <v>6.4049999999999994</v>
      </c>
    </row>
    <row r="118" spans="1:11" ht="14.25" customHeight="1" outlineLevel="1">
      <c r="A118" s="732">
        <v>222</v>
      </c>
      <c r="B118" s="441" t="s">
        <v>480</v>
      </c>
      <c r="C118" s="439" t="s">
        <v>463</v>
      </c>
      <c r="D118" s="443">
        <v>15</v>
      </c>
      <c r="E118" s="438">
        <v>0.2</v>
      </c>
      <c r="F118" s="438">
        <v>0.7</v>
      </c>
      <c r="G118" s="438">
        <f t="shared" si="14"/>
        <v>0.10000000000000002</v>
      </c>
      <c r="H118" s="460">
        <f t="shared" si="15"/>
        <v>0.21</v>
      </c>
      <c r="I118" s="733">
        <f t="shared" si="13"/>
        <v>6.4049999999999994</v>
      </c>
    </row>
    <row r="119" spans="1:11" ht="14.25" customHeight="1" outlineLevel="1">
      <c r="A119" s="732">
        <v>324</v>
      </c>
      <c r="B119" s="450" t="s">
        <v>505</v>
      </c>
      <c r="C119" s="439" t="s">
        <v>463</v>
      </c>
      <c r="D119" s="443">
        <v>4</v>
      </c>
      <c r="E119" s="438">
        <v>0.2</v>
      </c>
      <c r="F119" s="438">
        <v>1</v>
      </c>
      <c r="G119" s="438">
        <v>0.2</v>
      </c>
      <c r="H119" s="460">
        <f t="shared" ref="H119:H123" si="16">D119*E119*F119*G119</f>
        <v>0.16000000000000003</v>
      </c>
      <c r="I119" s="733">
        <f t="shared" ref="I119:I123" si="17">H119*30.5</f>
        <v>4.8800000000000008</v>
      </c>
    </row>
    <row r="120" spans="1:11" ht="14.25" customHeight="1" outlineLevel="1">
      <c r="A120" s="732">
        <v>325</v>
      </c>
      <c r="B120" s="450" t="s">
        <v>506</v>
      </c>
      <c r="C120" s="439" t="s">
        <v>463</v>
      </c>
      <c r="D120" s="443">
        <v>4</v>
      </c>
      <c r="E120" s="438">
        <v>0.2</v>
      </c>
      <c r="F120" s="438">
        <v>1</v>
      </c>
      <c r="G120" s="438">
        <v>0.2</v>
      </c>
      <c r="H120" s="460">
        <f t="shared" si="16"/>
        <v>0.16000000000000003</v>
      </c>
      <c r="I120" s="733">
        <f t="shared" si="17"/>
        <v>4.8800000000000008</v>
      </c>
    </row>
    <row r="121" spans="1:11" ht="14.25" customHeight="1" outlineLevel="1">
      <c r="A121" s="732">
        <v>326</v>
      </c>
      <c r="B121" s="450" t="s">
        <v>507</v>
      </c>
      <c r="C121" s="439" t="s">
        <v>463</v>
      </c>
      <c r="D121" s="443">
        <v>4</v>
      </c>
      <c r="E121" s="438">
        <v>0.2</v>
      </c>
      <c r="F121" s="438">
        <v>1</v>
      </c>
      <c r="G121" s="438">
        <v>0.2</v>
      </c>
      <c r="H121" s="460">
        <f t="shared" si="16"/>
        <v>0.16000000000000003</v>
      </c>
      <c r="I121" s="733">
        <f t="shared" si="17"/>
        <v>4.8800000000000008</v>
      </c>
    </row>
    <row r="122" spans="1:11" ht="14.25" customHeight="1" outlineLevel="1">
      <c r="A122" s="732">
        <v>327</v>
      </c>
      <c r="B122" s="450" t="s">
        <v>508</v>
      </c>
      <c r="C122" s="439" t="s">
        <v>463</v>
      </c>
      <c r="D122" s="443">
        <v>4</v>
      </c>
      <c r="E122" s="438">
        <v>0.2</v>
      </c>
      <c r="F122" s="438">
        <v>1</v>
      </c>
      <c r="G122" s="438">
        <v>0.2</v>
      </c>
      <c r="H122" s="460">
        <f t="shared" si="16"/>
        <v>0.16000000000000003</v>
      </c>
      <c r="I122" s="733">
        <f t="shared" si="17"/>
        <v>4.8800000000000008</v>
      </c>
    </row>
    <row r="123" spans="1:11" ht="14.25" customHeight="1" outlineLevel="1">
      <c r="A123" s="732">
        <v>138</v>
      </c>
      <c r="B123" s="450" t="s">
        <v>471</v>
      </c>
      <c r="C123" s="439" t="s">
        <v>463</v>
      </c>
      <c r="D123" s="443">
        <v>7.5</v>
      </c>
      <c r="E123" s="438">
        <v>0.2</v>
      </c>
      <c r="F123" s="438">
        <v>1</v>
      </c>
      <c r="G123" s="438">
        <v>0.2</v>
      </c>
      <c r="H123" s="460">
        <f t="shared" si="16"/>
        <v>0.30000000000000004</v>
      </c>
      <c r="I123" s="733">
        <f t="shared" si="17"/>
        <v>9.1500000000000021</v>
      </c>
    </row>
    <row r="124" spans="1:11" ht="14.25" customHeight="1" outlineLevel="1">
      <c r="A124" s="732">
        <v>142</v>
      </c>
      <c r="B124" s="450" t="s">
        <v>477</v>
      </c>
      <c r="C124" s="451" t="s">
        <v>463</v>
      </c>
      <c r="D124" s="443">
        <v>5.5</v>
      </c>
      <c r="E124" s="438">
        <v>0.2</v>
      </c>
      <c r="F124" s="438">
        <v>1</v>
      </c>
      <c r="G124" s="438">
        <v>0.2</v>
      </c>
      <c r="H124" s="460">
        <f t="shared" ref="H124:H125" si="18">D124*E124*F124*G124</f>
        <v>0.22000000000000003</v>
      </c>
      <c r="I124" s="733">
        <f>H124*30.5</f>
        <v>6.7100000000000009</v>
      </c>
    </row>
    <row r="125" spans="1:11" ht="14.25" customHeight="1" outlineLevel="1">
      <c r="A125" s="732">
        <v>328</v>
      </c>
      <c r="B125" s="450" t="s">
        <v>509</v>
      </c>
      <c r="C125" s="439" t="s">
        <v>463</v>
      </c>
      <c r="D125" s="443">
        <v>4</v>
      </c>
      <c r="E125" s="438">
        <v>0.8</v>
      </c>
      <c r="F125" s="438">
        <v>0.8</v>
      </c>
      <c r="G125" s="438">
        <v>12</v>
      </c>
      <c r="H125" s="460">
        <f t="shared" si="18"/>
        <v>30.720000000000006</v>
      </c>
      <c r="I125" s="733">
        <f t="shared" ref="I125" si="19">H125*30.5</f>
        <v>936.96000000000015</v>
      </c>
    </row>
    <row r="126" spans="1:11" ht="14.25" customHeight="1">
      <c r="A126" s="732"/>
      <c r="B126" s="450"/>
      <c r="C126" s="439"/>
      <c r="D126" s="443"/>
      <c r="E126" s="438"/>
      <c r="F126" s="438"/>
      <c r="G126" s="438"/>
      <c r="H126" s="448"/>
      <c r="I126" s="733"/>
      <c r="K126" s="624">
        <f>K19/K5</f>
        <v>63.155502533049557</v>
      </c>
    </row>
    <row r="127" spans="1:11" s="435" customFormat="1" ht="14.25" customHeight="1">
      <c r="A127" s="736" t="s">
        <v>624</v>
      </c>
      <c r="B127" s="442"/>
      <c r="C127" s="446"/>
      <c r="D127" s="462">
        <f>SUM(D128:D137)</f>
        <v>50</v>
      </c>
      <c r="E127" s="462"/>
      <c r="F127" s="462"/>
      <c r="G127" s="462"/>
      <c r="H127" s="462">
        <f>SUM(H128:H137)</f>
        <v>3.125</v>
      </c>
      <c r="I127" s="737">
        <f>SUM(I128:I137)</f>
        <v>95.3125</v>
      </c>
      <c r="J127" s="436"/>
      <c r="K127" s="623">
        <f>K126/12</f>
        <v>5.2629585444207967</v>
      </c>
    </row>
    <row r="128" spans="1:11" ht="14.25" customHeight="1" outlineLevel="1">
      <c r="A128" s="732">
        <v>13</v>
      </c>
      <c r="B128" s="441" t="s">
        <v>524</v>
      </c>
      <c r="C128" s="627" t="s">
        <v>525</v>
      </c>
      <c r="D128" s="456">
        <v>5</v>
      </c>
      <c r="E128" s="438">
        <v>0.5</v>
      </c>
      <c r="F128" s="438">
        <v>0.5</v>
      </c>
      <c r="G128" s="438">
        <v>0.25</v>
      </c>
      <c r="H128" s="460">
        <f t="shared" ref="H128" si="20">D128*E128*F128*G128</f>
        <v>0.3125</v>
      </c>
      <c r="I128" s="733">
        <f t="shared" ref="I128:I137" si="21">H128*30.5</f>
        <v>9.53125</v>
      </c>
    </row>
    <row r="129" spans="1:10" ht="14.25" customHeight="1" outlineLevel="1">
      <c r="A129" s="732">
        <v>14</v>
      </c>
      <c r="B129" s="441" t="s">
        <v>524</v>
      </c>
      <c r="C129" s="627" t="s">
        <v>526</v>
      </c>
      <c r="D129" s="456">
        <v>5</v>
      </c>
      <c r="E129" s="438">
        <v>0.5</v>
      </c>
      <c r="F129" s="438">
        <v>0.5</v>
      </c>
      <c r="G129" s="438">
        <v>0.25</v>
      </c>
      <c r="H129" s="460">
        <f t="shared" ref="H129:H137" si="22">D129*E129*F129*G129</f>
        <v>0.3125</v>
      </c>
      <c r="I129" s="733">
        <f t="shared" si="21"/>
        <v>9.53125</v>
      </c>
    </row>
    <row r="130" spans="1:10" ht="14.25" customHeight="1" outlineLevel="1">
      <c r="A130" s="732">
        <v>15</v>
      </c>
      <c r="B130" s="441" t="s">
        <v>524</v>
      </c>
      <c r="C130" s="627" t="s">
        <v>527</v>
      </c>
      <c r="D130" s="456">
        <v>5</v>
      </c>
      <c r="E130" s="438">
        <v>0.5</v>
      </c>
      <c r="F130" s="438">
        <v>0.5</v>
      </c>
      <c r="G130" s="438">
        <v>0.25</v>
      </c>
      <c r="H130" s="460">
        <f t="shared" si="22"/>
        <v>0.3125</v>
      </c>
      <c r="I130" s="733">
        <f t="shared" si="21"/>
        <v>9.53125</v>
      </c>
    </row>
    <row r="131" spans="1:10" ht="14.25" customHeight="1" outlineLevel="1">
      <c r="A131" s="732">
        <v>16</v>
      </c>
      <c r="B131" s="441" t="s">
        <v>524</v>
      </c>
      <c r="C131" s="627" t="s">
        <v>528</v>
      </c>
      <c r="D131" s="456">
        <v>5</v>
      </c>
      <c r="E131" s="438">
        <v>0.5</v>
      </c>
      <c r="F131" s="438">
        <v>0.5</v>
      </c>
      <c r="G131" s="438">
        <v>0.25</v>
      </c>
      <c r="H131" s="460">
        <f t="shared" si="22"/>
        <v>0.3125</v>
      </c>
      <c r="I131" s="733">
        <f t="shared" si="21"/>
        <v>9.53125</v>
      </c>
    </row>
    <row r="132" spans="1:10" ht="14.25" customHeight="1" outlineLevel="1">
      <c r="A132" s="732">
        <v>17</v>
      </c>
      <c r="B132" s="441" t="s">
        <v>524</v>
      </c>
      <c r="C132" s="627" t="s">
        <v>529</v>
      </c>
      <c r="D132" s="456">
        <v>5</v>
      </c>
      <c r="E132" s="438">
        <v>0.5</v>
      </c>
      <c r="F132" s="438">
        <v>0.5</v>
      </c>
      <c r="G132" s="438">
        <v>0.25</v>
      </c>
      <c r="H132" s="460">
        <f t="shared" si="22"/>
        <v>0.3125</v>
      </c>
      <c r="I132" s="733">
        <f t="shared" si="21"/>
        <v>9.53125</v>
      </c>
    </row>
    <row r="133" spans="1:10" ht="14.25" customHeight="1" outlineLevel="1">
      <c r="A133" s="732">
        <v>18</v>
      </c>
      <c r="B133" s="441" t="s">
        <v>524</v>
      </c>
      <c r="C133" s="627" t="s">
        <v>530</v>
      </c>
      <c r="D133" s="456">
        <v>5</v>
      </c>
      <c r="E133" s="438">
        <v>0.5</v>
      </c>
      <c r="F133" s="438">
        <v>0.5</v>
      </c>
      <c r="G133" s="438">
        <v>0.25</v>
      </c>
      <c r="H133" s="460">
        <f t="shared" si="22"/>
        <v>0.3125</v>
      </c>
      <c r="I133" s="733">
        <f t="shared" si="21"/>
        <v>9.53125</v>
      </c>
    </row>
    <row r="134" spans="1:10" ht="14.25" customHeight="1" outlineLevel="1">
      <c r="A134" s="732">
        <v>19</v>
      </c>
      <c r="B134" s="441" t="s">
        <v>524</v>
      </c>
      <c r="C134" s="627" t="s">
        <v>531</v>
      </c>
      <c r="D134" s="456">
        <v>5</v>
      </c>
      <c r="E134" s="438">
        <v>0.5</v>
      </c>
      <c r="F134" s="438">
        <v>0.5</v>
      </c>
      <c r="G134" s="438">
        <v>0.25</v>
      </c>
      <c r="H134" s="460">
        <f t="shared" si="22"/>
        <v>0.3125</v>
      </c>
      <c r="I134" s="733">
        <f t="shared" si="21"/>
        <v>9.53125</v>
      </c>
    </row>
    <row r="135" spans="1:10" ht="14.25" customHeight="1" outlineLevel="1">
      <c r="A135" s="732">
        <v>20</v>
      </c>
      <c r="B135" s="441" t="s">
        <v>524</v>
      </c>
      <c r="C135" s="627" t="s">
        <v>532</v>
      </c>
      <c r="D135" s="456">
        <v>5</v>
      </c>
      <c r="E135" s="438">
        <v>0.5</v>
      </c>
      <c r="F135" s="438">
        <v>0.5</v>
      </c>
      <c r="G135" s="438">
        <v>0.25</v>
      </c>
      <c r="H135" s="460">
        <f t="shared" si="22"/>
        <v>0.3125</v>
      </c>
      <c r="I135" s="733">
        <f t="shared" si="21"/>
        <v>9.53125</v>
      </c>
    </row>
    <row r="136" spans="1:10" ht="14.25" customHeight="1" outlineLevel="1">
      <c r="A136" s="732">
        <v>21</v>
      </c>
      <c r="B136" s="441" t="s">
        <v>524</v>
      </c>
      <c r="C136" s="627" t="s">
        <v>533</v>
      </c>
      <c r="D136" s="456">
        <v>5</v>
      </c>
      <c r="E136" s="438">
        <v>0.5</v>
      </c>
      <c r="F136" s="438">
        <v>0.5</v>
      </c>
      <c r="G136" s="438">
        <v>0.25</v>
      </c>
      <c r="H136" s="460">
        <f t="shared" si="22"/>
        <v>0.3125</v>
      </c>
      <c r="I136" s="733">
        <f t="shared" si="21"/>
        <v>9.53125</v>
      </c>
    </row>
    <row r="137" spans="1:10" ht="14.25" customHeight="1" outlineLevel="1">
      <c r="A137" s="732">
        <v>22</v>
      </c>
      <c r="B137" s="441" t="s">
        <v>524</v>
      </c>
      <c r="C137" s="627" t="s">
        <v>534</v>
      </c>
      <c r="D137" s="456">
        <v>5</v>
      </c>
      <c r="E137" s="438">
        <v>0.5</v>
      </c>
      <c r="F137" s="438">
        <v>0.5</v>
      </c>
      <c r="G137" s="438">
        <v>0.25</v>
      </c>
      <c r="H137" s="460">
        <f t="shared" si="22"/>
        <v>0.3125</v>
      </c>
      <c r="I137" s="733">
        <f t="shared" si="21"/>
        <v>9.53125</v>
      </c>
    </row>
    <row r="138" spans="1:10" ht="14.25" customHeight="1">
      <c r="A138" s="732"/>
      <c r="B138" s="627"/>
      <c r="C138" s="627"/>
      <c r="D138" s="456"/>
      <c r="E138" s="438"/>
      <c r="F138" s="438"/>
      <c r="G138" s="438"/>
      <c r="H138" s="448"/>
      <c r="I138" s="733"/>
    </row>
    <row r="139" spans="1:10" s="435" customFormat="1" ht="14.25" customHeight="1">
      <c r="A139" s="736" t="s">
        <v>625</v>
      </c>
      <c r="B139" s="442"/>
      <c r="C139" s="446"/>
      <c r="D139" s="462">
        <f>SUM(D140:D146)</f>
        <v>239</v>
      </c>
      <c r="E139" s="462"/>
      <c r="F139" s="462"/>
      <c r="G139" s="462"/>
      <c r="H139" s="462">
        <f>SUM(H140:H146)</f>
        <v>1.2047619047619045</v>
      </c>
      <c r="I139" s="737">
        <f>SUM(I140:I146)</f>
        <v>36.745238095238101</v>
      </c>
      <c r="J139" s="436"/>
    </row>
    <row r="140" spans="1:10" ht="14.25" customHeight="1" outlineLevel="1">
      <c r="A140" s="732">
        <v>1</v>
      </c>
      <c r="B140" s="441" t="s">
        <v>15</v>
      </c>
      <c r="C140" s="627" t="s">
        <v>510</v>
      </c>
      <c r="D140" s="456">
        <v>75</v>
      </c>
      <c r="E140" s="438">
        <v>0.8</v>
      </c>
      <c r="F140" s="438">
        <v>1</v>
      </c>
      <c r="G140" s="463">
        <f>1/(24*7)</f>
        <v>5.9523809523809521E-3</v>
      </c>
      <c r="H140" s="460">
        <f t="shared" ref="H140" si="23">D140*E140*F140*G140</f>
        <v>0.3571428571428571</v>
      </c>
      <c r="I140" s="733">
        <f t="shared" ref="I140:I146" si="24">H140*30.5</f>
        <v>10.892857142857141</v>
      </c>
    </row>
    <row r="141" spans="1:10" ht="14.25" customHeight="1" outlineLevel="1">
      <c r="A141" s="732">
        <v>2</v>
      </c>
      <c r="B141" s="441" t="s">
        <v>15</v>
      </c>
      <c r="C141" s="627" t="s">
        <v>510</v>
      </c>
      <c r="D141" s="456">
        <v>75</v>
      </c>
      <c r="E141" s="438">
        <v>0.8</v>
      </c>
      <c r="F141" s="438">
        <v>1</v>
      </c>
      <c r="G141" s="463">
        <f>1/(24*7)</f>
        <v>5.9523809523809521E-3</v>
      </c>
      <c r="H141" s="460">
        <f t="shared" ref="H141:H146" si="25">D141*E141*F141*G141</f>
        <v>0.3571428571428571</v>
      </c>
      <c r="I141" s="733">
        <f t="shared" si="24"/>
        <v>10.892857142857141</v>
      </c>
    </row>
    <row r="142" spans="1:10" ht="14.25" customHeight="1" outlineLevel="1">
      <c r="A142" s="732">
        <v>3</v>
      </c>
      <c r="B142" s="441" t="s">
        <v>15</v>
      </c>
      <c r="C142" s="627" t="s">
        <v>510</v>
      </c>
      <c r="D142" s="456">
        <v>75</v>
      </c>
      <c r="E142" s="438">
        <v>0.8</v>
      </c>
      <c r="F142" s="438">
        <v>1</v>
      </c>
      <c r="G142" s="463">
        <f>1/(24*7)</f>
        <v>5.9523809523809521E-3</v>
      </c>
      <c r="H142" s="460">
        <f t="shared" si="25"/>
        <v>0.3571428571428571</v>
      </c>
      <c r="I142" s="733">
        <f t="shared" si="24"/>
        <v>10.892857142857141</v>
      </c>
    </row>
    <row r="143" spans="1:10" ht="14.25" customHeight="1" outlineLevel="1">
      <c r="A143" s="732">
        <v>4</v>
      </c>
      <c r="B143" s="441" t="s">
        <v>15</v>
      </c>
      <c r="C143" s="627" t="s">
        <v>510</v>
      </c>
      <c r="D143" s="456">
        <v>4</v>
      </c>
      <c r="E143" s="438">
        <v>0.8</v>
      </c>
      <c r="F143" s="438">
        <v>1</v>
      </c>
      <c r="G143" s="463">
        <f t="shared" ref="G143:G146" si="26">2/(24*7)</f>
        <v>1.1904761904761904E-2</v>
      </c>
      <c r="H143" s="460">
        <f t="shared" si="25"/>
        <v>3.8095238095238099E-2</v>
      </c>
      <c r="I143" s="733">
        <f t="shared" si="24"/>
        <v>1.161904761904762</v>
      </c>
    </row>
    <row r="144" spans="1:10" ht="14.25" customHeight="1" outlineLevel="1">
      <c r="A144" s="732">
        <v>5</v>
      </c>
      <c r="B144" s="441" t="s">
        <v>15</v>
      </c>
      <c r="C144" s="627" t="s">
        <v>510</v>
      </c>
      <c r="D144" s="456">
        <v>4</v>
      </c>
      <c r="E144" s="438">
        <v>0.8</v>
      </c>
      <c r="F144" s="438">
        <v>1</v>
      </c>
      <c r="G144" s="463">
        <f t="shared" si="26"/>
        <v>1.1904761904761904E-2</v>
      </c>
      <c r="H144" s="460">
        <f t="shared" si="25"/>
        <v>3.8095238095238099E-2</v>
      </c>
      <c r="I144" s="733">
        <f t="shared" si="24"/>
        <v>1.161904761904762</v>
      </c>
    </row>
    <row r="145" spans="1:11" ht="14.25" customHeight="1" outlineLevel="1">
      <c r="A145" s="732">
        <v>6</v>
      </c>
      <c r="B145" s="441" t="s">
        <v>15</v>
      </c>
      <c r="C145" s="627" t="s">
        <v>510</v>
      </c>
      <c r="D145" s="456">
        <v>3</v>
      </c>
      <c r="E145" s="438">
        <v>0.8</v>
      </c>
      <c r="F145" s="438">
        <v>1</v>
      </c>
      <c r="G145" s="463">
        <f t="shared" si="26"/>
        <v>1.1904761904761904E-2</v>
      </c>
      <c r="H145" s="460">
        <f t="shared" si="25"/>
        <v>2.8571428571428574E-2</v>
      </c>
      <c r="I145" s="733">
        <f t="shared" si="24"/>
        <v>0.87142857142857155</v>
      </c>
    </row>
    <row r="146" spans="1:11" ht="14.25" customHeight="1" outlineLevel="1">
      <c r="A146" s="732">
        <v>7</v>
      </c>
      <c r="B146" s="441" t="s">
        <v>433</v>
      </c>
      <c r="C146" s="627" t="s">
        <v>510</v>
      </c>
      <c r="D146" s="456">
        <v>3</v>
      </c>
      <c r="E146" s="438">
        <v>0.8</v>
      </c>
      <c r="F146" s="438">
        <v>1</v>
      </c>
      <c r="G146" s="463">
        <f t="shared" si="26"/>
        <v>1.1904761904761904E-2</v>
      </c>
      <c r="H146" s="460">
        <f t="shared" si="25"/>
        <v>2.8571428571428574E-2</v>
      </c>
      <c r="I146" s="733">
        <f t="shared" si="24"/>
        <v>0.87142857142857155</v>
      </c>
    </row>
    <row r="147" spans="1:11" ht="14.25" customHeight="1">
      <c r="A147" s="732"/>
      <c r="B147" s="627"/>
      <c r="C147" s="627"/>
      <c r="D147" s="456"/>
      <c r="E147" s="438"/>
      <c r="F147" s="438"/>
      <c r="G147" s="438"/>
      <c r="H147" s="448"/>
      <c r="I147" s="733"/>
    </row>
    <row r="148" spans="1:11" s="435" customFormat="1" ht="14.25" customHeight="1">
      <c r="A148" s="736" t="s">
        <v>626</v>
      </c>
      <c r="B148" s="442"/>
      <c r="C148" s="446"/>
      <c r="D148" s="462">
        <f>SUM(D149:D158)</f>
        <v>73</v>
      </c>
      <c r="E148" s="462"/>
      <c r="F148" s="462"/>
      <c r="G148" s="462"/>
      <c r="H148" s="462">
        <f>SUM(H149:H158)</f>
        <v>118.85999999999996</v>
      </c>
      <c r="I148" s="737">
        <f>SUM(I149:I158)</f>
        <v>3625.2299999999991</v>
      </c>
      <c r="J148" s="436"/>
    </row>
    <row r="149" spans="1:11" ht="14.25" customHeight="1" outlineLevel="1">
      <c r="A149" s="732">
        <v>1</v>
      </c>
      <c r="B149" s="441" t="s">
        <v>15</v>
      </c>
      <c r="C149" s="627" t="s">
        <v>511</v>
      </c>
      <c r="D149" s="456">
        <v>11</v>
      </c>
      <c r="E149" s="438">
        <v>0.25</v>
      </c>
      <c r="F149" s="438">
        <v>0.7</v>
      </c>
      <c r="G149" s="463">
        <v>6</v>
      </c>
      <c r="H149" s="460">
        <f t="shared" ref="H149:H158" si="27">D149*E149*F149*G149</f>
        <v>11.549999999999999</v>
      </c>
      <c r="I149" s="733">
        <f t="shared" ref="I149:I158" si="28">H149*30.5</f>
        <v>352.27499999999998</v>
      </c>
    </row>
    <row r="150" spans="1:11" ht="14.25" customHeight="1" outlineLevel="1">
      <c r="A150" s="732">
        <v>2</v>
      </c>
      <c r="B150" s="441" t="s">
        <v>15</v>
      </c>
      <c r="C150" s="627" t="s">
        <v>512</v>
      </c>
      <c r="D150" s="456">
        <v>11</v>
      </c>
      <c r="E150" s="438">
        <v>0.25</v>
      </c>
      <c r="F150" s="438">
        <v>0.7</v>
      </c>
      <c r="G150" s="463">
        <v>6</v>
      </c>
      <c r="H150" s="460">
        <f t="shared" si="27"/>
        <v>11.549999999999999</v>
      </c>
      <c r="I150" s="733">
        <f t="shared" si="28"/>
        <v>352.27499999999998</v>
      </c>
    </row>
    <row r="151" spans="1:11" ht="14.25" customHeight="1" outlineLevel="1">
      <c r="A151" s="732">
        <v>3</v>
      </c>
      <c r="B151" s="441" t="s">
        <v>15</v>
      </c>
      <c r="C151" s="627" t="s">
        <v>513</v>
      </c>
      <c r="D151" s="456">
        <v>11</v>
      </c>
      <c r="E151" s="438">
        <v>0.25</v>
      </c>
      <c r="F151" s="438">
        <v>0.7</v>
      </c>
      <c r="G151" s="463">
        <v>6</v>
      </c>
      <c r="H151" s="460">
        <f t="shared" si="27"/>
        <v>11.549999999999999</v>
      </c>
      <c r="I151" s="733">
        <f t="shared" si="28"/>
        <v>352.27499999999998</v>
      </c>
    </row>
    <row r="152" spans="1:11" ht="14.25" customHeight="1" outlineLevel="1">
      <c r="A152" s="732">
        <v>4</v>
      </c>
      <c r="B152" s="441" t="s">
        <v>15</v>
      </c>
      <c r="C152" s="627" t="s">
        <v>514</v>
      </c>
      <c r="D152" s="456">
        <v>11</v>
      </c>
      <c r="E152" s="438">
        <v>0.25</v>
      </c>
      <c r="F152" s="438">
        <v>0.7</v>
      </c>
      <c r="G152" s="463">
        <v>6</v>
      </c>
      <c r="H152" s="460">
        <f t="shared" si="27"/>
        <v>11.549999999999999</v>
      </c>
      <c r="I152" s="733">
        <f t="shared" si="28"/>
        <v>352.27499999999998</v>
      </c>
    </row>
    <row r="153" spans="1:11" ht="14.25" customHeight="1" outlineLevel="1">
      <c r="A153" s="732">
        <v>5</v>
      </c>
      <c r="B153" s="441" t="s">
        <v>15</v>
      </c>
      <c r="C153" s="627" t="s">
        <v>515</v>
      </c>
      <c r="D153" s="456">
        <v>7.5</v>
      </c>
      <c r="E153" s="438">
        <v>0.5</v>
      </c>
      <c r="F153" s="438">
        <v>0.7</v>
      </c>
      <c r="G153" s="463">
        <v>6</v>
      </c>
      <c r="H153" s="460">
        <f t="shared" si="27"/>
        <v>15.75</v>
      </c>
      <c r="I153" s="733">
        <f t="shared" si="28"/>
        <v>480.375</v>
      </c>
    </row>
    <row r="154" spans="1:11" ht="14.25" customHeight="1" outlineLevel="1">
      <c r="A154" s="732">
        <v>6</v>
      </c>
      <c r="B154" s="441" t="s">
        <v>15</v>
      </c>
      <c r="C154" s="627" t="s">
        <v>516</v>
      </c>
      <c r="D154" s="456">
        <v>7.5</v>
      </c>
      <c r="E154" s="438">
        <v>0.5</v>
      </c>
      <c r="F154" s="438">
        <v>0.7</v>
      </c>
      <c r="G154" s="463">
        <v>6</v>
      </c>
      <c r="H154" s="460">
        <f t="shared" si="27"/>
        <v>15.75</v>
      </c>
      <c r="I154" s="733">
        <f t="shared" si="28"/>
        <v>480.375</v>
      </c>
    </row>
    <row r="155" spans="1:11" s="452" customFormat="1" ht="14.25" customHeight="1" outlineLevel="1">
      <c r="A155" s="732">
        <v>14</v>
      </c>
      <c r="B155" s="627" t="s">
        <v>524</v>
      </c>
      <c r="C155" s="627" t="s">
        <v>541</v>
      </c>
      <c r="D155" s="456">
        <v>4</v>
      </c>
      <c r="E155" s="438">
        <v>0.7</v>
      </c>
      <c r="F155" s="438">
        <v>0.7</v>
      </c>
      <c r="G155" s="463">
        <v>6</v>
      </c>
      <c r="H155" s="460">
        <f t="shared" si="27"/>
        <v>11.759999999999998</v>
      </c>
      <c r="I155" s="733">
        <f t="shared" si="28"/>
        <v>358.67999999999995</v>
      </c>
      <c r="J155" s="467"/>
    </row>
    <row r="156" spans="1:11" ht="14.25" customHeight="1" outlineLevel="1">
      <c r="A156" s="732">
        <v>15</v>
      </c>
      <c r="B156" s="627" t="s">
        <v>524</v>
      </c>
      <c r="C156" s="627" t="s">
        <v>541</v>
      </c>
      <c r="D156" s="456">
        <v>4</v>
      </c>
      <c r="E156" s="438">
        <v>0.7</v>
      </c>
      <c r="F156" s="438">
        <v>0.7</v>
      </c>
      <c r="G156" s="463">
        <v>6</v>
      </c>
      <c r="H156" s="460">
        <f t="shared" si="27"/>
        <v>11.759999999999998</v>
      </c>
      <c r="I156" s="733">
        <f t="shared" si="28"/>
        <v>358.67999999999995</v>
      </c>
    </row>
    <row r="157" spans="1:11" ht="14.25" customHeight="1" outlineLevel="1">
      <c r="A157" s="732">
        <v>7</v>
      </c>
      <c r="B157" s="441" t="s">
        <v>15</v>
      </c>
      <c r="C157" s="627" t="s">
        <v>517</v>
      </c>
      <c r="D157" s="456">
        <v>3</v>
      </c>
      <c r="E157" s="438">
        <v>0.7</v>
      </c>
      <c r="F157" s="438">
        <v>0.7</v>
      </c>
      <c r="G157" s="463">
        <v>6</v>
      </c>
      <c r="H157" s="460">
        <f t="shared" si="27"/>
        <v>8.8199999999999985</v>
      </c>
      <c r="I157" s="733">
        <f t="shared" si="28"/>
        <v>269.00999999999993</v>
      </c>
    </row>
    <row r="158" spans="1:11" ht="14.25" customHeight="1" outlineLevel="1">
      <c r="A158" s="732">
        <v>8</v>
      </c>
      <c r="B158" s="441" t="s">
        <v>15</v>
      </c>
      <c r="C158" s="627" t="s">
        <v>518</v>
      </c>
      <c r="D158" s="456">
        <v>3</v>
      </c>
      <c r="E158" s="438">
        <v>0.7</v>
      </c>
      <c r="F158" s="438">
        <v>0.7</v>
      </c>
      <c r="G158" s="463">
        <v>6</v>
      </c>
      <c r="H158" s="460">
        <f t="shared" si="27"/>
        <v>8.8199999999999985</v>
      </c>
      <c r="I158" s="733">
        <f t="shared" si="28"/>
        <v>269.00999999999993</v>
      </c>
    </row>
    <row r="159" spans="1:11" ht="14.25" customHeight="1">
      <c r="A159" s="732"/>
      <c r="B159" s="441"/>
      <c r="C159" s="450"/>
      <c r="D159" s="443"/>
      <c r="E159" s="438"/>
      <c r="F159" s="438"/>
      <c r="G159" s="438"/>
      <c r="H159" s="448"/>
      <c r="I159" s="733"/>
      <c r="K159" s="434">
        <f>2000000/60</f>
        <v>33333.333333333336</v>
      </c>
    </row>
    <row r="160" spans="1:11" s="435" customFormat="1" ht="14.25" customHeight="1">
      <c r="A160" s="736" t="s">
        <v>623</v>
      </c>
      <c r="B160" s="442"/>
      <c r="C160" s="446"/>
      <c r="D160" s="462">
        <f>SUM(D161:D168)</f>
        <v>16</v>
      </c>
      <c r="E160" s="462"/>
      <c r="F160" s="462"/>
      <c r="G160" s="462"/>
      <c r="H160" s="462">
        <f>SUM(H161:H168)</f>
        <v>2</v>
      </c>
      <c r="I160" s="737">
        <f>SUM(I161:I168)</f>
        <v>61</v>
      </c>
      <c r="J160" s="436"/>
      <c r="K160" s="623">
        <f>K159/'CAM Variables'!J3</f>
        <v>7.0174051220928638E-2</v>
      </c>
    </row>
    <row r="161" spans="1:10" ht="14.25" customHeight="1" outlineLevel="1">
      <c r="A161" s="732">
        <v>1</v>
      </c>
      <c r="B161" s="627" t="s">
        <v>564</v>
      </c>
      <c r="C161" s="441" t="s">
        <v>571</v>
      </c>
      <c r="D161" s="456">
        <v>2</v>
      </c>
      <c r="E161" s="438">
        <v>0.5</v>
      </c>
      <c r="F161" s="438">
        <v>0.25</v>
      </c>
      <c r="G161" s="463">
        <v>1</v>
      </c>
      <c r="H161" s="460">
        <f t="shared" ref="H161" si="29">D161*E161*F161*G161</f>
        <v>0.25</v>
      </c>
      <c r="I161" s="733">
        <f t="shared" ref="I161:I168" si="30">H161*30.5</f>
        <v>7.625</v>
      </c>
    </row>
    <row r="162" spans="1:10" ht="14.25" customHeight="1" outlineLevel="1">
      <c r="A162" s="732">
        <v>2</v>
      </c>
      <c r="B162" s="627" t="s">
        <v>565</v>
      </c>
      <c r="C162" s="441" t="s">
        <v>571</v>
      </c>
      <c r="D162" s="456">
        <v>2</v>
      </c>
      <c r="E162" s="438">
        <v>0.5</v>
      </c>
      <c r="F162" s="438">
        <v>0.25</v>
      </c>
      <c r="G162" s="463">
        <v>1</v>
      </c>
      <c r="H162" s="460">
        <f t="shared" ref="H162:H168" si="31">D162*E162*F162*G162</f>
        <v>0.25</v>
      </c>
      <c r="I162" s="733">
        <f t="shared" si="30"/>
        <v>7.625</v>
      </c>
    </row>
    <row r="163" spans="1:10" ht="14.25" customHeight="1" outlineLevel="1">
      <c r="A163" s="732">
        <v>3</v>
      </c>
      <c r="B163" s="627" t="s">
        <v>566</v>
      </c>
      <c r="C163" s="441" t="s">
        <v>571</v>
      </c>
      <c r="D163" s="456">
        <v>2</v>
      </c>
      <c r="E163" s="438">
        <v>0.5</v>
      </c>
      <c r="F163" s="438">
        <v>0.25</v>
      </c>
      <c r="G163" s="463">
        <v>1</v>
      </c>
      <c r="H163" s="460">
        <f t="shared" si="31"/>
        <v>0.25</v>
      </c>
      <c r="I163" s="733">
        <f t="shared" si="30"/>
        <v>7.625</v>
      </c>
    </row>
    <row r="164" spans="1:10" ht="14.25" customHeight="1" outlineLevel="1">
      <c r="A164" s="732">
        <v>4</v>
      </c>
      <c r="B164" s="627" t="s">
        <v>417</v>
      </c>
      <c r="C164" s="441" t="s">
        <v>571</v>
      </c>
      <c r="D164" s="456">
        <v>2</v>
      </c>
      <c r="E164" s="438">
        <v>0.5</v>
      </c>
      <c r="F164" s="438">
        <v>0.25</v>
      </c>
      <c r="G164" s="463">
        <v>1</v>
      </c>
      <c r="H164" s="460">
        <f t="shared" si="31"/>
        <v>0.25</v>
      </c>
      <c r="I164" s="733">
        <f t="shared" si="30"/>
        <v>7.625</v>
      </c>
    </row>
    <row r="165" spans="1:10" ht="14.25" customHeight="1" outlineLevel="1">
      <c r="A165" s="732">
        <v>5</v>
      </c>
      <c r="B165" s="627" t="s">
        <v>567</v>
      </c>
      <c r="C165" s="441" t="s">
        <v>571</v>
      </c>
      <c r="D165" s="456">
        <v>2</v>
      </c>
      <c r="E165" s="438">
        <v>0.5</v>
      </c>
      <c r="F165" s="438">
        <v>0.25</v>
      </c>
      <c r="G165" s="463">
        <v>1</v>
      </c>
      <c r="H165" s="460">
        <f t="shared" si="31"/>
        <v>0.25</v>
      </c>
      <c r="I165" s="733">
        <f t="shared" si="30"/>
        <v>7.625</v>
      </c>
    </row>
    <row r="166" spans="1:10" ht="14.25" customHeight="1" outlineLevel="1">
      <c r="A166" s="732">
        <v>6</v>
      </c>
      <c r="B166" s="627" t="s">
        <v>572</v>
      </c>
      <c r="C166" s="441" t="s">
        <v>571</v>
      </c>
      <c r="D166" s="456">
        <v>2</v>
      </c>
      <c r="E166" s="438">
        <v>0.5</v>
      </c>
      <c r="F166" s="438">
        <v>0.25</v>
      </c>
      <c r="G166" s="463">
        <v>1</v>
      </c>
      <c r="H166" s="460">
        <f t="shared" si="31"/>
        <v>0.25</v>
      </c>
      <c r="I166" s="733">
        <f t="shared" si="30"/>
        <v>7.625</v>
      </c>
    </row>
    <row r="167" spans="1:10" ht="14.25" customHeight="1" outlineLevel="1">
      <c r="A167" s="732">
        <v>7</v>
      </c>
      <c r="B167" s="627" t="s">
        <v>573</v>
      </c>
      <c r="C167" s="441" t="s">
        <v>571</v>
      </c>
      <c r="D167" s="456">
        <v>2</v>
      </c>
      <c r="E167" s="438">
        <v>0.5</v>
      </c>
      <c r="F167" s="438">
        <v>0.25</v>
      </c>
      <c r="G167" s="463">
        <v>1</v>
      </c>
      <c r="H167" s="460">
        <f t="shared" si="31"/>
        <v>0.25</v>
      </c>
      <c r="I167" s="733">
        <f t="shared" si="30"/>
        <v>7.625</v>
      </c>
    </row>
    <row r="168" spans="1:10" ht="14.25" customHeight="1" outlineLevel="1">
      <c r="A168" s="732">
        <v>8</v>
      </c>
      <c r="B168" s="627" t="s">
        <v>574</v>
      </c>
      <c r="C168" s="441" t="s">
        <v>571</v>
      </c>
      <c r="D168" s="456">
        <v>2</v>
      </c>
      <c r="E168" s="438">
        <v>0.5</v>
      </c>
      <c r="F168" s="438">
        <v>0.25</v>
      </c>
      <c r="G168" s="463">
        <v>1</v>
      </c>
      <c r="H168" s="460">
        <f t="shared" si="31"/>
        <v>0.25</v>
      </c>
      <c r="I168" s="733">
        <f t="shared" si="30"/>
        <v>7.625</v>
      </c>
    </row>
    <row r="169" spans="1:10" ht="14.25" customHeight="1">
      <c r="A169" s="732"/>
      <c r="B169" s="441"/>
      <c r="C169" s="627"/>
      <c r="D169" s="456"/>
      <c r="E169" s="438"/>
      <c r="F169" s="438"/>
      <c r="G169" s="438"/>
      <c r="H169" s="448"/>
      <c r="I169" s="733"/>
    </row>
    <row r="170" spans="1:10" s="435" customFormat="1" ht="14.25" customHeight="1">
      <c r="A170" s="736" t="s">
        <v>622</v>
      </c>
      <c r="B170" s="442"/>
      <c r="C170" s="446"/>
      <c r="D170" s="462">
        <f>SUM(D171:D188)</f>
        <v>71.110000000000014</v>
      </c>
      <c r="E170" s="462"/>
      <c r="F170" s="462"/>
      <c r="G170" s="462"/>
      <c r="H170" s="462">
        <f>SUM(H171:H188)</f>
        <v>136.67850000000001</v>
      </c>
      <c r="I170" s="737">
        <f>SUM(I171:I188)</f>
        <v>4168.6942499999986</v>
      </c>
      <c r="J170" s="436"/>
    </row>
    <row r="171" spans="1:10" ht="14.25" customHeight="1" outlineLevel="1">
      <c r="A171" s="732">
        <v>1</v>
      </c>
      <c r="B171" s="627" t="s">
        <v>524</v>
      </c>
      <c r="C171" s="627" t="s">
        <v>535</v>
      </c>
      <c r="D171" s="456">
        <v>1.5</v>
      </c>
      <c r="E171" s="438">
        <v>0.5</v>
      </c>
      <c r="F171" s="438">
        <v>0.7</v>
      </c>
      <c r="G171" s="463">
        <v>6</v>
      </c>
      <c r="H171" s="460">
        <f t="shared" ref="H171:H188" si="32">D171*E171*F171*G171</f>
        <v>3.1499999999999995</v>
      </c>
      <c r="I171" s="733">
        <f t="shared" ref="I171:I188" si="33">H171*30.5</f>
        <v>96.074999999999989</v>
      </c>
    </row>
    <row r="172" spans="1:10" ht="14.25" customHeight="1" outlineLevel="1">
      <c r="A172" s="732">
        <v>2</v>
      </c>
      <c r="B172" s="627" t="s">
        <v>524</v>
      </c>
      <c r="C172" s="627" t="s">
        <v>535</v>
      </c>
      <c r="D172" s="456">
        <v>1.5</v>
      </c>
      <c r="E172" s="438">
        <v>0.5</v>
      </c>
      <c r="F172" s="438">
        <v>0.7</v>
      </c>
      <c r="G172" s="463">
        <v>6</v>
      </c>
      <c r="H172" s="460">
        <f t="shared" si="32"/>
        <v>3.1499999999999995</v>
      </c>
      <c r="I172" s="733">
        <f t="shared" si="33"/>
        <v>96.074999999999989</v>
      </c>
    </row>
    <row r="173" spans="1:10" ht="14.25" customHeight="1" outlineLevel="1">
      <c r="A173" s="732">
        <v>3</v>
      </c>
      <c r="B173" s="627" t="s">
        <v>524</v>
      </c>
      <c r="C173" s="627" t="s">
        <v>538</v>
      </c>
      <c r="D173" s="456">
        <v>0.75</v>
      </c>
      <c r="E173" s="438">
        <v>0.5</v>
      </c>
      <c r="F173" s="438">
        <v>0.7</v>
      </c>
      <c r="G173" s="463">
        <v>6</v>
      </c>
      <c r="H173" s="460">
        <f t="shared" si="32"/>
        <v>1.5749999999999997</v>
      </c>
      <c r="I173" s="733">
        <f t="shared" si="33"/>
        <v>48.037499999999994</v>
      </c>
    </row>
    <row r="174" spans="1:10" ht="14.25" customHeight="1" outlineLevel="1">
      <c r="A174" s="732">
        <v>4</v>
      </c>
      <c r="B174" s="627" t="s">
        <v>524</v>
      </c>
      <c r="C174" s="627" t="s">
        <v>538</v>
      </c>
      <c r="D174" s="456">
        <v>0.75</v>
      </c>
      <c r="E174" s="438">
        <v>0.5</v>
      </c>
      <c r="F174" s="438">
        <v>0.7</v>
      </c>
      <c r="G174" s="463">
        <v>6</v>
      </c>
      <c r="H174" s="460">
        <f t="shared" si="32"/>
        <v>1.5749999999999997</v>
      </c>
      <c r="I174" s="733">
        <f t="shared" si="33"/>
        <v>48.037499999999994</v>
      </c>
    </row>
    <row r="175" spans="1:10" ht="14.25" customHeight="1" outlineLevel="1">
      <c r="A175" s="732">
        <v>5</v>
      </c>
      <c r="B175" s="627" t="s">
        <v>524</v>
      </c>
      <c r="C175" s="627" t="s">
        <v>536</v>
      </c>
      <c r="D175" s="456">
        <v>5.5</v>
      </c>
      <c r="E175" s="438">
        <v>0.5</v>
      </c>
      <c r="F175" s="438">
        <v>0.7</v>
      </c>
      <c r="G175" s="463">
        <v>6</v>
      </c>
      <c r="H175" s="460">
        <f t="shared" si="32"/>
        <v>11.549999999999999</v>
      </c>
      <c r="I175" s="733">
        <f t="shared" si="33"/>
        <v>352.27499999999998</v>
      </c>
    </row>
    <row r="176" spans="1:10" ht="14.25" customHeight="1" outlineLevel="1">
      <c r="A176" s="732">
        <v>6</v>
      </c>
      <c r="B176" s="627" t="s">
        <v>524</v>
      </c>
      <c r="C176" s="627" t="s">
        <v>536</v>
      </c>
      <c r="D176" s="456">
        <v>5.5</v>
      </c>
      <c r="E176" s="438">
        <v>0.5</v>
      </c>
      <c r="F176" s="438">
        <v>0.7</v>
      </c>
      <c r="G176" s="463">
        <v>6</v>
      </c>
      <c r="H176" s="460">
        <f t="shared" si="32"/>
        <v>11.549999999999999</v>
      </c>
      <c r="I176" s="733">
        <f t="shared" si="33"/>
        <v>352.27499999999998</v>
      </c>
    </row>
    <row r="177" spans="1:10" ht="14.25" customHeight="1" outlineLevel="1">
      <c r="A177" s="732">
        <v>7</v>
      </c>
      <c r="B177" s="441" t="s">
        <v>519</v>
      </c>
      <c r="C177" s="627" t="s">
        <v>520</v>
      </c>
      <c r="D177" s="456">
        <v>7.5</v>
      </c>
      <c r="E177" s="438">
        <v>0.25</v>
      </c>
      <c r="F177" s="438">
        <v>0.7</v>
      </c>
      <c r="G177" s="463">
        <v>6</v>
      </c>
      <c r="H177" s="460">
        <f t="shared" si="32"/>
        <v>7.875</v>
      </c>
      <c r="I177" s="733">
        <f t="shared" si="33"/>
        <v>240.1875</v>
      </c>
    </row>
    <row r="178" spans="1:10" ht="14.25" customHeight="1" outlineLevel="1">
      <c r="A178" s="732">
        <v>8</v>
      </c>
      <c r="B178" s="441" t="s">
        <v>519</v>
      </c>
      <c r="C178" s="627" t="s">
        <v>521</v>
      </c>
      <c r="D178" s="456">
        <v>7.5</v>
      </c>
      <c r="E178" s="438">
        <v>0.25</v>
      </c>
      <c r="F178" s="438">
        <v>0.7</v>
      </c>
      <c r="G178" s="463">
        <v>6</v>
      </c>
      <c r="H178" s="460">
        <f t="shared" si="32"/>
        <v>7.875</v>
      </c>
      <c r="I178" s="733">
        <f t="shared" si="33"/>
        <v>240.1875</v>
      </c>
    </row>
    <row r="179" spans="1:10" ht="14.25" customHeight="1" outlineLevel="1">
      <c r="A179" s="732">
        <v>9</v>
      </c>
      <c r="B179" s="441" t="s">
        <v>519</v>
      </c>
      <c r="C179" s="627" t="s">
        <v>522</v>
      </c>
      <c r="D179" s="456">
        <v>7.5</v>
      </c>
      <c r="E179" s="438">
        <v>0.25</v>
      </c>
      <c r="F179" s="438">
        <v>0.7</v>
      </c>
      <c r="G179" s="463">
        <v>6</v>
      </c>
      <c r="H179" s="460">
        <f t="shared" si="32"/>
        <v>7.875</v>
      </c>
      <c r="I179" s="733">
        <f t="shared" si="33"/>
        <v>240.1875</v>
      </c>
    </row>
    <row r="180" spans="1:10" ht="14.25" customHeight="1" outlineLevel="1">
      <c r="A180" s="732">
        <v>10</v>
      </c>
      <c r="B180" s="441" t="s">
        <v>519</v>
      </c>
      <c r="C180" s="627" t="s">
        <v>523</v>
      </c>
      <c r="D180" s="456">
        <v>7.5</v>
      </c>
      <c r="E180" s="438">
        <v>0.25</v>
      </c>
      <c r="F180" s="438">
        <v>0.7</v>
      </c>
      <c r="G180" s="463">
        <v>6</v>
      </c>
      <c r="H180" s="460">
        <f t="shared" si="32"/>
        <v>7.875</v>
      </c>
      <c r="I180" s="733">
        <f t="shared" si="33"/>
        <v>240.1875</v>
      </c>
    </row>
    <row r="181" spans="1:10" ht="14.25" customHeight="1" outlineLevel="1">
      <c r="A181" s="732">
        <v>11</v>
      </c>
      <c r="B181" s="627" t="s">
        <v>524</v>
      </c>
      <c r="C181" s="627" t="s">
        <v>537</v>
      </c>
      <c r="D181" s="456">
        <v>4</v>
      </c>
      <c r="E181" s="438">
        <v>0.5</v>
      </c>
      <c r="F181" s="438">
        <v>0.7</v>
      </c>
      <c r="G181" s="463">
        <v>6</v>
      </c>
      <c r="H181" s="460">
        <f t="shared" si="32"/>
        <v>8.3999999999999986</v>
      </c>
      <c r="I181" s="733">
        <f t="shared" si="33"/>
        <v>256.19999999999993</v>
      </c>
    </row>
    <row r="182" spans="1:10" ht="14.25" customHeight="1" outlineLevel="1">
      <c r="A182" s="732">
        <v>12</v>
      </c>
      <c r="B182" s="627" t="s">
        <v>524</v>
      </c>
      <c r="C182" s="627" t="s">
        <v>537</v>
      </c>
      <c r="D182" s="456">
        <v>4</v>
      </c>
      <c r="E182" s="438">
        <v>0.5</v>
      </c>
      <c r="F182" s="438">
        <v>0.7</v>
      </c>
      <c r="G182" s="463">
        <v>6</v>
      </c>
      <c r="H182" s="460">
        <f t="shared" si="32"/>
        <v>8.3999999999999986</v>
      </c>
      <c r="I182" s="733">
        <f t="shared" si="33"/>
        <v>256.19999999999993</v>
      </c>
    </row>
    <row r="183" spans="1:10" ht="14.25" customHeight="1" outlineLevel="1">
      <c r="A183" s="732">
        <v>13</v>
      </c>
      <c r="B183" s="627" t="s">
        <v>524</v>
      </c>
      <c r="C183" s="627" t="s">
        <v>540</v>
      </c>
      <c r="D183" s="456">
        <v>5.5</v>
      </c>
      <c r="E183" s="438">
        <v>0.4</v>
      </c>
      <c r="F183" s="438">
        <v>0.7</v>
      </c>
      <c r="G183" s="463">
        <v>12</v>
      </c>
      <c r="H183" s="460">
        <f t="shared" si="32"/>
        <v>18.48</v>
      </c>
      <c r="I183" s="733">
        <f t="shared" si="33"/>
        <v>563.64</v>
      </c>
    </row>
    <row r="184" spans="1:10" ht="14.25" customHeight="1" outlineLevel="1">
      <c r="A184" s="732">
        <v>14</v>
      </c>
      <c r="B184" s="627" t="s">
        <v>524</v>
      </c>
      <c r="C184" s="627" t="s">
        <v>540</v>
      </c>
      <c r="D184" s="456">
        <v>5.5</v>
      </c>
      <c r="E184" s="438">
        <v>0.4</v>
      </c>
      <c r="F184" s="438">
        <v>0.7</v>
      </c>
      <c r="G184" s="463">
        <v>12</v>
      </c>
      <c r="H184" s="460">
        <f t="shared" si="32"/>
        <v>18.48</v>
      </c>
      <c r="I184" s="733">
        <f t="shared" si="33"/>
        <v>563.64</v>
      </c>
    </row>
    <row r="185" spans="1:10" ht="14.25" customHeight="1" outlineLevel="1">
      <c r="A185" s="732">
        <v>15</v>
      </c>
      <c r="B185" s="627" t="s">
        <v>524</v>
      </c>
      <c r="C185" s="627" t="s">
        <v>540</v>
      </c>
      <c r="D185" s="456">
        <v>5.5</v>
      </c>
      <c r="E185" s="438">
        <v>0.4</v>
      </c>
      <c r="F185" s="438">
        <v>0.7</v>
      </c>
      <c r="G185" s="463">
        <v>12</v>
      </c>
      <c r="H185" s="460">
        <f t="shared" si="32"/>
        <v>18.48</v>
      </c>
      <c r="I185" s="733">
        <f t="shared" si="33"/>
        <v>563.64</v>
      </c>
    </row>
    <row r="186" spans="1:10" ht="14.25" customHeight="1" outlineLevel="1">
      <c r="A186" s="732">
        <v>16</v>
      </c>
      <c r="B186" s="627" t="s">
        <v>524</v>
      </c>
      <c r="C186" s="627" t="s">
        <v>539</v>
      </c>
      <c r="D186" s="456">
        <v>0.37</v>
      </c>
      <c r="E186" s="438">
        <v>0.5</v>
      </c>
      <c r="F186" s="438">
        <v>0.7</v>
      </c>
      <c r="G186" s="463">
        <v>1</v>
      </c>
      <c r="H186" s="460">
        <f t="shared" si="32"/>
        <v>0.1295</v>
      </c>
      <c r="I186" s="733">
        <f t="shared" si="33"/>
        <v>3.9497500000000003</v>
      </c>
    </row>
    <row r="187" spans="1:10" ht="14.25" customHeight="1" outlineLevel="1">
      <c r="A187" s="732">
        <v>17</v>
      </c>
      <c r="B187" s="627" t="s">
        <v>524</v>
      </c>
      <c r="C187" s="627" t="s">
        <v>539</v>
      </c>
      <c r="D187" s="456">
        <v>0.37</v>
      </c>
      <c r="E187" s="438">
        <v>0.5</v>
      </c>
      <c r="F187" s="438">
        <v>0.7</v>
      </c>
      <c r="G187" s="463">
        <v>1</v>
      </c>
      <c r="H187" s="460">
        <f t="shared" si="32"/>
        <v>0.1295</v>
      </c>
      <c r="I187" s="733">
        <f t="shared" si="33"/>
        <v>3.9497500000000003</v>
      </c>
    </row>
    <row r="188" spans="1:10" ht="14.25" customHeight="1" outlineLevel="1">
      <c r="A188" s="732">
        <v>18</v>
      </c>
      <c r="B188" s="627" t="s">
        <v>524</v>
      </c>
      <c r="C188" s="627" t="s">
        <v>542</v>
      </c>
      <c r="D188" s="456">
        <v>0.37</v>
      </c>
      <c r="E188" s="438">
        <v>0.5</v>
      </c>
      <c r="F188" s="438">
        <v>0.7</v>
      </c>
      <c r="G188" s="463">
        <v>1</v>
      </c>
      <c r="H188" s="460">
        <f t="shared" si="32"/>
        <v>0.1295</v>
      </c>
      <c r="I188" s="733">
        <f t="shared" si="33"/>
        <v>3.9497500000000003</v>
      </c>
    </row>
    <row r="189" spans="1:10" ht="14.25" customHeight="1">
      <c r="A189" s="732"/>
      <c r="B189" s="627"/>
      <c r="C189" s="627"/>
      <c r="D189" s="456"/>
      <c r="E189" s="438"/>
      <c r="F189" s="438"/>
      <c r="G189" s="438"/>
      <c r="H189" s="448"/>
      <c r="I189" s="733"/>
    </row>
    <row r="190" spans="1:10" ht="14.25" customHeight="1">
      <c r="A190" s="742" t="s">
        <v>629</v>
      </c>
      <c r="B190" s="464"/>
      <c r="C190" s="464"/>
      <c r="D190" s="466">
        <f>SUM(D5,D19,D127,D139,D148,D160,D170)</f>
        <v>1576.0899999999983</v>
      </c>
      <c r="E190" s="465"/>
      <c r="F190" s="465"/>
      <c r="G190" s="465"/>
      <c r="H190" s="466">
        <f>SUM(H5,H19,H127,H139,H148,H160,H170)</f>
        <v>647.62192190476196</v>
      </c>
      <c r="I190" s="743">
        <f>SUM(I5,I19,I127,I139,I148,I160,I170)</f>
        <v>19752.468618095256</v>
      </c>
      <c r="J190" s="436">
        <f>I190*'HVAC-Mall'!$C$14</f>
        <v>157501.24664353704</v>
      </c>
    </row>
    <row r="191" spans="1:10" ht="14.25" customHeight="1">
      <c r="A191" s="732"/>
      <c r="B191" s="627"/>
      <c r="C191" s="627"/>
      <c r="D191" s="456"/>
      <c r="E191" s="438"/>
      <c r="F191" s="438"/>
      <c r="G191" s="438"/>
      <c r="H191" s="448"/>
      <c r="I191" s="733"/>
    </row>
    <row r="192" spans="1:10" ht="14.25" customHeight="1">
      <c r="A192" s="734" t="s">
        <v>358</v>
      </c>
      <c r="B192" s="718"/>
      <c r="C192" s="718"/>
      <c r="D192" s="718"/>
      <c r="E192" s="718"/>
      <c r="F192" s="718"/>
      <c r="G192" s="718"/>
      <c r="H192" s="718"/>
      <c r="I192" s="735"/>
      <c r="J192" s="718"/>
    </row>
    <row r="193" spans="1:12" ht="14.25" customHeight="1">
      <c r="A193" s="732"/>
      <c r="B193" s="627"/>
      <c r="C193" s="627"/>
      <c r="D193" s="456"/>
      <c r="E193" s="438"/>
      <c r="F193" s="438"/>
      <c r="G193" s="438"/>
      <c r="H193" s="448"/>
      <c r="I193" s="733"/>
    </row>
    <row r="194" spans="1:12" s="435" customFormat="1" ht="14.25" customHeight="1">
      <c r="A194" s="736" t="s">
        <v>620</v>
      </c>
      <c r="B194" s="442"/>
      <c r="C194" s="461"/>
      <c r="D194" s="462">
        <f>SUM(D195:D207)</f>
        <v>21.425799999999999</v>
      </c>
      <c r="E194" s="462"/>
      <c r="F194" s="462"/>
      <c r="G194" s="462"/>
      <c r="H194" s="462">
        <f t="shared" ref="H194:I194" si="34">SUM(H195:H207)</f>
        <v>130.71302399999999</v>
      </c>
      <c r="I194" s="737">
        <f t="shared" si="34"/>
        <v>3986.7472320000002</v>
      </c>
      <c r="J194" s="436"/>
      <c r="K194" s="623">
        <f>I194*'HVAC-Mall'!$C$14</f>
        <v>31789.325741160003</v>
      </c>
      <c r="L194" s="436">
        <f>K194*12</f>
        <v>381471.90889392002</v>
      </c>
    </row>
    <row r="195" spans="1:12" ht="14.25" customHeight="1" outlineLevel="1">
      <c r="A195" s="739">
        <v>1</v>
      </c>
      <c r="B195" s="719" t="s">
        <v>660</v>
      </c>
      <c r="C195" s="627" t="s">
        <v>661</v>
      </c>
      <c r="D195" s="456">
        <v>1.08</v>
      </c>
      <c r="E195" s="438">
        <v>0.8</v>
      </c>
      <c r="F195" s="438">
        <v>0.8</v>
      </c>
      <c r="G195" s="438">
        <v>12</v>
      </c>
      <c r="H195" s="460">
        <f t="shared" ref="H195:H207" si="35">D195*E195*F195*G195</f>
        <v>8.2944000000000013</v>
      </c>
      <c r="I195" s="733">
        <f t="shared" ref="I195:I207" si="36">H195*30.5</f>
        <v>252.97920000000005</v>
      </c>
    </row>
    <row r="196" spans="1:12" ht="14.25" customHeight="1" outlineLevel="1">
      <c r="A196" s="740"/>
      <c r="B196" s="720"/>
      <c r="C196" s="627" t="s">
        <v>662</v>
      </c>
      <c r="D196" s="456">
        <v>2.0275199999999995</v>
      </c>
      <c r="E196" s="438">
        <v>0.8</v>
      </c>
      <c r="F196" s="438">
        <v>0.8</v>
      </c>
      <c r="G196" s="438">
        <v>12</v>
      </c>
      <c r="H196" s="460">
        <f t="shared" si="35"/>
        <v>15.571353599999998</v>
      </c>
      <c r="I196" s="733">
        <f t="shared" si="36"/>
        <v>474.92628479999996</v>
      </c>
    </row>
    <row r="197" spans="1:12" ht="14.25" customHeight="1" outlineLevel="1">
      <c r="A197" s="741"/>
      <c r="B197" s="721"/>
      <c r="C197" s="627" t="s">
        <v>663</v>
      </c>
      <c r="D197" s="456">
        <v>0.93600000000000005</v>
      </c>
      <c r="E197" s="438">
        <v>0.8</v>
      </c>
      <c r="F197" s="438">
        <v>0.8</v>
      </c>
      <c r="G197" s="438">
        <v>12</v>
      </c>
      <c r="H197" s="460">
        <f t="shared" si="35"/>
        <v>7.188480000000002</v>
      </c>
      <c r="I197" s="733">
        <f t="shared" si="36"/>
        <v>219.24864000000005</v>
      </c>
    </row>
    <row r="198" spans="1:12" ht="14.25" customHeight="1" outlineLevel="1">
      <c r="A198" s="739">
        <v>2</v>
      </c>
      <c r="B198" s="719" t="s">
        <v>664</v>
      </c>
      <c r="C198" s="627" t="s">
        <v>661</v>
      </c>
      <c r="D198" s="456">
        <v>0.9</v>
      </c>
      <c r="E198" s="438">
        <v>0.8</v>
      </c>
      <c r="F198" s="438">
        <v>0.5</v>
      </c>
      <c r="G198" s="438">
        <v>12</v>
      </c>
      <c r="H198" s="460">
        <f t="shared" si="35"/>
        <v>4.32</v>
      </c>
      <c r="I198" s="733">
        <f t="shared" si="36"/>
        <v>131.76000000000002</v>
      </c>
    </row>
    <row r="199" spans="1:12" ht="14.25" customHeight="1" outlineLevel="1">
      <c r="A199" s="740"/>
      <c r="B199" s="720" t="s">
        <v>655</v>
      </c>
      <c r="C199" s="627" t="s">
        <v>662</v>
      </c>
      <c r="D199" s="456">
        <v>2.40672</v>
      </c>
      <c r="E199" s="438">
        <v>0.8</v>
      </c>
      <c r="F199" s="438">
        <v>0.8</v>
      </c>
      <c r="G199" s="438">
        <v>12</v>
      </c>
      <c r="H199" s="460">
        <f t="shared" si="35"/>
        <v>18.483609600000001</v>
      </c>
      <c r="I199" s="733">
        <f t="shared" si="36"/>
        <v>563.75009280000006</v>
      </c>
    </row>
    <row r="200" spans="1:12" ht="14.25" customHeight="1" outlineLevel="1">
      <c r="A200" s="741"/>
      <c r="B200" s="721" t="s">
        <v>655</v>
      </c>
      <c r="C200" s="627" t="s">
        <v>663</v>
      </c>
      <c r="D200" s="456">
        <v>1.4039999999999999</v>
      </c>
      <c r="E200" s="438">
        <v>0.8</v>
      </c>
      <c r="F200" s="438">
        <v>0.5</v>
      </c>
      <c r="G200" s="438">
        <v>12</v>
      </c>
      <c r="H200" s="460">
        <f t="shared" si="35"/>
        <v>6.7392000000000003</v>
      </c>
      <c r="I200" s="733">
        <f t="shared" si="36"/>
        <v>205.54560000000001</v>
      </c>
    </row>
    <row r="201" spans="1:12" ht="14.25" customHeight="1" outlineLevel="1">
      <c r="A201" s="739">
        <v>3</v>
      </c>
      <c r="B201" s="719" t="s">
        <v>665</v>
      </c>
      <c r="C201" s="627" t="s">
        <v>661</v>
      </c>
      <c r="D201" s="456">
        <v>1.395</v>
      </c>
      <c r="E201" s="438">
        <v>0.8</v>
      </c>
      <c r="F201" s="438">
        <v>0.5</v>
      </c>
      <c r="G201" s="438">
        <v>12</v>
      </c>
      <c r="H201" s="460">
        <f t="shared" si="35"/>
        <v>6.6960000000000006</v>
      </c>
      <c r="I201" s="733">
        <f t="shared" si="36"/>
        <v>204.22800000000001</v>
      </c>
    </row>
    <row r="202" spans="1:12" ht="14.25" customHeight="1" outlineLevel="1">
      <c r="A202" s="740"/>
      <c r="B202" s="720"/>
      <c r="C202" s="627" t="s">
        <v>662</v>
      </c>
      <c r="D202" s="456">
        <v>2.2070400000000001</v>
      </c>
      <c r="E202" s="438">
        <v>0.8</v>
      </c>
      <c r="F202" s="438">
        <v>0.8</v>
      </c>
      <c r="G202" s="438">
        <v>12</v>
      </c>
      <c r="H202" s="460">
        <f t="shared" si="35"/>
        <v>16.950067200000003</v>
      </c>
      <c r="I202" s="733">
        <f t="shared" si="36"/>
        <v>516.9770496000001</v>
      </c>
    </row>
    <row r="203" spans="1:12" ht="14.25" customHeight="1" outlineLevel="1">
      <c r="A203" s="740"/>
      <c r="B203" s="720"/>
      <c r="C203" s="627" t="s">
        <v>663</v>
      </c>
      <c r="D203" s="456">
        <v>1.0980000000000001</v>
      </c>
      <c r="E203" s="438">
        <v>0.8</v>
      </c>
      <c r="F203" s="438">
        <v>0.5</v>
      </c>
      <c r="G203" s="438">
        <v>12</v>
      </c>
      <c r="H203" s="460">
        <f t="shared" si="35"/>
        <v>5.2704000000000004</v>
      </c>
      <c r="I203" s="733">
        <f t="shared" si="36"/>
        <v>160.74720000000002</v>
      </c>
    </row>
    <row r="204" spans="1:12" ht="14.25" customHeight="1" outlineLevel="1">
      <c r="A204" s="741"/>
      <c r="B204" s="721"/>
      <c r="C204" s="627" t="s">
        <v>666</v>
      </c>
      <c r="D204" s="456">
        <v>0.52</v>
      </c>
      <c r="E204" s="438">
        <v>0.8</v>
      </c>
      <c r="F204" s="438">
        <v>0.5</v>
      </c>
      <c r="G204" s="438">
        <v>12</v>
      </c>
      <c r="H204" s="460">
        <f t="shared" si="35"/>
        <v>2.4960000000000004</v>
      </c>
      <c r="I204" s="733">
        <f t="shared" si="36"/>
        <v>76.128000000000014</v>
      </c>
    </row>
    <row r="205" spans="1:12" ht="14.25" customHeight="1" outlineLevel="1">
      <c r="A205" s="739">
        <v>4</v>
      </c>
      <c r="B205" s="719" t="s">
        <v>667</v>
      </c>
      <c r="C205" s="627" t="s">
        <v>662</v>
      </c>
      <c r="D205" s="456">
        <v>1.01952</v>
      </c>
      <c r="E205" s="438">
        <v>0.8</v>
      </c>
      <c r="F205" s="438">
        <v>0.8</v>
      </c>
      <c r="G205" s="438">
        <v>12</v>
      </c>
      <c r="H205" s="460">
        <f t="shared" si="35"/>
        <v>7.8299136000000011</v>
      </c>
      <c r="I205" s="733">
        <f t="shared" si="36"/>
        <v>238.81236480000004</v>
      </c>
    </row>
    <row r="206" spans="1:12" ht="14.25" customHeight="1" outlineLevel="1">
      <c r="A206" s="740"/>
      <c r="B206" s="720"/>
      <c r="C206" s="627" t="s">
        <v>663</v>
      </c>
      <c r="D206" s="456">
        <v>3.456</v>
      </c>
      <c r="E206" s="438">
        <v>0.8</v>
      </c>
      <c r="F206" s="438">
        <v>0.5</v>
      </c>
      <c r="G206" s="438">
        <v>12</v>
      </c>
      <c r="H206" s="460">
        <f t="shared" si="35"/>
        <v>16.588799999999999</v>
      </c>
      <c r="I206" s="733">
        <f t="shared" si="36"/>
        <v>505.95839999999998</v>
      </c>
    </row>
    <row r="207" spans="1:12" ht="14.25" customHeight="1" outlineLevel="1">
      <c r="A207" s="741"/>
      <c r="B207" s="721"/>
      <c r="C207" s="627" t="s">
        <v>668</v>
      </c>
      <c r="D207" s="456">
        <v>2.976</v>
      </c>
      <c r="E207" s="438">
        <v>0.8</v>
      </c>
      <c r="F207" s="438">
        <v>0.5</v>
      </c>
      <c r="G207" s="438">
        <v>12</v>
      </c>
      <c r="H207" s="460">
        <f t="shared" si="35"/>
        <v>14.284800000000001</v>
      </c>
      <c r="I207" s="733">
        <f t="shared" si="36"/>
        <v>435.68639999999999</v>
      </c>
    </row>
    <row r="208" spans="1:12" ht="14.25" customHeight="1">
      <c r="A208" s="732"/>
      <c r="B208" s="627"/>
      <c r="C208" s="627"/>
      <c r="D208" s="456"/>
      <c r="E208" s="438"/>
      <c r="F208" s="438"/>
      <c r="G208" s="438"/>
      <c r="H208" s="460"/>
      <c r="I208" s="733"/>
    </row>
    <row r="209" spans="1:10" s="435" customFormat="1" ht="14.25" customHeight="1">
      <c r="A209" s="736" t="s">
        <v>627</v>
      </c>
      <c r="B209" s="442"/>
      <c r="C209" s="446"/>
      <c r="D209" s="462">
        <f>SUM(D210:D224)</f>
        <v>173.60000000000002</v>
      </c>
      <c r="E209" s="462"/>
      <c r="F209" s="462"/>
      <c r="G209" s="462"/>
      <c r="H209" s="462">
        <f>SUM(H210:H224)</f>
        <v>316.03200000000004</v>
      </c>
      <c r="I209" s="737">
        <f>SUM(I210:I224)</f>
        <v>9638.9760000000024</v>
      </c>
      <c r="J209" s="436"/>
    </row>
    <row r="210" spans="1:10" ht="14.25" customHeight="1" outlineLevel="1">
      <c r="A210" s="732">
        <v>1</v>
      </c>
      <c r="B210" s="627" t="s">
        <v>15</v>
      </c>
      <c r="C210" s="627" t="s">
        <v>558</v>
      </c>
      <c r="D210" s="456">
        <v>9</v>
      </c>
      <c r="E210" s="438">
        <v>0.2</v>
      </c>
      <c r="F210" s="438">
        <v>0.5</v>
      </c>
      <c r="G210" s="463">
        <v>12</v>
      </c>
      <c r="H210" s="460">
        <f t="shared" ref="H210" si="37">D210*E210*F210*G210</f>
        <v>10.8</v>
      </c>
      <c r="I210" s="733">
        <f t="shared" ref="I210:I224" si="38">H210*30.5</f>
        <v>329.40000000000003</v>
      </c>
    </row>
    <row r="211" spans="1:10" ht="14.25" customHeight="1" outlineLevel="1">
      <c r="A211" s="732">
        <v>2</v>
      </c>
      <c r="B211" s="627" t="s">
        <v>15</v>
      </c>
      <c r="C211" s="627" t="s">
        <v>559</v>
      </c>
      <c r="D211" s="456">
        <v>9</v>
      </c>
      <c r="E211" s="438">
        <v>0.2</v>
      </c>
      <c r="F211" s="438">
        <v>0.5</v>
      </c>
      <c r="G211" s="463">
        <v>12</v>
      </c>
      <c r="H211" s="460">
        <f t="shared" ref="H211:H213" si="39">D211*E211*F211*G211</f>
        <v>10.8</v>
      </c>
      <c r="I211" s="733">
        <f t="shared" si="38"/>
        <v>329.40000000000003</v>
      </c>
    </row>
    <row r="212" spans="1:10" ht="14.25" customHeight="1" outlineLevel="1">
      <c r="A212" s="732">
        <v>3</v>
      </c>
      <c r="B212" s="627" t="s">
        <v>560</v>
      </c>
      <c r="C212" s="627" t="s">
        <v>561</v>
      </c>
      <c r="D212" s="456">
        <v>9</v>
      </c>
      <c r="E212" s="438">
        <v>0.2</v>
      </c>
      <c r="F212" s="438">
        <v>0.5</v>
      </c>
      <c r="G212" s="463">
        <v>12</v>
      </c>
      <c r="H212" s="460">
        <f t="shared" si="39"/>
        <v>10.8</v>
      </c>
      <c r="I212" s="733">
        <f t="shared" si="38"/>
        <v>329.40000000000003</v>
      </c>
    </row>
    <row r="213" spans="1:10" ht="14.25" customHeight="1" outlineLevel="1">
      <c r="A213" s="732">
        <v>4</v>
      </c>
      <c r="B213" s="627" t="s">
        <v>291</v>
      </c>
      <c r="C213" s="627" t="s">
        <v>562</v>
      </c>
      <c r="D213" s="456">
        <v>9</v>
      </c>
      <c r="E213" s="438">
        <v>0.2</v>
      </c>
      <c r="F213" s="438">
        <v>0.5</v>
      </c>
      <c r="G213" s="463">
        <v>12</v>
      </c>
      <c r="H213" s="460">
        <f t="shared" si="39"/>
        <v>10.8</v>
      </c>
      <c r="I213" s="733">
        <f t="shared" si="38"/>
        <v>329.40000000000003</v>
      </c>
    </row>
    <row r="214" spans="1:10" ht="14.25" customHeight="1" outlineLevel="1">
      <c r="A214" s="732">
        <v>5</v>
      </c>
      <c r="B214" s="627" t="s">
        <v>291</v>
      </c>
      <c r="C214" s="627" t="s">
        <v>563</v>
      </c>
      <c r="D214" s="456">
        <v>9</v>
      </c>
      <c r="E214" s="438">
        <v>0.2</v>
      </c>
      <c r="F214" s="438">
        <v>0.5</v>
      </c>
      <c r="G214" s="463">
        <v>12</v>
      </c>
      <c r="H214" s="460">
        <f t="shared" ref="H214" si="40">D214*E214*F214*G214</f>
        <v>10.8</v>
      </c>
      <c r="I214" s="733">
        <f t="shared" si="38"/>
        <v>329.40000000000003</v>
      </c>
    </row>
    <row r="215" spans="1:10" ht="14.25" customHeight="1" outlineLevel="1">
      <c r="A215" s="732">
        <v>6</v>
      </c>
      <c r="B215" s="627" t="s">
        <v>291</v>
      </c>
      <c r="C215" s="627" t="s">
        <v>552</v>
      </c>
      <c r="D215" s="456">
        <v>7.5</v>
      </c>
      <c r="E215" s="438">
        <v>0.35</v>
      </c>
      <c r="F215" s="438">
        <v>0.5</v>
      </c>
      <c r="G215" s="463">
        <v>12</v>
      </c>
      <c r="H215" s="460">
        <f t="shared" ref="H215" si="41">D215*E215*F215*G215</f>
        <v>15.75</v>
      </c>
      <c r="I215" s="733">
        <f t="shared" si="38"/>
        <v>480.375</v>
      </c>
    </row>
    <row r="216" spans="1:10" ht="14.25" customHeight="1" outlineLevel="1">
      <c r="A216" s="732">
        <v>7</v>
      </c>
      <c r="B216" s="627" t="s">
        <v>291</v>
      </c>
      <c r="C216" s="627" t="s">
        <v>553</v>
      </c>
      <c r="D216" s="456">
        <v>7.5</v>
      </c>
      <c r="E216" s="438">
        <v>0.35</v>
      </c>
      <c r="F216" s="438">
        <v>0.5</v>
      </c>
      <c r="G216" s="463">
        <v>12</v>
      </c>
      <c r="H216" s="460">
        <f t="shared" ref="H216:H220" si="42">D216*E216*F216*G216</f>
        <v>15.75</v>
      </c>
      <c r="I216" s="733">
        <f t="shared" si="38"/>
        <v>480.375</v>
      </c>
    </row>
    <row r="217" spans="1:10" ht="14.25" customHeight="1" outlineLevel="1">
      <c r="A217" s="732">
        <v>8</v>
      </c>
      <c r="B217" s="627" t="s">
        <v>292</v>
      </c>
      <c r="C217" s="627" t="s">
        <v>554</v>
      </c>
      <c r="D217" s="456">
        <v>7.5</v>
      </c>
      <c r="E217" s="438">
        <v>0.35</v>
      </c>
      <c r="F217" s="438">
        <v>0.5</v>
      </c>
      <c r="G217" s="463">
        <v>12</v>
      </c>
      <c r="H217" s="460">
        <f t="shared" si="42"/>
        <v>15.75</v>
      </c>
      <c r="I217" s="733">
        <f t="shared" si="38"/>
        <v>480.375</v>
      </c>
    </row>
    <row r="218" spans="1:10" ht="14.25" customHeight="1" outlineLevel="1">
      <c r="A218" s="732">
        <v>9</v>
      </c>
      <c r="B218" s="627" t="s">
        <v>292</v>
      </c>
      <c r="C218" s="627" t="s">
        <v>555</v>
      </c>
      <c r="D218" s="456">
        <v>7.5</v>
      </c>
      <c r="E218" s="438">
        <v>0.35</v>
      </c>
      <c r="F218" s="438">
        <v>0.5</v>
      </c>
      <c r="G218" s="463">
        <v>12</v>
      </c>
      <c r="H218" s="460">
        <f t="shared" si="42"/>
        <v>15.75</v>
      </c>
      <c r="I218" s="733">
        <f t="shared" si="38"/>
        <v>480.375</v>
      </c>
    </row>
    <row r="219" spans="1:10" ht="14.25" customHeight="1" outlineLevel="1">
      <c r="A219" s="732">
        <v>10</v>
      </c>
      <c r="B219" s="627" t="s">
        <v>293</v>
      </c>
      <c r="C219" s="627" t="s">
        <v>556</v>
      </c>
      <c r="D219" s="456">
        <v>7.5</v>
      </c>
      <c r="E219" s="438">
        <v>0.35</v>
      </c>
      <c r="F219" s="438">
        <v>0.5</v>
      </c>
      <c r="G219" s="463">
        <v>12</v>
      </c>
      <c r="H219" s="460">
        <f t="shared" si="42"/>
        <v>15.75</v>
      </c>
      <c r="I219" s="733">
        <f t="shared" si="38"/>
        <v>480.375</v>
      </c>
    </row>
    <row r="220" spans="1:10" ht="14.25" customHeight="1" outlineLevel="1">
      <c r="A220" s="732">
        <v>11</v>
      </c>
      <c r="B220" s="627" t="s">
        <v>293</v>
      </c>
      <c r="C220" s="627" t="s">
        <v>557</v>
      </c>
      <c r="D220" s="456">
        <v>7.5</v>
      </c>
      <c r="E220" s="438">
        <v>0.35</v>
      </c>
      <c r="F220" s="438">
        <v>0.5</v>
      </c>
      <c r="G220" s="463">
        <v>12</v>
      </c>
      <c r="H220" s="460">
        <f t="shared" si="42"/>
        <v>15.75</v>
      </c>
      <c r="I220" s="733">
        <f t="shared" si="38"/>
        <v>480.375</v>
      </c>
    </row>
    <row r="221" spans="1:10" ht="14.25" customHeight="1" outlineLevel="1">
      <c r="A221" s="732">
        <v>12</v>
      </c>
      <c r="B221" s="627" t="s">
        <v>293</v>
      </c>
      <c r="C221" s="627" t="s">
        <v>543</v>
      </c>
      <c r="D221" s="456">
        <v>19.5</v>
      </c>
      <c r="E221" s="438">
        <v>0.35</v>
      </c>
      <c r="F221" s="438">
        <v>0.5</v>
      </c>
      <c r="G221" s="463">
        <v>12</v>
      </c>
      <c r="H221" s="460">
        <f t="shared" ref="H221:H223" si="43">D221*E221*F221*G221</f>
        <v>40.949999999999996</v>
      </c>
      <c r="I221" s="733">
        <f t="shared" si="38"/>
        <v>1248.9749999999999</v>
      </c>
    </row>
    <row r="222" spans="1:10" ht="14.25" customHeight="1" outlineLevel="1">
      <c r="A222" s="732">
        <v>13</v>
      </c>
      <c r="B222" s="627" t="s">
        <v>293</v>
      </c>
      <c r="C222" s="627" t="s">
        <v>544</v>
      </c>
      <c r="D222" s="456">
        <v>19.5</v>
      </c>
      <c r="E222" s="438">
        <v>0.35</v>
      </c>
      <c r="F222" s="438">
        <v>0.5</v>
      </c>
      <c r="G222" s="463">
        <v>12</v>
      </c>
      <c r="H222" s="460">
        <f t="shared" si="43"/>
        <v>40.949999999999996</v>
      </c>
      <c r="I222" s="733">
        <f t="shared" si="38"/>
        <v>1248.9749999999999</v>
      </c>
    </row>
    <row r="223" spans="1:10" ht="14.25" customHeight="1" outlineLevel="1">
      <c r="A223" s="732">
        <v>14</v>
      </c>
      <c r="B223" s="627" t="s">
        <v>293</v>
      </c>
      <c r="C223" s="627" t="s">
        <v>545</v>
      </c>
      <c r="D223" s="456">
        <v>22.3</v>
      </c>
      <c r="E223" s="438">
        <v>0.2</v>
      </c>
      <c r="F223" s="438">
        <v>0.8</v>
      </c>
      <c r="G223" s="438">
        <v>12</v>
      </c>
      <c r="H223" s="448">
        <f t="shared" si="43"/>
        <v>42.816000000000003</v>
      </c>
      <c r="I223" s="733">
        <f t="shared" si="38"/>
        <v>1305.8880000000001</v>
      </c>
    </row>
    <row r="224" spans="1:10" ht="14.25" customHeight="1" outlineLevel="1">
      <c r="A224" s="732">
        <v>15</v>
      </c>
      <c r="B224" s="627" t="s">
        <v>293</v>
      </c>
      <c r="C224" s="627" t="s">
        <v>546</v>
      </c>
      <c r="D224" s="456">
        <v>22.3</v>
      </c>
      <c r="E224" s="438">
        <v>0.2</v>
      </c>
      <c r="F224" s="438">
        <v>0.8</v>
      </c>
      <c r="G224" s="438">
        <v>12</v>
      </c>
      <c r="H224" s="448">
        <f t="shared" ref="H224" si="44">D224*E224*F224*G224</f>
        <v>42.816000000000003</v>
      </c>
      <c r="I224" s="733">
        <f t="shared" si="38"/>
        <v>1305.8880000000001</v>
      </c>
    </row>
    <row r="225" spans="1:12" ht="14.25" customHeight="1">
      <c r="A225" s="732"/>
      <c r="B225" s="627"/>
      <c r="C225" s="627"/>
      <c r="D225" s="456"/>
      <c r="E225" s="438"/>
      <c r="F225" s="438"/>
      <c r="G225" s="438"/>
      <c r="H225" s="448"/>
      <c r="I225" s="733"/>
    </row>
    <row r="226" spans="1:12" ht="14.25" customHeight="1">
      <c r="A226" s="742" t="s">
        <v>629</v>
      </c>
      <c r="B226" s="464"/>
      <c r="C226" s="464"/>
      <c r="D226" s="466">
        <f>SUM(D194,D209)</f>
        <v>195.02580000000003</v>
      </c>
      <c r="E226" s="465"/>
      <c r="F226" s="465"/>
      <c r="G226" s="465"/>
      <c r="H226" s="466">
        <f>SUM(H194,H209)</f>
        <v>446.74502400000006</v>
      </c>
      <c r="I226" s="743">
        <f>SUM(I194,I209)</f>
        <v>13625.723232000002</v>
      </c>
      <c r="J226" s="436">
        <f>I226*'HVAC-Mall'!$C$14</f>
        <v>108648.11062116001</v>
      </c>
    </row>
    <row r="227" spans="1:12" ht="14.25" customHeight="1">
      <c r="A227" s="744"/>
      <c r="B227" s="430"/>
      <c r="C227" s="627"/>
      <c r="D227" s="456"/>
      <c r="E227" s="438"/>
      <c r="F227" s="438"/>
      <c r="G227" s="438"/>
      <c r="H227" s="448"/>
      <c r="I227" s="733"/>
    </row>
    <row r="228" spans="1:12" ht="14.25" customHeight="1">
      <c r="A228" s="734" t="s">
        <v>363</v>
      </c>
      <c r="B228" s="718"/>
      <c r="C228" s="718"/>
      <c r="D228" s="718"/>
      <c r="E228" s="718"/>
      <c r="F228" s="718"/>
      <c r="G228" s="718"/>
      <c r="H228" s="718"/>
      <c r="I228" s="735"/>
      <c r="J228" s="718"/>
    </row>
    <row r="229" spans="1:12" ht="14.25" customHeight="1">
      <c r="A229" s="744"/>
      <c r="B229" s="430"/>
      <c r="C229" s="627"/>
      <c r="D229" s="456"/>
      <c r="E229" s="438"/>
      <c r="F229" s="438"/>
      <c r="G229" s="438"/>
      <c r="H229" s="448"/>
      <c r="I229" s="733"/>
    </row>
    <row r="230" spans="1:12" s="435" customFormat="1" ht="14.25" customHeight="1">
      <c r="A230" s="736" t="s">
        <v>619</v>
      </c>
      <c r="B230" s="442"/>
      <c r="C230" s="461"/>
      <c r="D230" s="462">
        <f>SUM(D231:D235)</f>
        <v>2.214</v>
      </c>
      <c r="E230" s="462"/>
      <c r="F230" s="462"/>
      <c r="G230" s="462"/>
      <c r="H230" s="462">
        <f>SUM(H231:H235)</f>
        <v>21.254399999999997</v>
      </c>
      <c r="I230" s="737">
        <f>SUM(I231:I235)</f>
        <v>648.25919999999996</v>
      </c>
      <c r="J230" s="436"/>
      <c r="K230" s="623">
        <f>I230*'HVAC-Mall'!$C$14</f>
        <v>5169.0567959999998</v>
      </c>
      <c r="L230" s="436">
        <f>K230*12</f>
        <v>62028.681551999995</v>
      </c>
    </row>
    <row r="231" spans="1:12" ht="14.25" customHeight="1" outlineLevel="1">
      <c r="A231" s="732">
        <v>1</v>
      </c>
      <c r="B231" s="430" t="s">
        <v>669</v>
      </c>
      <c r="C231" s="627" t="s">
        <v>663</v>
      </c>
      <c r="D231" s="456">
        <v>0.41399999999999998</v>
      </c>
      <c r="E231" s="438">
        <v>0.8</v>
      </c>
      <c r="F231" s="438">
        <v>1</v>
      </c>
      <c r="G231" s="438">
        <v>12</v>
      </c>
      <c r="H231" s="460">
        <f t="shared" ref="H231:H235" si="45">D231*E231*F231*G231</f>
        <v>3.9744000000000002</v>
      </c>
      <c r="I231" s="733">
        <f t="shared" ref="I231:I235" si="46">H231*30.5</f>
        <v>121.2192</v>
      </c>
    </row>
    <row r="232" spans="1:12" ht="14.25" customHeight="1" outlineLevel="1">
      <c r="A232" s="732">
        <v>2</v>
      </c>
      <c r="B232" s="430" t="s">
        <v>670</v>
      </c>
      <c r="C232" s="627" t="s">
        <v>663</v>
      </c>
      <c r="D232" s="456">
        <v>0.504</v>
      </c>
      <c r="E232" s="438">
        <v>0.8</v>
      </c>
      <c r="F232" s="438">
        <v>1</v>
      </c>
      <c r="G232" s="438">
        <v>12</v>
      </c>
      <c r="H232" s="460">
        <f t="shared" si="45"/>
        <v>4.8384</v>
      </c>
      <c r="I232" s="733">
        <f t="shared" si="46"/>
        <v>147.5712</v>
      </c>
    </row>
    <row r="233" spans="1:12" ht="14.25" customHeight="1" outlineLevel="1">
      <c r="A233" s="732">
        <v>3</v>
      </c>
      <c r="B233" s="430" t="s">
        <v>671</v>
      </c>
      <c r="C233" s="627" t="s">
        <v>663</v>
      </c>
      <c r="D233" s="456">
        <v>0.432</v>
      </c>
      <c r="E233" s="438">
        <v>0.8</v>
      </c>
      <c r="F233" s="438">
        <v>1</v>
      </c>
      <c r="G233" s="438">
        <v>12</v>
      </c>
      <c r="H233" s="460">
        <f t="shared" si="45"/>
        <v>4.1471999999999998</v>
      </c>
      <c r="I233" s="733">
        <f t="shared" si="46"/>
        <v>126.4896</v>
      </c>
    </row>
    <row r="234" spans="1:12" ht="14.25" customHeight="1" outlineLevel="1">
      <c r="A234" s="732">
        <v>4</v>
      </c>
      <c r="B234" s="430" t="s">
        <v>672</v>
      </c>
      <c r="C234" s="627" t="s">
        <v>663</v>
      </c>
      <c r="D234" s="456">
        <v>0.432</v>
      </c>
      <c r="E234" s="438">
        <v>0.8</v>
      </c>
      <c r="F234" s="438">
        <v>1</v>
      </c>
      <c r="G234" s="438">
        <v>12</v>
      </c>
      <c r="H234" s="460">
        <f t="shared" si="45"/>
        <v>4.1471999999999998</v>
      </c>
      <c r="I234" s="733">
        <f t="shared" si="46"/>
        <v>126.4896</v>
      </c>
    </row>
    <row r="235" spans="1:12" ht="14.25" customHeight="1" outlineLevel="1">
      <c r="A235" s="732">
        <v>5</v>
      </c>
      <c r="B235" s="430" t="s">
        <v>673</v>
      </c>
      <c r="C235" s="627" t="s">
        <v>663</v>
      </c>
      <c r="D235" s="456">
        <v>0.432</v>
      </c>
      <c r="E235" s="438">
        <v>0.8</v>
      </c>
      <c r="F235" s="438">
        <v>1</v>
      </c>
      <c r="G235" s="438">
        <v>12</v>
      </c>
      <c r="H235" s="460">
        <f t="shared" si="45"/>
        <v>4.1471999999999998</v>
      </c>
      <c r="I235" s="733">
        <f t="shared" si="46"/>
        <v>126.4896</v>
      </c>
    </row>
    <row r="236" spans="1:12" ht="14.25" customHeight="1">
      <c r="A236" s="744"/>
      <c r="B236" s="430"/>
      <c r="C236" s="627"/>
      <c r="D236" s="456"/>
      <c r="E236" s="438"/>
      <c r="F236" s="438"/>
      <c r="G236" s="438"/>
      <c r="H236" s="448"/>
      <c r="I236" s="733"/>
    </row>
    <row r="237" spans="1:12" s="435" customFormat="1" ht="14.25" customHeight="1">
      <c r="A237" s="736" t="s">
        <v>628</v>
      </c>
      <c r="B237" s="442"/>
      <c r="C237" s="446"/>
      <c r="D237" s="462">
        <f>SUM(D238:D241)</f>
        <v>78</v>
      </c>
      <c r="E237" s="462"/>
      <c r="F237" s="462"/>
      <c r="G237" s="462"/>
      <c r="H237" s="462">
        <f>SUM(H238:H241)</f>
        <v>160.29</v>
      </c>
      <c r="I237" s="737">
        <f>SUM(I238:I241)</f>
        <v>4888.8449999999993</v>
      </c>
      <c r="J237" s="436"/>
    </row>
    <row r="238" spans="1:12" ht="14.25" customHeight="1" outlineLevel="1">
      <c r="A238" s="732">
        <v>5</v>
      </c>
      <c r="B238" s="627" t="s">
        <v>547</v>
      </c>
      <c r="C238" s="627" t="s">
        <v>548</v>
      </c>
      <c r="D238" s="456">
        <v>19.5</v>
      </c>
      <c r="E238" s="438">
        <v>0.35</v>
      </c>
      <c r="F238" s="438">
        <v>0.5</v>
      </c>
      <c r="G238" s="463">
        <v>12</v>
      </c>
      <c r="H238" s="460">
        <f t="shared" ref="H238:H241" si="47">D238*E238*F238*G238</f>
        <v>40.949999999999996</v>
      </c>
      <c r="I238" s="733">
        <f t="shared" ref="I238:I241" si="48">H238*30.5</f>
        <v>1248.9749999999999</v>
      </c>
    </row>
    <row r="239" spans="1:12" ht="14.25" customHeight="1" outlineLevel="1">
      <c r="A239" s="732">
        <v>6</v>
      </c>
      <c r="B239" s="627" t="s">
        <v>547</v>
      </c>
      <c r="C239" s="627" t="s">
        <v>549</v>
      </c>
      <c r="D239" s="456">
        <v>19.5</v>
      </c>
      <c r="E239" s="438">
        <v>0.35</v>
      </c>
      <c r="F239" s="438">
        <v>0.5</v>
      </c>
      <c r="G239" s="463">
        <v>12</v>
      </c>
      <c r="H239" s="460">
        <f t="shared" si="47"/>
        <v>40.949999999999996</v>
      </c>
      <c r="I239" s="733">
        <f t="shared" si="48"/>
        <v>1248.9749999999999</v>
      </c>
    </row>
    <row r="240" spans="1:12" ht="14.25" customHeight="1" outlineLevel="1">
      <c r="A240" s="732">
        <v>7</v>
      </c>
      <c r="B240" s="627" t="s">
        <v>547</v>
      </c>
      <c r="C240" s="627" t="s">
        <v>550</v>
      </c>
      <c r="D240" s="456">
        <v>19.5</v>
      </c>
      <c r="E240" s="438">
        <v>0.35</v>
      </c>
      <c r="F240" s="438">
        <v>0.5</v>
      </c>
      <c r="G240" s="463">
        <v>12</v>
      </c>
      <c r="H240" s="460">
        <f t="shared" si="47"/>
        <v>40.949999999999996</v>
      </c>
      <c r="I240" s="733">
        <f t="shared" si="48"/>
        <v>1248.9749999999999</v>
      </c>
    </row>
    <row r="241" spans="1:10" ht="14.25" customHeight="1" outlineLevel="1">
      <c r="A241" s="732">
        <v>8</v>
      </c>
      <c r="B241" s="627" t="s">
        <v>547</v>
      </c>
      <c r="C241" s="627" t="s">
        <v>551</v>
      </c>
      <c r="D241" s="456">
        <v>19.5</v>
      </c>
      <c r="E241" s="438">
        <v>0.2</v>
      </c>
      <c r="F241" s="438">
        <v>0.8</v>
      </c>
      <c r="G241" s="438">
        <v>12</v>
      </c>
      <c r="H241" s="448">
        <f t="shared" si="47"/>
        <v>37.440000000000005</v>
      </c>
      <c r="I241" s="733">
        <f t="shared" si="48"/>
        <v>1141.92</v>
      </c>
    </row>
    <row r="242" spans="1:10" ht="14.25" customHeight="1">
      <c r="A242" s="745"/>
      <c r="D242" s="454"/>
      <c r="I242" s="746"/>
    </row>
    <row r="243" spans="1:10" ht="14.25" customHeight="1">
      <c r="A243" s="742" t="s">
        <v>629</v>
      </c>
      <c r="B243" s="464"/>
      <c r="C243" s="464"/>
      <c r="D243" s="466">
        <f>SUM(D230,D237)</f>
        <v>80.213999999999999</v>
      </c>
      <c r="E243" s="465"/>
      <c r="F243" s="465"/>
      <c r="G243" s="465"/>
      <c r="H243" s="466">
        <f>SUM(H230,H237)</f>
        <v>181.5444</v>
      </c>
      <c r="I243" s="743">
        <f>SUM(I230,I237)</f>
        <v>5537.1041999999998</v>
      </c>
      <c r="J243" s="436">
        <f>I243*'HVAC-Mall'!$C$14</f>
        <v>44151.484614749999</v>
      </c>
    </row>
    <row r="244" spans="1:10" ht="14.25" customHeight="1">
      <c r="A244" s="745"/>
      <c r="D244" s="454"/>
      <c r="I244" s="746"/>
    </row>
    <row r="245" spans="1:10" ht="14.25" customHeight="1">
      <c r="A245" s="745"/>
      <c r="D245" s="454"/>
      <c r="I245" s="746"/>
    </row>
    <row r="246" spans="1:10" ht="14.25" customHeight="1">
      <c r="A246" s="747" t="s">
        <v>636</v>
      </c>
      <c r="B246" s="725"/>
      <c r="C246" s="725"/>
      <c r="D246" s="725"/>
      <c r="E246" s="725"/>
      <c r="F246" s="725"/>
      <c r="G246" s="725"/>
      <c r="H246" s="725"/>
      <c r="I246" s="748"/>
      <c r="J246" s="725"/>
    </row>
    <row r="247" spans="1:10" ht="14.25" customHeight="1" outlineLevel="1">
      <c r="A247" s="749">
        <v>44</v>
      </c>
      <c r="B247" s="441" t="s">
        <v>455</v>
      </c>
      <c r="C247" s="627" t="s">
        <v>456</v>
      </c>
      <c r="D247" s="628">
        <v>5</v>
      </c>
      <c r="E247" s="628">
        <v>0.8</v>
      </c>
      <c r="F247" s="628">
        <v>0.7</v>
      </c>
      <c r="G247" s="628">
        <v>12</v>
      </c>
      <c r="H247" s="431">
        <f t="shared" ref="H247:H262" si="49">D247*E247*F247*G247</f>
        <v>33.599999999999994</v>
      </c>
      <c r="I247" s="750">
        <f t="shared" ref="I247:I262" si="50">H247*26</f>
        <v>873.59999999999991</v>
      </c>
    </row>
    <row r="248" spans="1:10" ht="14.25" customHeight="1" outlineLevel="1">
      <c r="A248" s="749">
        <v>59</v>
      </c>
      <c r="B248" s="441" t="s">
        <v>458</v>
      </c>
      <c r="C248" s="627" t="s">
        <v>456</v>
      </c>
      <c r="D248" s="628">
        <v>5</v>
      </c>
      <c r="E248" s="628">
        <v>0.8</v>
      </c>
      <c r="F248" s="628">
        <v>0.7</v>
      </c>
      <c r="G248" s="628">
        <v>12</v>
      </c>
      <c r="H248" s="431">
        <f t="shared" si="49"/>
        <v>33.599999999999994</v>
      </c>
      <c r="I248" s="750">
        <f t="shared" si="50"/>
        <v>873.59999999999991</v>
      </c>
    </row>
    <row r="249" spans="1:10" ht="14.25" customHeight="1" outlineLevel="1">
      <c r="A249" s="749">
        <v>85</v>
      </c>
      <c r="B249" s="441" t="s">
        <v>459</v>
      </c>
      <c r="C249" s="627" t="s">
        <v>457</v>
      </c>
      <c r="D249" s="628">
        <v>7</v>
      </c>
      <c r="E249" s="628">
        <v>0.8</v>
      </c>
      <c r="F249" s="628">
        <v>0.7</v>
      </c>
      <c r="G249" s="628">
        <v>12</v>
      </c>
      <c r="H249" s="431">
        <f t="shared" si="49"/>
        <v>47.04</v>
      </c>
      <c r="I249" s="750">
        <f t="shared" si="50"/>
        <v>1223.04</v>
      </c>
    </row>
    <row r="250" spans="1:10" ht="14.25" customHeight="1" outlineLevel="1">
      <c r="A250" s="749">
        <v>93</v>
      </c>
      <c r="B250" s="441" t="s">
        <v>460</v>
      </c>
      <c r="C250" s="627" t="s">
        <v>456</v>
      </c>
      <c r="D250" s="628">
        <v>5</v>
      </c>
      <c r="E250" s="628">
        <v>0.8</v>
      </c>
      <c r="F250" s="628">
        <v>0.7</v>
      </c>
      <c r="G250" s="628">
        <v>12</v>
      </c>
      <c r="H250" s="431">
        <f t="shared" si="49"/>
        <v>33.599999999999994</v>
      </c>
      <c r="I250" s="750">
        <f t="shared" si="50"/>
        <v>873.59999999999991</v>
      </c>
    </row>
    <row r="251" spans="1:10" ht="14.25" customHeight="1" outlineLevel="1">
      <c r="A251" s="749">
        <v>118</v>
      </c>
      <c r="B251" s="441" t="s">
        <v>461</v>
      </c>
      <c r="C251" s="627" t="s">
        <v>457</v>
      </c>
      <c r="D251" s="628">
        <v>7</v>
      </c>
      <c r="E251" s="628">
        <v>0.8</v>
      </c>
      <c r="F251" s="628">
        <v>0.7</v>
      </c>
      <c r="G251" s="628">
        <v>12</v>
      </c>
      <c r="H251" s="431">
        <f t="shared" si="49"/>
        <v>47.04</v>
      </c>
      <c r="I251" s="750">
        <f t="shared" si="50"/>
        <v>1223.04</v>
      </c>
    </row>
    <row r="252" spans="1:10" ht="14.25" customHeight="1" outlineLevel="1">
      <c r="A252" s="749">
        <v>15</v>
      </c>
      <c r="B252" s="441" t="s">
        <v>433</v>
      </c>
      <c r="C252" s="430" t="s">
        <v>434</v>
      </c>
      <c r="D252" s="628">
        <v>75</v>
      </c>
      <c r="E252" s="628">
        <v>0.8</v>
      </c>
      <c r="F252" s="628">
        <v>0.7</v>
      </c>
      <c r="G252" s="628">
        <v>12</v>
      </c>
      <c r="H252" s="431">
        <f t="shared" si="49"/>
        <v>504</v>
      </c>
      <c r="I252" s="750">
        <f t="shared" si="50"/>
        <v>13104</v>
      </c>
    </row>
    <row r="253" spans="1:10" ht="14.25" customHeight="1" outlineLevel="1">
      <c r="A253" s="749">
        <v>16</v>
      </c>
      <c r="B253" s="441" t="s">
        <v>433</v>
      </c>
      <c r="C253" s="430" t="s">
        <v>435</v>
      </c>
      <c r="D253" s="628">
        <v>75</v>
      </c>
      <c r="E253" s="628">
        <v>0.8</v>
      </c>
      <c r="F253" s="628">
        <v>0.7</v>
      </c>
      <c r="G253" s="628">
        <v>12</v>
      </c>
      <c r="H253" s="431">
        <f t="shared" si="49"/>
        <v>504</v>
      </c>
      <c r="I253" s="750">
        <f t="shared" si="50"/>
        <v>13104</v>
      </c>
    </row>
    <row r="254" spans="1:10" ht="14.25" customHeight="1" outlineLevel="1">
      <c r="A254" s="749">
        <v>17</v>
      </c>
      <c r="B254" s="441" t="s">
        <v>433</v>
      </c>
      <c r="C254" s="430" t="s">
        <v>436</v>
      </c>
      <c r="D254" s="628">
        <v>75</v>
      </c>
      <c r="E254" s="628">
        <v>0.8</v>
      </c>
      <c r="F254" s="628">
        <v>0.7</v>
      </c>
      <c r="G254" s="628">
        <v>12</v>
      </c>
      <c r="H254" s="431">
        <f t="shared" si="49"/>
        <v>504</v>
      </c>
      <c r="I254" s="750">
        <f t="shared" si="50"/>
        <v>13104</v>
      </c>
    </row>
    <row r="255" spans="1:10" ht="14.25" customHeight="1" outlineLevel="1">
      <c r="A255" s="749">
        <v>18</v>
      </c>
      <c r="B255" s="441" t="s">
        <v>433</v>
      </c>
      <c r="C255" s="430" t="s">
        <v>437</v>
      </c>
      <c r="D255" s="628">
        <v>5.5</v>
      </c>
      <c r="E255" s="628">
        <v>0.8</v>
      </c>
      <c r="F255" s="628">
        <v>0.7</v>
      </c>
      <c r="G255" s="628">
        <v>12</v>
      </c>
      <c r="H255" s="431">
        <f t="shared" si="49"/>
        <v>36.96</v>
      </c>
      <c r="I255" s="750">
        <f t="shared" si="50"/>
        <v>960.96</v>
      </c>
    </row>
    <row r="256" spans="1:10" ht="14.25" customHeight="1" outlineLevel="1">
      <c r="A256" s="749">
        <v>19</v>
      </c>
      <c r="B256" s="441" t="s">
        <v>433</v>
      </c>
      <c r="C256" s="430" t="s">
        <v>438</v>
      </c>
      <c r="D256" s="628">
        <v>5.5</v>
      </c>
      <c r="E256" s="628">
        <v>0.8</v>
      </c>
      <c r="F256" s="628">
        <v>0.7</v>
      </c>
      <c r="G256" s="628">
        <v>12</v>
      </c>
      <c r="H256" s="431">
        <f t="shared" si="49"/>
        <v>36.96</v>
      </c>
      <c r="I256" s="750">
        <f t="shared" si="50"/>
        <v>960.96</v>
      </c>
    </row>
    <row r="257" spans="1:10" ht="14.25" customHeight="1" outlineLevel="1">
      <c r="A257" s="749">
        <v>20</v>
      </c>
      <c r="B257" s="441" t="s">
        <v>433</v>
      </c>
      <c r="C257" s="430" t="s">
        <v>439</v>
      </c>
      <c r="D257" s="628">
        <v>5.5</v>
      </c>
      <c r="E257" s="628">
        <v>0.8</v>
      </c>
      <c r="F257" s="628">
        <v>0.7</v>
      </c>
      <c r="G257" s="628">
        <v>12</v>
      </c>
      <c r="H257" s="431">
        <f t="shared" si="49"/>
        <v>36.96</v>
      </c>
      <c r="I257" s="750">
        <f t="shared" si="50"/>
        <v>960.96</v>
      </c>
    </row>
    <row r="258" spans="1:10" ht="14.25" customHeight="1" outlineLevel="1">
      <c r="A258" s="749">
        <v>21</v>
      </c>
      <c r="B258" s="441" t="s">
        <v>433</v>
      </c>
      <c r="C258" s="430" t="s">
        <v>440</v>
      </c>
      <c r="D258" s="628">
        <v>5.5</v>
      </c>
      <c r="E258" s="628">
        <v>0.8</v>
      </c>
      <c r="F258" s="628">
        <v>0.7</v>
      </c>
      <c r="G258" s="628">
        <v>12</v>
      </c>
      <c r="H258" s="431">
        <f t="shared" si="49"/>
        <v>36.96</v>
      </c>
      <c r="I258" s="750">
        <f t="shared" si="50"/>
        <v>960.96</v>
      </c>
    </row>
    <row r="259" spans="1:10" ht="14.25" customHeight="1" outlineLevel="1">
      <c r="A259" s="749">
        <v>22</v>
      </c>
      <c r="B259" s="441" t="s">
        <v>433</v>
      </c>
      <c r="C259" s="430" t="s">
        <v>441</v>
      </c>
      <c r="D259" s="628">
        <v>5.5</v>
      </c>
      <c r="E259" s="628">
        <v>0.8</v>
      </c>
      <c r="F259" s="628">
        <v>0.7</v>
      </c>
      <c r="G259" s="628">
        <v>12</v>
      </c>
      <c r="H259" s="431">
        <f t="shared" si="49"/>
        <v>36.96</v>
      </c>
      <c r="I259" s="750">
        <f t="shared" si="50"/>
        <v>960.96</v>
      </c>
    </row>
    <row r="260" spans="1:10" ht="14.25" customHeight="1" outlineLevel="1">
      <c r="A260" s="749">
        <v>23</v>
      </c>
      <c r="B260" s="441" t="s">
        <v>433</v>
      </c>
      <c r="C260" s="430" t="s">
        <v>442</v>
      </c>
      <c r="D260" s="628">
        <v>5.5</v>
      </c>
      <c r="E260" s="628">
        <v>0.8</v>
      </c>
      <c r="F260" s="628">
        <v>0.7</v>
      </c>
      <c r="G260" s="628">
        <v>12</v>
      </c>
      <c r="H260" s="431">
        <f t="shared" si="49"/>
        <v>36.96</v>
      </c>
      <c r="I260" s="750">
        <f t="shared" si="50"/>
        <v>960.96</v>
      </c>
    </row>
    <row r="261" spans="1:10" ht="14.25" customHeight="1" outlineLevel="1">
      <c r="A261" s="749">
        <v>24</v>
      </c>
      <c r="B261" s="441" t="s">
        <v>433</v>
      </c>
      <c r="C261" s="430" t="s">
        <v>443</v>
      </c>
      <c r="D261" s="628">
        <v>5.5</v>
      </c>
      <c r="E261" s="628">
        <v>0.8</v>
      </c>
      <c r="F261" s="628">
        <v>0.7</v>
      </c>
      <c r="G261" s="628">
        <v>12</v>
      </c>
      <c r="H261" s="431">
        <f t="shared" si="49"/>
        <v>36.96</v>
      </c>
      <c r="I261" s="750">
        <f t="shared" si="50"/>
        <v>960.96</v>
      </c>
    </row>
    <row r="262" spans="1:10" ht="14.25" customHeight="1" outlineLevel="1">
      <c r="A262" s="749">
        <v>25</v>
      </c>
      <c r="B262" s="441" t="s">
        <v>433</v>
      </c>
      <c r="C262" s="430" t="s">
        <v>444</v>
      </c>
      <c r="D262" s="628">
        <v>5.5</v>
      </c>
      <c r="E262" s="628">
        <v>0.8</v>
      </c>
      <c r="F262" s="628">
        <v>0.7</v>
      </c>
      <c r="G262" s="628">
        <v>12</v>
      </c>
      <c r="H262" s="431">
        <f t="shared" si="49"/>
        <v>36.96</v>
      </c>
      <c r="I262" s="750">
        <f t="shared" si="50"/>
        <v>960.96</v>
      </c>
    </row>
    <row r="263" spans="1:10" ht="14.25" customHeight="1">
      <c r="A263" s="745"/>
      <c r="C263" s="435" t="s">
        <v>638</v>
      </c>
      <c r="D263" s="751">
        <f>SUM(D247:D262)</f>
        <v>298</v>
      </c>
      <c r="E263" s="428"/>
      <c r="F263" s="752" t="s">
        <v>615</v>
      </c>
      <c r="G263" s="751"/>
      <c r="H263" s="435"/>
      <c r="I263" s="753">
        <f>SUM(I247:I262)</f>
        <v>52066.55999999999</v>
      </c>
    </row>
    <row r="264" spans="1:10" ht="14.25" customHeight="1">
      <c r="A264" s="745"/>
      <c r="C264" s="429"/>
      <c r="D264" s="428"/>
      <c r="E264" s="428"/>
      <c r="F264" s="752" t="s">
        <v>616</v>
      </c>
      <c r="G264" s="751"/>
      <c r="H264" s="435"/>
      <c r="I264" s="754">
        <f>'HVAC-Mall'!C14</f>
        <v>7.9737499999999999</v>
      </c>
    </row>
    <row r="265" spans="1:10" ht="14.25" customHeight="1" thickBot="1">
      <c r="A265" s="755"/>
      <c r="B265" s="756"/>
      <c r="C265" s="757"/>
      <c r="D265" s="758"/>
      <c r="E265" s="758"/>
      <c r="F265" s="759" t="s">
        <v>617</v>
      </c>
      <c r="G265" s="760"/>
      <c r="H265" s="761"/>
      <c r="I265" s="762">
        <f>I263*I264</f>
        <v>415165.73279999994</v>
      </c>
    </row>
    <row r="267" spans="1:10" ht="14.25" customHeight="1">
      <c r="A267" s="724" t="s">
        <v>637</v>
      </c>
      <c r="B267" s="725"/>
      <c r="C267" s="725"/>
      <c r="D267" s="725"/>
      <c r="E267" s="725"/>
      <c r="F267" s="725"/>
      <c r="G267" s="725"/>
      <c r="H267" s="725"/>
      <c r="I267" s="725"/>
      <c r="J267" s="725"/>
    </row>
    <row r="268" spans="1:10" ht="14.25" customHeight="1" outlineLevel="1">
      <c r="A268" s="425">
        <v>1</v>
      </c>
      <c r="B268" s="441" t="s">
        <v>419</v>
      </c>
      <c r="C268" s="427" t="s">
        <v>420</v>
      </c>
      <c r="D268" s="426">
        <v>390</v>
      </c>
      <c r="E268" s="628"/>
    </row>
    <row r="269" spans="1:10" ht="14.25" customHeight="1" outlineLevel="1">
      <c r="A269" s="425">
        <v>2</v>
      </c>
      <c r="B269" s="441" t="s">
        <v>419</v>
      </c>
      <c r="C269" s="427" t="s">
        <v>420</v>
      </c>
      <c r="D269" s="426">
        <v>390</v>
      </c>
      <c r="E269" s="628"/>
    </row>
    <row r="270" spans="1:10" ht="14.25" customHeight="1" outlineLevel="1">
      <c r="A270" s="425">
        <v>3</v>
      </c>
      <c r="B270" s="441" t="s">
        <v>419</v>
      </c>
      <c r="C270" s="427" t="s">
        <v>421</v>
      </c>
      <c r="D270" s="426">
        <v>243</v>
      </c>
      <c r="E270" s="628"/>
    </row>
    <row r="271" spans="1:10" ht="14.25" customHeight="1" outlineLevel="1">
      <c r="A271" s="425">
        <v>4</v>
      </c>
      <c r="B271" s="441" t="s">
        <v>419</v>
      </c>
      <c r="C271" s="427" t="s">
        <v>422</v>
      </c>
      <c r="D271" s="426">
        <v>18.5</v>
      </c>
      <c r="E271" s="628"/>
    </row>
    <row r="272" spans="1:10" ht="14.25" customHeight="1" outlineLevel="1">
      <c r="A272" s="425">
        <v>5</v>
      </c>
      <c r="B272" s="441" t="s">
        <v>419</v>
      </c>
      <c r="C272" s="427" t="s">
        <v>423</v>
      </c>
      <c r="D272" s="426">
        <v>18.5</v>
      </c>
      <c r="E272" s="628"/>
    </row>
    <row r="273" spans="1:5" ht="14.25" customHeight="1" outlineLevel="1">
      <c r="A273" s="425">
        <v>6</v>
      </c>
      <c r="B273" s="441" t="s">
        <v>419</v>
      </c>
      <c r="C273" s="427" t="s">
        <v>424</v>
      </c>
      <c r="D273" s="426">
        <v>15</v>
      </c>
      <c r="E273" s="628"/>
    </row>
    <row r="274" spans="1:5" ht="14.25" customHeight="1" outlineLevel="1">
      <c r="A274" s="425">
        <v>7</v>
      </c>
      <c r="B274" s="441" t="s">
        <v>419</v>
      </c>
      <c r="C274" s="427" t="s">
        <v>425</v>
      </c>
      <c r="D274" s="426">
        <v>22</v>
      </c>
      <c r="E274" s="628"/>
    </row>
    <row r="275" spans="1:5" ht="14.25" customHeight="1" outlineLevel="1">
      <c r="A275" s="425">
        <v>8</v>
      </c>
      <c r="B275" s="441" t="s">
        <v>419</v>
      </c>
      <c r="C275" s="427" t="s">
        <v>426</v>
      </c>
      <c r="D275" s="426">
        <v>22</v>
      </c>
      <c r="E275" s="628"/>
    </row>
    <row r="276" spans="1:5" ht="14.25" customHeight="1" outlineLevel="1">
      <c r="A276" s="425">
        <v>9</v>
      </c>
      <c r="B276" s="441" t="s">
        <v>419</v>
      </c>
      <c r="C276" s="427" t="s">
        <v>427</v>
      </c>
      <c r="D276" s="426">
        <v>22</v>
      </c>
      <c r="E276" s="628"/>
    </row>
    <row r="277" spans="1:5" ht="14.25" customHeight="1" outlineLevel="1">
      <c r="A277" s="425">
        <v>10</v>
      </c>
      <c r="B277" s="441" t="s">
        <v>419</v>
      </c>
      <c r="C277" s="427" t="s">
        <v>428</v>
      </c>
      <c r="D277" s="426">
        <v>22</v>
      </c>
      <c r="E277" s="628"/>
    </row>
    <row r="278" spans="1:5" ht="14.25" customHeight="1" outlineLevel="1">
      <c r="A278" s="425">
        <v>11</v>
      </c>
      <c r="B278" s="441" t="s">
        <v>419</v>
      </c>
      <c r="C278" s="427" t="s">
        <v>429</v>
      </c>
      <c r="D278" s="426">
        <v>22</v>
      </c>
      <c r="E278" s="628"/>
    </row>
    <row r="279" spans="1:5" ht="14.25" customHeight="1" outlineLevel="1">
      <c r="A279" s="425">
        <v>12</v>
      </c>
      <c r="B279" s="441" t="s">
        <v>419</v>
      </c>
      <c r="C279" s="427" t="s">
        <v>430</v>
      </c>
      <c r="D279" s="426">
        <v>45</v>
      </c>
      <c r="E279" s="628"/>
    </row>
    <row r="280" spans="1:5" ht="14.25" customHeight="1" outlineLevel="1">
      <c r="A280" s="425">
        <v>13</v>
      </c>
      <c r="B280" s="441" t="s">
        <v>419</v>
      </c>
      <c r="C280" s="427" t="s">
        <v>431</v>
      </c>
      <c r="D280" s="426">
        <v>45</v>
      </c>
      <c r="E280" s="628"/>
    </row>
    <row r="281" spans="1:5" ht="14.25" customHeight="1" outlineLevel="1">
      <c r="A281" s="425">
        <v>14</v>
      </c>
      <c r="B281" s="441" t="s">
        <v>419</v>
      </c>
      <c r="C281" s="427" t="s">
        <v>432</v>
      </c>
      <c r="D281" s="426">
        <v>22</v>
      </c>
      <c r="E281" s="628"/>
    </row>
    <row r="282" spans="1:5" ht="14.25" customHeight="1" outlineLevel="1">
      <c r="A282" s="425">
        <v>26</v>
      </c>
      <c r="B282" s="441" t="s">
        <v>433</v>
      </c>
      <c r="C282" s="427" t="s">
        <v>445</v>
      </c>
      <c r="D282" s="426">
        <v>5.5</v>
      </c>
      <c r="E282" s="628"/>
    </row>
    <row r="283" spans="1:5" ht="14.25" customHeight="1" outlineLevel="1">
      <c r="A283" s="425">
        <v>27</v>
      </c>
      <c r="B283" s="441" t="s">
        <v>433</v>
      </c>
      <c r="C283" s="427" t="s">
        <v>446</v>
      </c>
      <c r="D283" s="426">
        <v>5.5</v>
      </c>
      <c r="E283" s="628"/>
    </row>
    <row r="284" spans="1:5" ht="14.25" customHeight="1" outlineLevel="1">
      <c r="A284" s="425">
        <v>28</v>
      </c>
      <c r="B284" s="441" t="s">
        <v>433</v>
      </c>
      <c r="C284" s="427" t="s">
        <v>447</v>
      </c>
      <c r="D284" s="426">
        <v>5.5</v>
      </c>
      <c r="E284" s="628"/>
    </row>
    <row r="285" spans="1:5" ht="14.25" customHeight="1" outlineLevel="1">
      <c r="A285" s="425">
        <v>29</v>
      </c>
      <c r="B285" s="441" t="s">
        <v>433</v>
      </c>
      <c r="C285" s="427" t="s">
        <v>448</v>
      </c>
      <c r="D285" s="426">
        <v>5.5</v>
      </c>
      <c r="E285" s="628"/>
    </row>
    <row r="286" spans="1:5" ht="14.25" customHeight="1" outlineLevel="1">
      <c r="A286" s="425">
        <v>30</v>
      </c>
      <c r="B286" s="441" t="s">
        <v>433</v>
      </c>
      <c r="C286" s="427" t="s">
        <v>449</v>
      </c>
      <c r="D286" s="426">
        <v>5.5</v>
      </c>
      <c r="E286" s="628"/>
    </row>
    <row r="287" spans="1:5" ht="14.25" customHeight="1" outlineLevel="1">
      <c r="A287" s="425">
        <v>31</v>
      </c>
      <c r="B287" s="441" t="s">
        <v>433</v>
      </c>
      <c r="C287" s="427" t="s">
        <v>450</v>
      </c>
      <c r="D287" s="426">
        <v>5.5</v>
      </c>
      <c r="E287" s="628"/>
    </row>
    <row r="288" spans="1:5" ht="14.25" customHeight="1" outlineLevel="1">
      <c r="A288" s="425">
        <v>32</v>
      </c>
      <c r="B288" s="441" t="s">
        <v>433</v>
      </c>
      <c r="C288" s="427" t="s">
        <v>451</v>
      </c>
      <c r="D288" s="426">
        <v>5.5</v>
      </c>
      <c r="E288" s="628"/>
    </row>
    <row r="289" spans="1:5" ht="14.25" customHeight="1" outlineLevel="1">
      <c r="A289" s="425">
        <v>33</v>
      </c>
      <c r="B289" s="441" t="s">
        <v>433</v>
      </c>
      <c r="C289" s="427" t="s">
        <v>452</v>
      </c>
      <c r="D289" s="426">
        <v>5.5</v>
      </c>
      <c r="E289" s="628"/>
    </row>
    <row r="290" spans="1:5" ht="14.25" customHeight="1" outlineLevel="1">
      <c r="A290" s="425">
        <v>34</v>
      </c>
      <c r="B290" s="441" t="s">
        <v>433</v>
      </c>
      <c r="C290" s="427" t="s">
        <v>453</v>
      </c>
      <c r="D290" s="426">
        <v>5.5</v>
      </c>
      <c r="E290" s="628"/>
    </row>
    <row r="291" spans="1:5" ht="14.25" customHeight="1" outlineLevel="1">
      <c r="A291" s="425">
        <v>35</v>
      </c>
      <c r="B291" s="441" t="s">
        <v>433</v>
      </c>
      <c r="C291" s="427" t="s">
        <v>454</v>
      </c>
      <c r="D291" s="426">
        <v>5.5</v>
      </c>
      <c r="E291" s="628"/>
    </row>
    <row r="292" spans="1:5" ht="14.25" customHeight="1">
      <c r="A292" s="424"/>
      <c r="B292" s="440"/>
      <c r="C292" s="435" t="s">
        <v>638</v>
      </c>
      <c r="D292" s="447">
        <f>SUM(D268:D291)</f>
        <v>1352</v>
      </c>
      <c r="E292" s="358"/>
    </row>
  </sheetData>
  <sortState xmlns:xlrd2="http://schemas.microsoft.com/office/spreadsheetml/2017/richdata2" ref="A1:F534">
    <sortCondition ref="C208"/>
  </sortState>
  <hyperlinks>
    <hyperlink ref="L1" location="INDEX!A1" display="INDEX" xr:uid="{00000000-0004-0000-0B00-000000000000}"/>
  </hyperlinks>
  <pageMargins left="0.5" right="0" top="0.5" bottom="0.5" header="0.5" footer="0.5"/>
  <pageSetup paperSize="9" fitToHeight="8" orientation="portrait" r:id="rId1"/>
  <headerFooter alignWithMargins="0"/>
  <rowBreaks count="2" manualBreakCount="2">
    <brk id="107" max="8" man="1"/>
    <brk id="208" max="8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70C0"/>
    <pageSetUpPr fitToPage="1"/>
  </sheetPr>
  <dimension ref="A1:N31"/>
  <sheetViews>
    <sheetView zoomScale="80" zoomScaleNormal="80" workbookViewId="0">
      <pane xSplit="2" ySplit="10" topLeftCell="C11" activePane="bottomRight" state="frozen"/>
      <selection pane="topRight" activeCell="C1" sqref="C1"/>
      <selection pane="bottomLeft" activeCell="A8" sqref="A8"/>
      <selection pane="bottomRight" activeCell="J3" sqref="J3"/>
    </sheetView>
  </sheetViews>
  <sheetFormatPr defaultRowHeight="24.75" customHeight="1"/>
  <cols>
    <col min="1" max="1" width="71.42578125" style="59" customWidth="1"/>
    <col min="2" max="2" width="13.42578125" style="59" customWidth="1"/>
    <col min="3" max="3" width="15.5703125" style="59" customWidth="1"/>
    <col min="4" max="4" width="12.5703125" style="59" customWidth="1"/>
    <col min="5" max="5" width="12.42578125" style="59" bestFit="1" customWidth="1"/>
    <col min="6" max="6" width="16" style="59" customWidth="1"/>
    <col min="7" max="7" width="12" style="59" bestFit="1" customWidth="1"/>
    <col min="8" max="10" width="12" style="59" customWidth="1"/>
    <col min="11" max="12" width="9.140625" style="59"/>
    <col min="13" max="13" width="13.140625" style="59" customWidth="1"/>
    <col min="14" max="240" width="9.140625" style="59"/>
    <col min="241" max="241" width="44.85546875" style="59" bestFit="1" customWidth="1"/>
    <col min="242" max="242" width="17.28515625" style="59" bestFit="1" customWidth="1"/>
    <col min="243" max="243" width="19.140625" style="59" customWidth="1"/>
    <col min="244" max="244" width="4.85546875" style="59" customWidth="1"/>
    <col min="245" max="245" width="16.42578125" style="59" bestFit="1" customWidth="1"/>
    <col min="246" max="246" width="13" style="59" customWidth="1"/>
    <col min="247" max="247" width="13.42578125" style="59" customWidth="1"/>
    <col min="248" max="249" width="13" style="59" customWidth="1"/>
    <col min="250" max="250" width="16.85546875" style="59" bestFit="1" customWidth="1"/>
    <col min="251" max="251" width="11.5703125" style="59" bestFit="1" customWidth="1"/>
    <col min="252" max="496" width="9.140625" style="59"/>
    <col min="497" max="497" width="44.85546875" style="59" bestFit="1" customWidth="1"/>
    <col min="498" max="498" width="17.28515625" style="59" bestFit="1" customWidth="1"/>
    <col min="499" max="499" width="19.140625" style="59" customWidth="1"/>
    <col min="500" max="500" width="4.85546875" style="59" customWidth="1"/>
    <col min="501" max="501" width="16.42578125" style="59" bestFit="1" customWidth="1"/>
    <col min="502" max="502" width="13" style="59" customWidth="1"/>
    <col min="503" max="503" width="13.42578125" style="59" customWidth="1"/>
    <col min="504" max="505" width="13" style="59" customWidth="1"/>
    <col min="506" max="506" width="16.85546875" style="59" bestFit="1" customWidth="1"/>
    <col min="507" max="507" width="11.5703125" style="59" bestFit="1" customWidth="1"/>
    <col min="508" max="752" width="9.140625" style="59"/>
    <col min="753" max="753" width="44.85546875" style="59" bestFit="1" customWidth="1"/>
    <col min="754" max="754" width="17.28515625" style="59" bestFit="1" customWidth="1"/>
    <col min="755" max="755" width="19.140625" style="59" customWidth="1"/>
    <col min="756" max="756" width="4.85546875" style="59" customWidth="1"/>
    <col min="757" max="757" width="16.42578125" style="59" bestFit="1" customWidth="1"/>
    <col min="758" max="758" width="13" style="59" customWidth="1"/>
    <col min="759" max="759" width="13.42578125" style="59" customWidth="1"/>
    <col min="760" max="761" width="13" style="59" customWidth="1"/>
    <col min="762" max="762" width="16.85546875" style="59" bestFit="1" customWidth="1"/>
    <col min="763" max="763" width="11.5703125" style="59" bestFit="1" customWidth="1"/>
    <col min="764" max="1008" width="9.140625" style="59"/>
    <col min="1009" max="1009" width="44.85546875" style="59" bestFit="1" customWidth="1"/>
    <col min="1010" max="1010" width="17.28515625" style="59" bestFit="1" customWidth="1"/>
    <col min="1011" max="1011" width="19.140625" style="59" customWidth="1"/>
    <col min="1012" max="1012" width="4.85546875" style="59" customWidth="1"/>
    <col min="1013" max="1013" width="16.42578125" style="59" bestFit="1" customWidth="1"/>
    <col min="1014" max="1014" width="13" style="59" customWidth="1"/>
    <col min="1015" max="1015" width="13.42578125" style="59" customWidth="1"/>
    <col min="1016" max="1017" width="13" style="59" customWidth="1"/>
    <col min="1018" max="1018" width="16.85546875" style="59" bestFit="1" customWidth="1"/>
    <col min="1019" max="1019" width="11.5703125" style="59" bestFit="1" customWidth="1"/>
    <col min="1020" max="1264" width="9.140625" style="59"/>
    <col min="1265" max="1265" width="44.85546875" style="59" bestFit="1" customWidth="1"/>
    <col min="1266" max="1266" width="17.28515625" style="59" bestFit="1" customWidth="1"/>
    <col min="1267" max="1267" width="19.140625" style="59" customWidth="1"/>
    <col min="1268" max="1268" width="4.85546875" style="59" customWidth="1"/>
    <col min="1269" max="1269" width="16.42578125" style="59" bestFit="1" customWidth="1"/>
    <col min="1270" max="1270" width="13" style="59" customWidth="1"/>
    <col min="1271" max="1271" width="13.42578125" style="59" customWidth="1"/>
    <col min="1272" max="1273" width="13" style="59" customWidth="1"/>
    <col min="1274" max="1274" width="16.85546875" style="59" bestFit="1" customWidth="1"/>
    <col min="1275" max="1275" width="11.5703125" style="59" bestFit="1" customWidth="1"/>
    <col min="1276" max="1520" width="9.140625" style="59"/>
    <col min="1521" max="1521" width="44.85546875" style="59" bestFit="1" customWidth="1"/>
    <col min="1522" max="1522" width="17.28515625" style="59" bestFit="1" customWidth="1"/>
    <col min="1523" max="1523" width="19.140625" style="59" customWidth="1"/>
    <col min="1524" max="1524" width="4.85546875" style="59" customWidth="1"/>
    <col min="1525" max="1525" width="16.42578125" style="59" bestFit="1" customWidth="1"/>
    <col min="1526" max="1526" width="13" style="59" customWidth="1"/>
    <col min="1527" max="1527" width="13.42578125" style="59" customWidth="1"/>
    <col min="1528" max="1529" width="13" style="59" customWidth="1"/>
    <col min="1530" max="1530" width="16.85546875" style="59" bestFit="1" customWidth="1"/>
    <col min="1531" max="1531" width="11.5703125" style="59" bestFit="1" customWidth="1"/>
    <col min="1532" max="1776" width="9.140625" style="59"/>
    <col min="1777" max="1777" width="44.85546875" style="59" bestFit="1" customWidth="1"/>
    <col min="1778" max="1778" width="17.28515625" style="59" bestFit="1" customWidth="1"/>
    <col min="1779" max="1779" width="19.140625" style="59" customWidth="1"/>
    <col min="1780" max="1780" width="4.85546875" style="59" customWidth="1"/>
    <col min="1781" max="1781" width="16.42578125" style="59" bestFit="1" customWidth="1"/>
    <col min="1782" max="1782" width="13" style="59" customWidth="1"/>
    <col min="1783" max="1783" width="13.42578125" style="59" customWidth="1"/>
    <col min="1784" max="1785" width="13" style="59" customWidth="1"/>
    <col min="1786" max="1786" width="16.85546875" style="59" bestFit="1" customWidth="1"/>
    <col min="1787" max="1787" width="11.5703125" style="59" bestFit="1" customWidth="1"/>
    <col min="1788" max="2032" width="9.140625" style="59"/>
    <col min="2033" max="2033" width="44.85546875" style="59" bestFit="1" customWidth="1"/>
    <col min="2034" max="2034" width="17.28515625" style="59" bestFit="1" customWidth="1"/>
    <col min="2035" max="2035" width="19.140625" style="59" customWidth="1"/>
    <col min="2036" max="2036" width="4.85546875" style="59" customWidth="1"/>
    <col min="2037" max="2037" width="16.42578125" style="59" bestFit="1" customWidth="1"/>
    <col min="2038" max="2038" width="13" style="59" customWidth="1"/>
    <col min="2039" max="2039" width="13.42578125" style="59" customWidth="1"/>
    <col min="2040" max="2041" width="13" style="59" customWidth="1"/>
    <col min="2042" max="2042" width="16.85546875" style="59" bestFit="1" customWidth="1"/>
    <col min="2043" max="2043" width="11.5703125" style="59" bestFit="1" customWidth="1"/>
    <col min="2044" max="2288" width="9.140625" style="59"/>
    <col min="2289" max="2289" width="44.85546875" style="59" bestFit="1" customWidth="1"/>
    <col min="2290" max="2290" width="17.28515625" style="59" bestFit="1" customWidth="1"/>
    <col min="2291" max="2291" width="19.140625" style="59" customWidth="1"/>
    <col min="2292" max="2292" width="4.85546875" style="59" customWidth="1"/>
    <col min="2293" max="2293" width="16.42578125" style="59" bestFit="1" customWidth="1"/>
    <col min="2294" max="2294" width="13" style="59" customWidth="1"/>
    <col min="2295" max="2295" width="13.42578125" style="59" customWidth="1"/>
    <col min="2296" max="2297" width="13" style="59" customWidth="1"/>
    <col min="2298" max="2298" width="16.85546875" style="59" bestFit="1" customWidth="1"/>
    <col min="2299" max="2299" width="11.5703125" style="59" bestFit="1" customWidth="1"/>
    <col min="2300" max="2544" width="9.140625" style="59"/>
    <col min="2545" max="2545" width="44.85546875" style="59" bestFit="1" customWidth="1"/>
    <col min="2546" max="2546" width="17.28515625" style="59" bestFit="1" customWidth="1"/>
    <col min="2547" max="2547" width="19.140625" style="59" customWidth="1"/>
    <col min="2548" max="2548" width="4.85546875" style="59" customWidth="1"/>
    <col min="2549" max="2549" width="16.42578125" style="59" bestFit="1" customWidth="1"/>
    <col min="2550" max="2550" width="13" style="59" customWidth="1"/>
    <col min="2551" max="2551" width="13.42578125" style="59" customWidth="1"/>
    <col min="2552" max="2553" width="13" style="59" customWidth="1"/>
    <col min="2554" max="2554" width="16.85546875" style="59" bestFit="1" customWidth="1"/>
    <col min="2555" max="2555" width="11.5703125" style="59" bestFit="1" customWidth="1"/>
    <col min="2556" max="2800" width="9.140625" style="59"/>
    <col min="2801" max="2801" width="44.85546875" style="59" bestFit="1" customWidth="1"/>
    <col min="2802" max="2802" width="17.28515625" style="59" bestFit="1" customWidth="1"/>
    <col min="2803" max="2803" width="19.140625" style="59" customWidth="1"/>
    <col min="2804" max="2804" width="4.85546875" style="59" customWidth="1"/>
    <col min="2805" max="2805" width="16.42578125" style="59" bestFit="1" customWidth="1"/>
    <col min="2806" max="2806" width="13" style="59" customWidth="1"/>
    <col min="2807" max="2807" width="13.42578125" style="59" customWidth="1"/>
    <col min="2808" max="2809" width="13" style="59" customWidth="1"/>
    <col min="2810" max="2810" width="16.85546875" style="59" bestFit="1" customWidth="1"/>
    <col min="2811" max="2811" width="11.5703125" style="59" bestFit="1" customWidth="1"/>
    <col min="2812" max="3056" width="9.140625" style="59"/>
    <col min="3057" max="3057" width="44.85546875" style="59" bestFit="1" customWidth="1"/>
    <col min="3058" max="3058" width="17.28515625" style="59" bestFit="1" customWidth="1"/>
    <col min="3059" max="3059" width="19.140625" style="59" customWidth="1"/>
    <col min="3060" max="3060" width="4.85546875" style="59" customWidth="1"/>
    <col min="3061" max="3061" width="16.42578125" style="59" bestFit="1" customWidth="1"/>
    <col min="3062" max="3062" width="13" style="59" customWidth="1"/>
    <col min="3063" max="3063" width="13.42578125" style="59" customWidth="1"/>
    <col min="3064" max="3065" width="13" style="59" customWidth="1"/>
    <col min="3066" max="3066" width="16.85546875" style="59" bestFit="1" customWidth="1"/>
    <col min="3067" max="3067" width="11.5703125" style="59" bestFit="1" customWidth="1"/>
    <col min="3068" max="3312" width="9.140625" style="59"/>
    <col min="3313" max="3313" width="44.85546875" style="59" bestFit="1" customWidth="1"/>
    <col min="3314" max="3314" width="17.28515625" style="59" bestFit="1" customWidth="1"/>
    <col min="3315" max="3315" width="19.140625" style="59" customWidth="1"/>
    <col min="3316" max="3316" width="4.85546875" style="59" customWidth="1"/>
    <col min="3317" max="3317" width="16.42578125" style="59" bestFit="1" customWidth="1"/>
    <col min="3318" max="3318" width="13" style="59" customWidth="1"/>
    <col min="3319" max="3319" width="13.42578125" style="59" customWidth="1"/>
    <col min="3320" max="3321" width="13" style="59" customWidth="1"/>
    <col min="3322" max="3322" width="16.85546875" style="59" bestFit="1" customWidth="1"/>
    <col min="3323" max="3323" width="11.5703125" style="59" bestFit="1" customWidth="1"/>
    <col min="3324" max="3568" width="9.140625" style="59"/>
    <col min="3569" max="3569" width="44.85546875" style="59" bestFit="1" customWidth="1"/>
    <col min="3570" max="3570" width="17.28515625" style="59" bestFit="1" customWidth="1"/>
    <col min="3571" max="3571" width="19.140625" style="59" customWidth="1"/>
    <col min="3572" max="3572" width="4.85546875" style="59" customWidth="1"/>
    <col min="3573" max="3573" width="16.42578125" style="59" bestFit="1" customWidth="1"/>
    <col min="3574" max="3574" width="13" style="59" customWidth="1"/>
    <col min="3575" max="3575" width="13.42578125" style="59" customWidth="1"/>
    <col min="3576" max="3577" width="13" style="59" customWidth="1"/>
    <col min="3578" max="3578" width="16.85546875" style="59" bestFit="1" customWidth="1"/>
    <col min="3579" max="3579" width="11.5703125" style="59" bestFit="1" customWidth="1"/>
    <col min="3580" max="3824" width="9.140625" style="59"/>
    <col min="3825" max="3825" width="44.85546875" style="59" bestFit="1" customWidth="1"/>
    <col min="3826" max="3826" width="17.28515625" style="59" bestFit="1" customWidth="1"/>
    <col min="3827" max="3827" width="19.140625" style="59" customWidth="1"/>
    <col min="3828" max="3828" width="4.85546875" style="59" customWidth="1"/>
    <col min="3829" max="3829" width="16.42578125" style="59" bestFit="1" customWidth="1"/>
    <col min="3830" max="3830" width="13" style="59" customWidth="1"/>
    <col min="3831" max="3831" width="13.42578125" style="59" customWidth="1"/>
    <col min="3832" max="3833" width="13" style="59" customWidth="1"/>
    <col min="3834" max="3834" width="16.85546875" style="59" bestFit="1" customWidth="1"/>
    <col min="3835" max="3835" width="11.5703125" style="59" bestFit="1" customWidth="1"/>
    <col min="3836" max="4080" width="9.140625" style="59"/>
    <col min="4081" max="4081" width="44.85546875" style="59" bestFit="1" customWidth="1"/>
    <col min="4082" max="4082" width="17.28515625" style="59" bestFit="1" customWidth="1"/>
    <col min="4083" max="4083" width="19.140625" style="59" customWidth="1"/>
    <col min="4084" max="4084" width="4.85546875" style="59" customWidth="1"/>
    <col min="4085" max="4085" width="16.42578125" style="59" bestFit="1" customWidth="1"/>
    <col min="4086" max="4086" width="13" style="59" customWidth="1"/>
    <col min="4087" max="4087" width="13.42578125" style="59" customWidth="1"/>
    <col min="4088" max="4089" width="13" style="59" customWidth="1"/>
    <col min="4090" max="4090" width="16.85546875" style="59" bestFit="1" customWidth="1"/>
    <col min="4091" max="4091" width="11.5703125" style="59" bestFit="1" customWidth="1"/>
    <col min="4092" max="4336" width="9.140625" style="59"/>
    <col min="4337" max="4337" width="44.85546875" style="59" bestFit="1" customWidth="1"/>
    <col min="4338" max="4338" width="17.28515625" style="59" bestFit="1" customWidth="1"/>
    <col min="4339" max="4339" width="19.140625" style="59" customWidth="1"/>
    <col min="4340" max="4340" width="4.85546875" style="59" customWidth="1"/>
    <col min="4341" max="4341" width="16.42578125" style="59" bestFit="1" customWidth="1"/>
    <col min="4342" max="4342" width="13" style="59" customWidth="1"/>
    <col min="4343" max="4343" width="13.42578125" style="59" customWidth="1"/>
    <col min="4344" max="4345" width="13" style="59" customWidth="1"/>
    <col min="4346" max="4346" width="16.85546875" style="59" bestFit="1" customWidth="1"/>
    <col min="4347" max="4347" width="11.5703125" style="59" bestFit="1" customWidth="1"/>
    <col min="4348" max="4592" width="9.140625" style="59"/>
    <col min="4593" max="4593" width="44.85546875" style="59" bestFit="1" customWidth="1"/>
    <col min="4594" max="4594" width="17.28515625" style="59" bestFit="1" customWidth="1"/>
    <col min="4595" max="4595" width="19.140625" style="59" customWidth="1"/>
    <col min="4596" max="4596" width="4.85546875" style="59" customWidth="1"/>
    <col min="4597" max="4597" width="16.42578125" style="59" bestFit="1" customWidth="1"/>
    <col min="4598" max="4598" width="13" style="59" customWidth="1"/>
    <col min="4599" max="4599" width="13.42578125" style="59" customWidth="1"/>
    <col min="4600" max="4601" width="13" style="59" customWidth="1"/>
    <col min="4602" max="4602" width="16.85546875" style="59" bestFit="1" customWidth="1"/>
    <col min="4603" max="4603" width="11.5703125" style="59" bestFit="1" customWidth="1"/>
    <col min="4604" max="4848" width="9.140625" style="59"/>
    <col min="4849" max="4849" width="44.85546875" style="59" bestFit="1" customWidth="1"/>
    <col min="4850" max="4850" width="17.28515625" style="59" bestFit="1" customWidth="1"/>
    <col min="4851" max="4851" width="19.140625" style="59" customWidth="1"/>
    <col min="4852" max="4852" width="4.85546875" style="59" customWidth="1"/>
    <col min="4853" max="4853" width="16.42578125" style="59" bestFit="1" customWidth="1"/>
    <col min="4854" max="4854" width="13" style="59" customWidth="1"/>
    <col min="4855" max="4855" width="13.42578125" style="59" customWidth="1"/>
    <col min="4856" max="4857" width="13" style="59" customWidth="1"/>
    <col min="4858" max="4858" width="16.85546875" style="59" bestFit="1" customWidth="1"/>
    <col min="4859" max="4859" width="11.5703125" style="59" bestFit="1" customWidth="1"/>
    <col min="4860" max="5104" width="9.140625" style="59"/>
    <col min="5105" max="5105" width="44.85546875" style="59" bestFit="1" customWidth="1"/>
    <col min="5106" max="5106" width="17.28515625" style="59" bestFit="1" customWidth="1"/>
    <col min="5107" max="5107" width="19.140625" style="59" customWidth="1"/>
    <col min="5108" max="5108" width="4.85546875" style="59" customWidth="1"/>
    <col min="5109" max="5109" width="16.42578125" style="59" bestFit="1" customWidth="1"/>
    <col min="5110" max="5110" width="13" style="59" customWidth="1"/>
    <col min="5111" max="5111" width="13.42578125" style="59" customWidth="1"/>
    <col min="5112" max="5113" width="13" style="59" customWidth="1"/>
    <col min="5114" max="5114" width="16.85546875" style="59" bestFit="1" customWidth="1"/>
    <col min="5115" max="5115" width="11.5703125" style="59" bestFit="1" customWidth="1"/>
    <col min="5116" max="5360" width="9.140625" style="59"/>
    <col min="5361" max="5361" width="44.85546875" style="59" bestFit="1" customWidth="1"/>
    <col min="5362" max="5362" width="17.28515625" style="59" bestFit="1" customWidth="1"/>
    <col min="5363" max="5363" width="19.140625" style="59" customWidth="1"/>
    <col min="5364" max="5364" width="4.85546875" style="59" customWidth="1"/>
    <col min="5365" max="5365" width="16.42578125" style="59" bestFit="1" customWidth="1"/>
    <col min="5366" max="5366" width="13" style="59" customWidth="1"/>
    <col min="5367" max="5367" width="13.42578125" style="59" customWidth="1"/>
    <col min="5368" max="5369" width="13" style="59" customWidth="1"/>
    <col min="5370" max="5370" width="16.85546875" style="59" bestFit="1" customWidth="1"/>
    <col min="5371" max="5371" width="11.5703125" style="59" bestFit="1" customWidth="1"/>
    <col min="5372" max="5616" width="9.140625" style="59"/>
    <col min="5617" max="5617" width="44.85546875" style="59" bestFit="1" customWidth="1"/>
    <col min="5618" max="5618" width="17.28515625" style="59" bestFit="1" customWidth="1"/>
    <col min="5619" max="5619" width="19.140625" style="59" customWidth="1"/>
    <col min="5620" max="5620" width="4.85546875" style="59" customWidth="1"/>
    <col min="5621" max="5621" width="16.42578125" style="59" bestFit="1" customWidth="1"/>
    <col min="5622" max="5622" width="13" style="59" customWidth="1"/>
    <col min="5623" max="5623" width="13.42578125" style="59" customWidth="1"/>
    <col min="5624" max="5625" width="13" style="59" customWidth="1"/>
    <col min="5626" max="5626" width="16.85546875" style="59" bestFit="1" customWidth="1"/>
    <col min="5627" max="5627" width="11.5703125" style="59" bestFit="1" customWidth="1"/>
    <col min="5628" max="5872" width="9.140625" style="59"/>
    <col min="5873" max="5873" width="44.85546875" style="59" bestFit="1" customWidth="1"/>
    <col min="5874" max="5874" width="17.28515625" style="59" bestFit="1" customWidth="1"/>
    <col min="5875" max="5875" width="19.140625" style="59" customWidth="1"/>
    <col min="5876" max="5876" width="4.85546875" style="59" customWidth="1"/>
    <col min="5877" max="5877" width="16.42578125" style="59" bestFit="1" customWidth="1"/>
    <col min="5878" max="5878" width="13" style="59" customWidth="1"/>
    <col min="5879" max="5879" width="13.42578125" style="59" customWidth="1"/>
    <col min="5880" max="5881" width="13" style="59" customWidth="1"/>
    <col min="5882" max="5882" width="16.85546875" style="59" bestFit="1" customWidth="1"/>
    <col min="5883" max="5883" width="11.5703125" style="59" bestFit="1" customWidth="1"/>
    <col min="5884" max="6128" width="9.140625" style="59"/>
    <col min="6129" max="6129" width="44.85546875" style="59" bestFit="1" customWidth="1"/>
    <col min="6130" max="6130" width="17.28515625" style="59" bestFit="1" customWidth="1"/>
    <col min="6131" max="6131" width="19.140625" style="59" customWidth="1"/>
    <col min="6132" max="6132" width="4.85546875" style="59" customWidth="1"/>
    <col min="6133" max="6133" width="16.42578125" style="59" bestFit="1" customWidth="1"/>
    <col min="6134" max="6134" width="13" style="59" customWidth="1"/>
    <col min="6135" max="6135" width="13.42578125" style="59" customWidth="1"/>
    <col min="6136" max="6137" width="13" style="59" customWidth="1"/>
    <col min="6138" max="6138" width="16.85546875" style="59" bestFit="1" customWidth="1"/>
    <col min="6139" max="6139" width="11.5703125" style="59" bestFit="1" customWidth="1"/>
    <col min="6140" max="6384" width="9.140625" style="59"/>
    <col min="6385" max="6385" width="44.85546875" style="59" bestFit="1" customWidth="1"/>
    <col min="6386" max="6386" width="17.28515625" style="59" bestFit="1" customWidth="1"/>
    <col min="6387" max="6387" width="19.140625" style="59" customWidth="1"/>
    <col min="6388" max="6388" width="4.85546875" style="59" customWidth="1"/>
    <col min="6389" max="6389" width="16.42578125" style="59" bestFit="1" customWidth="1"/>
    <col min="6390" max="6390" width="13" style="59" customWidth="1"/>
    <col min="6391" max="6391" width="13.42578125" style="59" customWidth="1"/>
    <col min="6392" max="6393" width="13" style="59" customWidth="1"/>
    <col min="6394" max="6394" width="16.85546875" style="59" bestFit="1" customWidth="1"/>
    <col min="6395" max="6395" width="11.5703125" style="59" bestFit="1" customWidth="1"/>
    <col min="6396" max="6640" width="9.140625" style="59"/>
    <col min="6641" max="6641" width="44.85546875" style="59" bestFit="1" customWidth="1"/>
    <col min="6642" max="6642" width="17.28515625" style="59" bestFit="1" customWidth="1"/>
    <col min="6643" max="6643" width="19.140625" style="59" customWidth="1"/>
    <col min="6644" max="6644" width="4.85546875" style="59" customWidth="1"/>
    <col min="6645" max="6645" width="16.42578125" style="59" bestFit="1" customWidth="1"/>
    <col min="6646" max="6646" width="13" style="59" customWidth="1"/>
    <col min="6647" max="6647" width="13.42578125" style="59" customWidth="1"/>
    <col min="6648" max="6649" width="13" style="59" customWidth="1"/>
    <col min="6650" max="6650" width="16.85546875" style="59" bestFit="1" customWidth="1"/>
    <col min="6651" max="6651" width="11.5703125" style="59" bestFit="1" customWidth="1"/>
    <col min="6652" max="6896" width="9.140625" style="59"/>
    <col min="6897" max="6897" width="44.85546875" style="59" bestFit="1" customWidth="1"/>
    <col min="6898" max="6898" width="17.28515625" style="59" bestFit="1" customWidth="1"/>
    <col min="6899" max="6899" width="19.140625" style="59" customWidth="1"/>
    <col min="6900" max="6900" width="4.85546875" style="59" customWidth="1"/>
    <col min="6901" max="6901" width="16.42578125" style="59" bestFit="1" customWidth="1"/>
    <col min="6902" max="6902" width="13" style="59" customWidth="1"/>
    <col min="6903" max="6903" width="13.42578125" style="59" customWidth="1"/>
    <col min="6904" max="6905" width="13" style="59" customWidth="1"/>
    <col min="6906" max="6906" width="16.85546875" style="59" bestFit="1" customWidth="1"/>
    <col min="6907" max="6907" width="11.5703125" style="59" bestFit="1" customWidth="1"/>
    <col min="6908" max="7152" width="9.140625" style="59"/>
    <col min="7153" max="7153" width="44.85546875" style="59" bestFit="1" customWidth="1"/>
    <col min="7154" max="7154" width="17.28515625" style="59" bestFit="1" customWidth="1"/>
    <col min="7155" max="7155" width="19.140625" style="59" customWidth="1"/>
    <col min="7156" max="7156" width="4.85546875" style="59" customWidth="1"/>
    <col min="7157" max="7157" width="16.42578125" style="59" bestFit="1" customWidth="1"/>
    <col min="7158" max="7158" width="13" style="59" customWidth="1"/>
    <col min="7159" max="7159" width="13.42578125" style="59" customWidth="1"/>
    <col min="7160" max="7161" width="13" style="59" customWidth="1"/>
    <col min="7162" max="7162" width="16.85546875" style="59" bestFit="1" customWidth="1"/>
    <col min="7163" max="7163" width="11.5703125" style="59" bestFit="1" customWidth="1"/>
    <col min="7164" max="7408" width="9.140625" style="59"/>
    <col min="7409" max="7409" width="44.85546875" style="59" bestFit="1" customWidth="1"/>
    <col min="7410" max="7410" width="17.28515625" style="59" bestFit="1" customWidth="1"/>
    <col min="7411" max="7411" width="19.140625" style="59" customWidth="1"/>
    <col min="7412" max="7412" width="4.85546875" style="59" customWidth="1"/>
    <col min="7413" max="7413" width="16.42578125" style="59" bestFit="1" customWidth="1"/>
    <col min="7414" max="7414" width="13" style="59" customWidth="1"/>
    <col min="7415" max="7415" width="13.42578125" style="59" customWidth="1"/>
    <col min="7416" max="7417" width="13" style="59" customWidth="1"/>
    <col min="7418" max="7418" width="16.85546875" style="59" bestFit="1" customWidth="1"/>
    <col min="7419" max="7419" width="11.5703125" style="59" bestFit="1" customWidth="1"/>
    <col min="7420" max="7664" width="9.140625" style="59"/>
    <col min="7665" max="7665" width="44.85546875" style="59" bestFit="1" customWidth="1"/>
    <col min="7666" max="7666" width="17.28515625" style="59" bestFit="1" customWidth="1"/>
    <col min="7667" max="7667" width="19.140625" style="59" customWidth="1"/>
    <col min="7668" max="7668" width="4.85546875" style="59" customWidth="1"/>
    <col min="7669" max="7669" width="16.42578125" style="59" bestFit="1" customWidth="1"/>
    <col min="7670" max="7670" width="13" style="59" customWidth="1"/>
    <col min="7671" max="7671" width="13.42578125" style="59" customWidth="1"/>
    <col min="7672" max="7673" width="13" style="59" customWidth="1"/>
    <col min="7674" max="7674" width="16.85546875" style="59" bestFit="1" customWidth="1"/>
    <col min="7675" max="7675" width="11.5703125" style="59" bestFit="1" customWidth="1"/>
    <col min="7676" max="7920" width="9.140625" style="59"/>
    <col min="7921" max="7921" width="44.85546875" style="59" bestFit="1" customWidth="1"/>
    <col min="7922" max="7922" width="17.28515625" style="59" bestFit="1" customWidth="1"/>
    <col min="7923" max="7923" width="19.140625" style="59" customWidth="1"/>
    <col min="7924" max="7924" width="4.85546875" style="59" customWidth="1"/>
    <col min="7925" max="7925" width="16.42578125" style="59" bestFit="1" customWidth="1"/>
    <col min="7926" max="7926" width="13" style="59" customWidth="1"/>
    <col min="7927" max="7927" width="13.42578125" style="59" customWidth="1"/>
    <col min="7928" max="7929" width="13" style="59" customWidth="1"/>
    <col min="7930" max="7930" width="16.85546875" style="59" bestFit="1" customWidth="1"/>
    <col min="7931" max="7931" width="11.5703125" style="59" bestFit="1" customWidth="1"/>
    <col min="7932" max="8176" width="9.140625" style="59"/>
    <col min="8177" max="8177" width="44.85546875" style="59" bestFit="1" customWidth="1"/>
    <col min="8178" max="8178" width="17.28515625" style="59" bestFit="1" customWidth="1"/>
    <col min="8179" max="8179" width="19.140625" style="59" customWidth="1"/>
    <col min="8180" max="8180" width="4.85546875" style="59" customWidth="1"/>
    <col min="8181" max="8181" width="16.42578125" style="59" bestFit="1" customWidth="1"/>
    <col min="8182" max="8182" width="13" style="59" customWidth="1"/>
    <col min="8183" max="8183" width="13.42578125" style="59" customWidth="1"/>
    <col min="8184" max="8185" width="13" style="59" customWidth="1"/>
    <col min="8186" max="8186" width="16.85546875" style="59" bestFit="1" customWidth="1"/>
    <col min="8187" max="8187" width="11.5703125" style="59" bestFit="1" customWidth="1"/>
    <col min="8188" max="8432" width="9.140625" style="59"/>
    <col min="8433" max="8433" width="44.85546875" style="59" bestFit="1" customWidth="1"/>
    <col min="8434" max="8434" width="17.28515625" style="59" bestFit="1" customWidth="1"/>
    <col min="8435" max="8435" width="19.140625" style="59" customWidth="1"/>
    <col min="8436" max="8436" width="4.85546875" style="59" customWidth="1"/>
    <col min="8437" max="8437" width="16.42578125" style="59" bestFit="1" customWidth="1"/>
    <col min="8438" max="8438" width="13" style="59" customWidth="1"/>
    <col min="8439" max="8439" width="13.42578125" style="59" customWidth="1"/>
    <col min="8440" max="8441" width="13" style="59" customWidth="1"/>
    <col min="8442" max="8442" width="16.85546875" style="59" bestFit="1" customWidth="1"/>
    <col min="8443" max="8443" width="11.5703125" style="59" bestFit="1" customWidth="1"/>
    <col min="8444" max="8688" width="9.140625" style="59"/>
    <col min="8689" max="8689" width="44.85546875" style="59" bestFit="1" customWidth="1"/>
    <col min="8690" max="8690" width="17.28515625" style="59" bestFit="1" customWidth="1"/>
    <col min="8691" max="8691" width="19.140625" style="59" customWidth="1"/>
    <col min="8692" max="8692" width="4.85546875" style="59" customWidth="1"/>
    <col min="8693" max="8693" width="16.42578125" style="59" bestFit="1" customWidth="1"/>
    <col min="8694" max="8694" width="13" style="59" customWidth="1"/>
    <col min="8695" max="8695" width="13.42578125" style="59" customWidth="1"/>
    <col min="8696" max="8697" width="13" style="59" customWidth="1"/>
    <col min="8698" max="8698" width="16.85546875" style="59" bestFit="1" customWidth="1"/>
    <col min="8699" max="8699" width="11.5703125" style="59" bestFit="1" customWidth="1"/>
    <col min="8700" max="8944" width="9.140625" style="59"/>
    <col min="8945" max="8945" width="44.85546875" style="59" bestFit="1" customWidth="1"/>
    <col min="8946" max="8946" width="17.28515625" style="59" bestFit="1" customWidth="1"/>
    <col min="8947" max="8947" width="19.140625" style="59" customWidth="1"/>
    <col min="8948" max="8948" width="4.85546875" style="59" customWidth="1"/>
    <col min="8949" max="8949" width="16.42578125" style="59" bestFit="1" customWidth="1"/>
    <col min="8950" max="8950" width="13" style="59" customWidth="1"/>
    <col min="8951" max="8951" width="13.42578125" style="59" customWidth="1"/>
    <col min="8952" max="8953" width="13" style="59" customWidth="1"/>
    <col min="8954" max="8954" width="16.85546875" style="59" bestFit="1" customWidth="1"/>
    <col min="8955" max="8955" width="11.5703125" style="59" bestFit="1" customWidth="1"/>
    <col min="8956" max="9200" width="9.140625" style="59"/>
    <col min="9201" max="9201" width="44.85546875" style="59" bestFit="1" customWidth="1"/>
    <col min="9202" max="9202" width="17.28515625" style="59" bestFit="1" customWidth="1"/>
    <col min="9203" max="9203" width="19.140625" style="59" customWidth="1"/>
    <col min="9204" max="9204" width="4.85546875" style="59" customWidth="1"/>
    <col min="9205" max="9205" width="16.42578125" style="59" bestFit="1" customWidth="1"/>
    <col min="9206" max="9206" width="13" style="59" customWidth="1"/>
    <col min="9207" max="9207" width="13.42578125" style="59" customWidth="1"/>
    <col min="9208" max="9209" width="13" style="59" customWidth="1"/>
    <col min="9210" max="9210" width="16.85546875" style="59" bestFit="1" customWidth="1"/>
    <col min="9211" max="9211" width="11.5703125" style="59" bestFit="1" customWidth="1"/>
    <col min="9212" max="9456" width="9.140625" style="59"/>
    <col min="9457" max="9457" width="44.85546875" style="59" bestFit="1" customWidth="1"/>
    <col min="9458" max="9458" width="17.28515625" style="59" bestFit="1" customWidth="1"/>
    <col min="9459" max="9459" width="19.140625" style="59" customWidth="1"/>
    <col min="9460" max="9460" width="4.85546875" style="59" customWidth="1"/>
    <col min="9461" max="9461" width="16.42578125" style="59" bestFit="1" customWidth="1"/>
    <col min="9462" max="9462" width="13" style="59" customWidth="1"/>
    <col min="9463" max="9463" width="13.42578125" style="59" customWidth="1"/>
    <col min="9464" max="9465" width="13" style="59" customWidth="1"/>
    <col min="9466" max="9466" width="16.85546875" style="59" bestFit="1" customWidth="1"/>
    <col min="9467" max="9467" width="11.5703125" style="59" bestFit="1" customWidth="1"/>
    <col min="9468" max="9712" width="9.140625" style="59"/>
    <col min="9713" max="9713" width="44.85546875" style="59" bestFit="1" customWidth="1"/>
    <col min="9714" max="9714" width="17.28515625" style="59" bestFit="1" customWidth="1"/>
    <col min="9715" max="9715" width="19.140625" style="59" customWidth="1"/>
    <col min="9716" max="9716" width="4.85546875" style="59" customWidth="1"/>
    <col min="9717" max="9717" width="16.42578125" style="59" bestFit="1" customWidth="1"/>
    <col min="9718" max="9718" width="13" style="59" customWidth="1"/>
    <col min="9719" max="9719" width="13.42578125" style="59" customWidth="1"/>
    <col min="9720" max="9721" width="13" style="59" customWidth="1"/>
    <col min="9722" max="9722" width="16.85546875" style="59" bestFit="1" customWidth="1"/>
    <col min="9723" max="9723" width="11.5703125" style="59" bestFit="1" customWidth="1"/>
    <col min="9724" max="9968" width="9.140625" style="59"/>
    <col min="9969" max="9969" width="44.85546875" style="59" bestFit="1" customWidth="1"/>
    <col min="9970" max="9970" width="17.28515625" style="59" bestFit="1" customWidth="1"/>
    <col min="9971" max="9971" width="19.140625" style="59" customWidth="1"/>
    <col min="9972" max="9972" width="4.85546875" style="59" customWidth="1"/>
    <col min="9973" max="9973" width="16.42578125" style="59" bestFit="1" customWidth="1"/>
    <col min="9974" max="9974" width="13" style="59" customWidth="1"/>
    <col min="9975" max="9975" width="13.42578125" style="59" customWidth="1"/>
    <col min="9976" max="9977" width="13" style="59" customWidth="1"/>
    <col min="9978" max="9978" width="16.85546875" style="59" bestFit="1" customWidth="1"/>
    <col min="9979" max="9979" width="11.5703125" style="59" bestFit="1" customWidth="1"/>
    <col min="9980" max="10224" width="9.140625" style="59"/>
    <col min="10225" max="10225" width="44.85546875" style="59" bestFit="1" customWidth="1"/>
    <col min="10226" max="10226" width="17.28515625" style="59" bestFit="1" customWidth="1"/>
    <col min="10227" max="10227" width="19.140625" style="59" customWidth="1"/>
    <col min="10228" max="10228" width="4.85546875" style="59" customWidth="1"/>
    <col min="10229" max="10229" width="16.42578125" style="59" bestFit="1" customWidth="1"/>
    <col min="10230" max="10230" width="13" style="59" customWidth="1"/>
    <col min="10231" max="10231" width="13.42578125" style="59" customWidth="1"/>
    <col min="10232" max="10233" width="13" style="59" customWidth="1"/>
    <col min="10234" max="10234" width="16.85546875" style="59" bestFit="1" customWidth="1"/>
    <col min="10235" max="10235" width="11.5703125" style="59" bestFit="1" customWidth="1"/>
    <col min="10236" max="10480" width="9.140625" style="59"/>
    <col min="10481" max="10481" width="44.85546875" style="59" bestFit="1" customWidth="1"/>
    <col min="10482" max="10482" width="17.28515625" style="59" bestFit="1" customWidth="1"/>
    <col min="10483" max="10483" width="19.140625" style="59" customWidth="1"/>
    <col min="10484" max="10484" width="4.85546875" style="59" customWidth="1"/>
    <col min="10485" max="10485" width="16.42578125" style="59" bestFit="1" customWidth="1"/>
    <col min="10486" max="10486" width="13" style="59" customWidth="1"/>
    <col min="10487" max="10487" width="13.42578125" style="59" customWidth="1"/>
    <col min="10488" max="10489" width="13" style="59" customWidth="1"/>
    <col min="10490" max="10490" width="16.85546875" style="59" bestFit="1" customWidth="1"/>
    <col min="10491" max="10491" width="11.5703125" style="59" bestFit="1" customWidth="1"/>
    <col min="10492" max="10736" width="9.140625" style="59"/>
    <col min="10737" max="10737" width="44.85546875" style="59" bestFit="1" customWidth="1"/>
    <col min="10738" max="10738" width="17.28515625" style="59" bestFit="1" customWidth="1"/>
    <col min="10739" max="10739" width="19.140625" style="59" customWidth="1"/>
    <col min="10740" max="10740" width="4.85546875" style="59" customWidth="1"/>
    <col min="10741" max="10741" width="16.42578125" style="59" bestFit="1" customWidth="1"/>
    <col min="10742" max="10742" width="13" style="59" customWidth="1"/>
    <col min="10743" max="10743" width="13.42578125" style="59" customWidth="1"/>
    <col min="10744" max="10745" width="13" style="59" customWidth="1"/>
    <col min="10746" max="10746" width="16.85546875" style="59" bestFit="1" customWidth="1"/>
    <col min="10747" max="10747" width="11.5703125" style="59" bestFit="1" customWidth="1"/>
    <col min="10748" max="10992" width="9.140625" style="59"/>
    <col min="10993" max="10993" width="44.85546875" style="59" bestFit="1" customWidth="1"/>
    <col min="10994" max="10994" width="17.28515625" style="59" bestFit="1" customWidth="1"/>
    <col min="10995" max="10995" width="19.140625" style="59" customWidth="1"/>
    <col min="10996" max="10996" width="4.85546875" style="59" customWidth="1"/>
    <col min="10997" max="10997" width="16.42578125" style="59" bestFit="1" customWidth="1"/>
    <col min="10998" max="10998" width="13" style="59" customWidth="1"/>
    <col min="10999" max="10999" width="13.42578125" style="59" customWidth="1"/>
    <col min="11000" max="11001" width="13" style="59" customWidth="1"/>
    <col min="11002" max="11002" width="16.85546875" style="59" bestFit="1" customWidth="1"/>
    <col min="11003" max="11003" width="11.5703125" style="59" bestFit="1" customWidth="1"/>
    <col min="11004" max="11248" width="9.140625" style="59"/>
    <col min="11249" max="11249" width="44.85546875" style="59" bestFit="1" customWidth="1"/>
    <col min="11250" max="11250" width="17.28515625" style="59" bestFit="1" customWidth="1"/>
    <col min="11251" max="11251" width="19.140625" style="59" customWidth="1"/>
    <col min="11252" max="11252" width="4.85546875" style="59" customWidth="1"/>
    <col min="11253" max="11253" width="16.42578125" style="59" bestFit="1" customWidth="1"/>
    <col min="11254" max="11254" width="13" style="59" customWidth="1"/>
    <col min="11255" max="11255" width="13.42578125" style="59" customWidth="1"/>
    <col min="11256" max="11257" width="13" style="59" customWidth="1"/>
    <col min="11258" max="11258" width="16.85546875" style="59" bestFit="1" customWidth="1"/>
    <col min="11259" max="11259" width="11.5703125" style="59" bestFit="1" customWidth="1"/>
    <col min="11260" max="11504" width="9.140625" style="59"/>
    <col min="11505" max="11505" width="44.85546875" style="59" bestFit="1" customWidth="1"/>
    <col min="11506" max="11506" width="17.28515625" style="59" bestFit="1" customWidth="1"/>
    <col min="11507" max="11507" width="19.140625" style="59" customWidth="1"/>
    <col min="11508" max="11508" width="4.85546875" style="59" customWidth="1"/>
    <col min="11509" max="11509" width="16.42578125" style="59" bestFit="1" customWidth="1"/>
    <col min="11510" max="11510" width="13" style="59" customWidth="1"/>
    <col min="11511" max="11511" width="13.42578125" style="59" customWidth="1"/>
    <col min="11512" max="11513" width="13" style="59" customWidth="1"/>
    <col min="11514" max="11514" width="16.85546875" style="59" bestFit="1" customWidth="1"/>
    <col min="11515" max="11515" width="11.5703125" style="59" bestFit="1" customWidth="1"/>
    <col min="11516" max="11760" width="9.140625" style="59"/>
    <col min="11761" max="11761" width="44.85546875" style="59" bestFit="1" customWidth="1"/>
    <col min="11762" max="11762" width="17.28515625" style="59" bestFit="1" customWidth="1"/>
    <col min="11763" max="11763" width="19.140625" style="59" customWidth="1"/>
    <col min="11764" max="11764" width="4.85546875" style="59" customWidth="1"/>
    <col min="11765" max="11765" width="16.42578125" style="59" bestFit="1" customWidth="1"/>
    <col min="11766" max="11766" width="13" style="59" customWidth="1"/>
    <col min="11767" max="11767" width="13.42578125" style="59" customWidth="1"/>
    <col min="11768" max="11769" width="13" style="59" customWidth="1"/>
    <col min="11770" max="11770" width="16.85546875" style="59" bestFit="1" customWidth="1"/>
    <col min="11771" max="11771" width="11.5703125" style="59" bestFit="1" customWidth="1"/>
    <col min="11772" max="12016" width="9.140625" style="59"/>
    <col min="12017" max="12017" width="44.85546875" style="59" bestFit="1" customWidth="1"/>
    <col min="12018" max="12018" width="17.28515625" style="59" bestFit="1" customWidth="1"/>
    <col min="12019" max="12019" width="19.140625" style="59" customWidth="1"/>
    <col min="12020" max="12020" width="4.85546875" style="59" customWidth="1"/>
    <col min="12021" max="12021" width="16.42578125" style="59" bestFit="1" customWidth="1"/>
    <col min="12022" max="12022" width="13" style="59" customWidth="1"/>
    <col min="12023" max="12023" width="13.42578125" style="59" customWidth="1"/>
    <col min="12024" max="12025" width="13" style="59" customWidth="1"/>
    <col min="12026" max="12026" width="16.85546875" style="59" bestFit="1" customWidth="1"/>
    <col min="12027" max="12027" width="11.5703125" style="59" bestFit="1" customWidth="1"/>
    <col min="12028" max="12272" width="9.140625" style="59"/>
    <col min="12273" max="12273" width="44.85546875" style="59" bestFit="1" customWidth="1"/>
    <col min="12274" max="12274" width="17.28515625" style="59" bestFit="1" customWidth="1"/>
    <col min="12275" max="12275" width="19.140625" style="59" customWidth="1"/>
    <col min="12276" max="12276" width="4.85546875" style="59" customWidth="1"/>
    <col min="12277" max="12277" width="16.42578125" style="59" bestFit="1" customWidth="1"/>
    <col min="12278" max="12278" width="13" style="59" customWidth="1"/>
    <col min="12279" max="12279" width="13.42578125" style="59" customWidth="1"/>
    <col min="12280" max="12281" width="13" style="59" customWidth="1"/>
    <col min="12282" max="12282" width="16.85546875" style="59" bestFit="1" customWidth="1"/>
    <col min="12283" max="12283" width="11.5703125" style="59" bestFit="1" customWidth="1"/>
    <col min="12284" max="12528" width="9.140625" style="59"/>
    <col min="12529" max="12529" width="44.85546875" style="59" bestFit="1" customWidth="1"/>
    <col min="12530" max="12530" width="17.28515625" style="59" bestFit="1" customWidth="1"/>
    <col min="12531" max="12531" width="19.140625" style="59" customWidth="1"/>
    <col min="12532" max="12532" width="4.85546875" style="59" customWidth="1"/>
    <col min="12533" max="12533" width="16.42578125" style="59" bestFit="1" customWidth="1"/>
    <col min="12534" max="12534" width="13" style="59" customWidth="1"/>
    <col min="12535" max="12535" width="13.42578125" style="59" customWidth="1"/>
    <col min="12536" max="12537" width="13" style="59" customWidth="1"/>
    <col min="12538" max="12538" width="16.85546875" style="59" bestFit="1" customWidth="1"/>
    <col min="12539" max="12539" width="11.5703125" style="59" bestFit="1" customWidth="1"/>
    <col min="12540" max="12784" width="9.140625" style="59"/>
    <col min="12785" max="12785" width="44.85546875" style="59" bestFit="1" customWidth="1"/>
    <col min="12786" max="12786" width="17.28515625" style="59" bestFit="1" customWidth="1"/>
    <col min="12787" max="12787" width="19.140625" style="59" customWidth="1"/>
    <col min="12788" max="12788" width="4.85546875" style="59" customWidth="1"/>
    <col min="12789" max="12789" width="16.42578125" style="59" bestFit="1" customWidth="1"/>
    <col min="12790" max="12790" width="13" style="59" customWidth="1"/>
    <col min="12791" max="12791" width="13.42578125" style="59" customWidth="1"/>
    <col min="12792" max="12793" width="13" style="59" customWidth="1"/>
    <col min="12794" max="12794" width="16.85546875" style="59" bestFit="1" customWidth="1"/>
    <col min="12795" max="12795" width="11.5703125" style="59" bestFit="1" customWidth="1"/>
    <col min="12796" max="13040" width="9.140625" style="59"/>
    <col min="13041" max="13041" width="44.85546875" style="59" bestFit="1" customWidth="1"/>
    <col min="13042" max="13042" width="17.28515625" style="59" bestFit="1" customWidth="1"/>
    <col min="13043" max="13043" width="19.140625" style="59" customWidth="1"/>
    <col min="13044" max="13044" width="4.85546875" style="59" customWidth="1"/>
    <col min="13045" max="13045" width="16.42578125" style="59" bestFit="1" customWidth="1"/>
    <col min="13046" max="13046" width="13" style="59" customWidth="1"/>
    <col min="13047" max="13047" width="13.42578125" style="59" customWidth="1"/>
    <col min="13048" max="13049" width="13" style="59" customWidth="1"/>
    <col min="13050" max="13050" width="16.85546875" style="59" bestFit="1" customWidth="1"/>
    <col min="13051" max="13051" width="11.5703125" style="59" bestFit="1" customWidth="1"/>
    <col min="13052" max="13296" width="9.140625" style="59"/>
    <col min="13297" max="13297" width="44.85546875" style="59" bestFit="1" customWidth="1"/>
    <col min="13298" max="13298" width="17.28515625" style="59" bestFit="1" customWidth="1"/>
    <col min="13299" max="13299" width="19.140625" style="59" customWidth="1"/>
    <col min="13300" max="13300" width="4.85546875" style="59" customWidth="1"/>
    <col min="13301" max="13301" width="16.42578125" style="59" bestFit="1" customWidth="1"/>
    <col min="13302" max="13302" width="13" style="59" customWidth="1"/>
    <col min="13303" max="13303" width="13.42578125" style="59" customWidth="1"/>
    <col min="13304" max="13305" width="13" style="59" customWidth="1"/>
    <col min="13306" max="13306" width="16.85546875" style="59" bestFit="1" customWidth="1"/>
    <col min="13307" max="13307" width="11.5703125" style="59" bestFit="1" customWidth="1"/>
    <col min="13308" max="13552" width="9.140625" style="59"/>
    <col min="13553" max="13553" width="44.85546875" style="59" bestFit="1" customWidth="1"/>
    <col min="13554" max="13554" width="17.28515625" style="59" bestFit="1" customWidth="1"/>
    <col min="13555" max="13555" width="19.140625" style="59" customWidth="1"/>
    <col min="13556" max="13556" width="4.85546875" style="59" customWidth="1"/>
    <col min="13557" max="13557" width="16.42578125" style="59" bestFit="1" customWidth="1"/>
    <col min="13558" max="13558" width="13" style="59" customWidth="1"/>
    <col min="13559" max="13559" width="13.42578125" style="59" customWidth="1"/>
    <col min="13560" max="13561" width="13" style="59" customWidth="1"/>
    <col min="13562" max="13562" width="16.85546875" style="59" bestFit="1" customWidth="1"/>
    <col min="13563" max="13563" width="11.5703125" style="59" bestFit="1" customWidth="1"/>
    <col min="13564" max="13808" width="9.140625" style="59"/>
    <col min="13809" max="13809" width="44.85546875" style="59" bestFit="1" customWidth="1"/>
    <col min="13810" max="13810" width="17.28515625" style="59" bestFit="1" customWidth="1"/>
    <col min="13811" max="13811" width="19.140625" style="59" customWidth="1"/>
    <col min="13812" max="13812" width="4.85546875" style="59" customWidth="1"/>
    <col min="13813" max="13813" width="16.42578125" style="59" bestFit="1" customWidth="1"/>
    <col min="13814" max="13814" width="13" style="59" customWidth="1"/>
    <col min="13815" max="13815" width="13.42578125" style="59" customWidth="1"/>
    <col min="13816" max="13817" width="13" style="59" customWidth="1"/>
    <col min="13818" max="13818" width="16.85546875" style="59" bestFit="1" customWidth="1"/>
    <col min="13819" max="13819" width="11.5703125" style="59" bestFit="1" customWidth="1"/>
    <col min="13820" max="14064" width="9.140625" style="59"/>
    <col min="14065" max="14065" width="44.85546875" style="59" bestFit="1" customWidth="1"/>
    <col min="14066" max="14066" width="17.28515625" style="59" bestFit="1" customWidth="1"/>
    <col min="14067" max="14067" width="19.140625" style="59" customWidth="1"/>
    <col min="14068" max="14068" width="4.85546875" style="59" customWidth="1"/>
    <col min="14069" max="14069" width="16.42578125" style="59" bestFit="1" customWidth="1"/>
    <col min="14070" max="14070" width="13" style="59" customWidth="1"/>
    <col min="14071" max="14071" width="13.42578125" style="59" customWidth="1"/>
    <col min="14072" max="14073" width="13" style="59" customWidth="1"/>
    <col min="14074" max="14074" width="16.85546875" style="59" bestFit="1" customWidth="1"/>
    <col min="14075" max="14075" width="11.5703125" style="59" bestFit="1" customWidth="1"/>
    <col min="14076" max="14320" width="9.140625" style="59"/>
    <col min="14321" max="14321" width="44.85546875" style="59" bestFit="1" customWidth="1"/>
    <col min="14322" max="14322" width="17.28515625" style="59" bestFit="1" customWidth="1"/>
    <col min="14323" max="14323" width="19.140625" style="59" customWidth="1"/>
    <col min="14324" max="14324" width="4.85546875" style="59" customWidth="1"/>
    <col min="14325" max="14325" width="16.42578125" style="59" bestFit="1" customWidth="1"/>
    <col min="14326" max="14326" width="13" style="59" customWidth="1"/>
    <col min="14327" max="14327" width="13.42578125" style="59" customWidth="1"/>
    <col min="14328" max="14329" width="13" style="59" customWidth="1"/>
    <col min="14330" max="14330" width="16.85546875" style="59" bestFit="1" customWidth="1"/>
    <col min="14331" max="14331" width="11.5703125" style="59" bestFit="1" customWidth="1"/>
    <col min="14332" max="14576" width="9.140625" style="59"/>
    <col min="14577" max="14577" width="44.85546875" style="59" bestFit="1" customWidth="1"/>
    <col min="14578" max="14578" width="17.28515625" style="59" bestFit="1" customWidth="1"/>
    <col min="14579" max="14579" width="19.140625" style="59" customWidth="1"/>
    <col min="14580" max="14580" width="4.85546875" style="59" customWidth="1"/>
    <col min="14581" max="14581" width="16.42578125" style="59" bestFit="1" customWidth="1"/>
    <col min="14582" max="14582" width="13" style="59" customWidth="1"/>
    <col min="14583" max="14583" width="13.42578125" style="59" customWidth="1"/>
    <col min="14584" max="14585" width="13" style="59" customWidth="1"/>
    <col min="14586" max="14586" width="16.85546875" style="59" bestFit="1" customWidth="1"/>
    <col min="14587" max="14587" width="11.5703125" style="59" bestFit="1" customWidth="1"/>
    <col min="14588" max="14832" width="9.140625" style="59"/>
    <col min="14833" max="14833" width="44.85546875" style="59" bestFit="1" customWidth="1"/>
    <col min="14834" max="14834" width="17.28515625" style="59" bestFit="1" customWidth="1"/>
    <col min="14835" max="14835" width="19.140625" style="59" customWidth="1"/>
    <col min="14836" max="14836" width="4.85546875" style="59" customWidth="1"/>
    <col min="14837" max="14837" width="16.42578125" style="59" bestFit="1" customWidth="1"/>
    <col min="14838" max="14838" width="13" style="59" customWidth="1"/>
    <col min="14839" max="14839" width="13.42578125" style="59" customWidth="1"/>
    <col min="14840" max="14841" width="13" style="59" customWidth="1"/>
    <col min="14842" max="14842" width="16.85546875" style="59" bestFit="1" customWidth="1"/>
    <col min="14843" max="14843" width="11.5703125" style="59" bestFit="1" customWidth="1"/>
    <col min="14844" max="15088" width="9.140625" style="59"/>
    <col min="15089" max="15089" width="44.85546875" style="59" bestFit="1" customWidth="1"/>
    <col min="15090" max="15090" width="17.28515625" style="59" bestFit="1" customWidth="1"/>
    <col min="15091" max="15091" width="19.140625" style="59" customWidth="1"/>
    <col min="15092" max="15092" width="4.85546875" style="59" customWidth="1"/>
    <col min="15093" max="15093" width="16.42578125" style="59" bestFit="1" customWidth="1"/>
    <col min="15094" max="15094" width="13" style="59" customWidth="1"/>
    <col min="15095" max="15095" width="13.42578125" style="59" customWidth="1"/>
    <col min="15096" max="15097" width="13" style="59" customWidth="1"/>
    <col min="15098" max="15098" width="16.85546875" style="59" bestFit="1" customWidth="1"/>
    <col min="15099" max="15099" width="11.5703125" style="59" bestFit="1" customWidth="1"/>
    <col min="15100" max="15344" width="9.140625" style="59"/>
    <col min="15345" max="15345" width="44.85546875" style="59" bestFit="1" customWidth="1"/>
    <col min="15346" max="15346" width="17.28515625" style="59" bestFit="1" customWidth="1"/>
    <col min="15347" max="15347" width="19.140625" style="59" customWidth="1"/>
    <col min="15348" max="15348" width="4.85546875" style="59" customWidth="1"/>
    <col min="15349" max="15349" width="16.42578125" style="59" bestFit="1" customWidth="1"/>
    <col min="15350" max="15350" width="13" style="59" customWidth="1"/>
    <col min="15351" max="15351" width="13.42578125" style="59" customWidth="1"/>
    <col min="15352" max="15353" width="13" style="59" customWidth="1"/>
    <col min="15354" max="15354" width="16.85546875" style="59" bestFit="1" customWidth="1"/>
    <col min="15355" max="15355" width="11.5703125" style="59" bestFit="1" customWidth="1"/>
    <col min="15356" max="15600" width="9.140625" style="59"/>
    <col min="15601" max="15601" width="44.85546875" style="59" bestFit="1" customWidth="1"/>
    <col min="15602" max="15602" width="17.28515625" style="59" bestFit="1" customWidth="1"/>
    <col min="15603" max="15603" width="19.140625" style="59" customWidth="1"/>
    <col min="15604" max="15604" width="4.85546875" style="59" customWidth="1"/>
    <col min="15605" max="15605" width="16.42578125" style="59" bestFit="1" customWidth="1"/>
    <col min="15606" max="15606" width="13" style="59" customWidth="1"/>
    <col min="15607" max="15607" width="13.42578125" style="59" customWidth="1"/>
    <col min="15608" max="15609" width="13" style="59" customWidth="1"/>
    <col min="15610" max="15610" width="16.85546875" style="59" bestFit="1" customWidth="1"/>
    <col min="15611" max="15611" width="11.5703125" style="59" bestFit="1" customWidth="1"/>
    <col min="15612" max="15856" width="9.140625" style="59"/>
    <col min="15857" max="15857" width="44.85546875" style="59" bestFit="1" customWidth="1"/>
    <col min="15858" max="15858" width="17.28515625" style="59" bestFit="1" customWidth="1"/>
    <col min="15859" max="15859" width="19.140625" style="59" customWidth="1"/>
    <col min="15860" max="15860" width="4.85546875" style="59" customWidth="1"/>
    <col min="15861" max="15861" width="16.42578125" style="59" bestFit="1" customWidth="1"/>
    <col min="15862" max="15862" width="13" style="59" customWidth="1"/>
    <col min="15863" max="15863" width="13.42578125" style="59" customWidth="1"/>
    <col min="15864" max="15865" width="13" style="59" customWidth="1"/>
    <col min="15866" max="15866" width="16.85546875" style="59" bestFit="1" customWidth="1"/>
    <col min="15867" max="15867" width="11.5703125" style="59" bestFit="1" customWidth="1"/>
    <col min="15868" max="16112" width="9.140625" style="59"/>
    <col min="16113" max="16113" width="44.85546875" style="59" bestFit="1" customWidth="1"/>
    <col min="16114" max="16114" width="17.28515625" style="59" bestFit="1" customWidth="1"/>
    <col min="16115" max="16115" width="19.140625" style="59" customWidth="1"/>
    <col min="16116" max="16116" width="4.85546875" style="59" customWidth="1"/>
    <col min="16117" max="16117" width="16.42578125" style="59" bestFit="1" customWidth="1"/>
    <col min="16118" max="16118" width="13" style="59" customWidth="1"/>
    <col min="16119" max="16119" width="13.42578125" style="59" customWidth="1"/>
    <col min="16120" max="16121" width="13" style="59" customWidth="1"/>
    <col min="16122" max="16122" width="16.85546875" style="59" bestFit="1" customWidth="1"/>
    <col min="16123" max="16123" width="11.5703125" style="59" bestFit="1" customWidth="1"/>
    <col min="16124" max="16384" width="9.140625" style="59"/>
  </cols>
  <sheetData>
    <row r="1" spans="1:14" ht="24.75" customHeight="1" thickBot="1">
      <c r="A1" s="1016" t="s">
        <v>801</v>
      </c>
      <c r="B1" s="1017"/>
      <c r="C1" s="1018"/>
    </row>
    <row r="2" spans="1:14" ht="24.75" customHeight="1" thickBot="1">
      <c r="A2" s="1014" t="s">
        <v>17</v>
      </c>
      <c r="B2" s="1015"/>
      <c r="C2" s="61" t="s">
        <v>358</v>
      </c>
      <c r="F2" s="265" t="s">
        <v>220</v>
      </c>
      <c r="G2" s="1019" t="s">
        <v>675</v>
      </c>
      <c r="H2" s="1020"/>
      <c r="I2" s="263" t="s">
        <v>86</v>
      </c>
      <c r="J2" s="263" t="s">
        <v>676</v>
      </c>
      <c r="M2" s="270" t="s">
        <v>336</v>
      </c>
    </row>
    <row r="3" spans="1:14" ht="24.75" customHeight="1">
      <c r="A3" s="62" t="s">
        <v>241</v>
      </c>
      <c r="B3" s="102" t="s">
        <v>242</v>
      </c>
      <c r="C3" s="63">
        <f>'Area-Comm'!Q30</f>
        <v>34613.579519999999</v>
      </c>
      <c r="D3" s="144"/>
      <c r="F3" s="238" t="s">
        <v>222</v>
      </c>
      <c r="G3" s="421">
        <v>18.5</v>
      </c>
      <c r="H3" s="421">
        <v>15</v>
      </c>
      <c r="I3" s="421">
        <f>SUM(G3:H3)</f>
        <v>33.5</v>
      </c>
      <c r="J3" s="421">
        <v>18.5</v>
      </c>
    </row>
    <row r="4" spans="1:14" ht="24.75" customHeight="1">
      <c r="A4" s="62"/>
      <c r="B4" s="102" t="s">
        <v>243</v>
      </c>
      <c r="C4" s="63">
        <f>'Area Summary'!E20</f>
        <v>84205.516179600003</v>
      </c>
      <c r="F4" s="238" t="s">
        <v>245</v>
      </c>
      <c r="G4" s="422">
        <v>22</v>
      </c>
      <c r="H4" s="422">
        <v>22</v>
      </c>
      <c r="I4" s="421">
        <f t="shared" ref="I4:I6" si="0">SUM(G4:H4)</f>
        <v>44</v>
      </c>
      <c r="J4" s="422">
        <v>22</v>
      </c>
    </row>
    <row r="5" spans="1:14" ht="24.75" customHeight="1">
      <c r="A5" s="62"/>
      <c r="B5" s="239" t="s">
        <v>221</v>
      </c>
      <c r="C5" s="240">
        <f>SUM(C3:C4)</f>
        <v>118819.0956996</v>
      </c>
      <c r="D5" s="59">
        <f>'Area Summary'!D20</f>
        <v>187123.36928799999</v>
      </c>
      <c r="F5" s="238" t="s">
        <v>225</v>
      </c>
      <c r="G5" s="421">
        <v>45</v>
      </c>
      <c r="H5" s="421">
        <v>22</v>
      </c>
      <c r="I5" s="421">
        <f t="shared" si="0"/>
        <v>67</v>
      </c>
      <c r="J5" s="421">
        <v>44</v>
      </c>
    </row>
    <row r="6" spans="1:14" ht="24.75" customHeight="1">
      <c r="A6" s="65" t="s">
        <v>223</v>
      </c>
      <c r="B6" s="66" t="s">
        <v>224</v>
      </c>
      <c r="C6" s="67">
        <f>610+350</f>
        <v>960</v>
      </c>
      <c r="D6" s="631">
        <f>C6*B8</f>
        <v>587.90059426817083</v>
      </c>
      <c r="E6" s="632">
        <v>0.5</v>
      </c>
      <c r="F6" s="238" t="s">
        <v>227</v>
      </c>
      <c r="G6" s="421">
        <v>22</v>
      </c>
      <c r="H6" s="421">
        <v>11</v>
      </c>
      <c r="I6" s="421">
        <f t="shared" si="0"/>
        <v>33</v>
      </c>
      <c r="J6" s="421">
        <v>22</v>
      </c>
    </row>
    <row r="7" spans="1:14" ht="24.75" customHeight="1">
      <c r="A7" s="65" t="s">
        <v>244</v>
      </c>
      <c r="B7" s="66">
        <v>0.63</v>
      </c>
      <c r="C7" s="67">
        <f>C6*B7</f>
        <v>604.79999999999995</v>
      </c>
      <c r="D7" s="253">
        <f>C5/D6</f>
        <v>202.10745976113213</v>
      </c>
      <c r="F7" s="264"/>
      <c r="G7" s="423">
        <f>SUM(G3:G6)</f>
        <v>107.5</v>
      </c>
      <c r="H7" s="423"/>
      <c r="I7" s="423">
        <f>SUM(I3:I6)</f>
        <v>177.5</v>
      </c>
      <c r="J7" s="423"/>
    </row>
    <row r="8" spans="1:14" ht="24.75" customHeight="1">
      <c r="A8" s="65" t="s">
        <v>226</v>
      </c>
      <c r="B8" s="68">
        <v>0.61239645236267792</v>
      </c>
      <c r="C8" s="69">
        <f>C7*B8</f>
        <v>370.3773743889476</v>
      </c>
      <c r="I8" s="104"/>
    </row>
    <row r="9" spans="1:14" ht="24.75" customHeight="1">
      <c r="A9" s="65" t="s">
        <v>228</v>
      </c>
      <c r="B9" s="638">
        <v>0.73032158330215025</v>
      </c>
      <c r="C9" s="67">
        <f>I7*B9</f>
        <v>129.63208103613167</v>
      </c>
      <c r="D9" s="144">
        <f>C9/C8</f>
        <v>0.35000000000000003</v>
      </c>
    </row>
    <row r="10" spans="1:14" ht="24.75" customHeight="1" thickBot="1">
      <c r="A10" s="71" t="s">
        <v>229</v>
      </c>
      <c r="B10" s="72"/>
      <c r="C10" s="73">
        <f>SUM(C8:C9)</f>
        <v>500.0094554250793</v>
      </c>
    </row>
    <row r="11" spans="1:14" ht="24.75" customHeight="1">
      <c r="A11" s="74" t="s">
        <v>230</v>
      </c>
      <c r="B11" s="75"/>
      <c r="C11" s="76">
        <f>'CAM Variables'!G8</f>
        <v>6.5</v>
      </c>
      <c r="I11" s="636"/>
      <c r="J11" s="636"/>
    </row>
    <row r="12" spans="1:14" ht="24.75" customHeight="1">
      <c r="A12" s="74" t="s">
        <v>231</v>
      </c>
      <c r="B12" s="75"/>
      <c r="C12" s="76">
        <f>'CAM Variables'!E9</f>
        <v>18.29</v>
      </c>
    </row>
    <row r="13" spans="1:14" ht="24.75" customHeight="1">
      <c r="A13" s="74" t="s">
        <v>307</v>
      </c>
      <c r="B13" s="75"/>
      <c r="C13" s="76">
        <f>'CAM Variables'!G9</f>
        <v>1.5</v>
      </c>
      <c r="F13" s="636"/>
      <c r="G13" s="636"/>
      <c r="H13" s="636"/>
    </row>
    <row r="14" spans="1:14" ht="24.75" customHeight="1">
      <c r="A14" s="77" t="s">
        <v>232</v>
      </c>
      <c r="B14" s="78"/>
      <c r="C14" s="79">
        <f>(((12-C13)*C11)+(C13*C12))/12</f>
        <v>7.9737499999999999</v>
      </c>
      <c r="E14" s="103"/>
      <c r="F14" s="637"/>
      <c r="G14" s="637"/>
      <c r="H14" s="637"/>
      <c r="I14" s="637"/>
      <c r="J14" s="637"/>
      <c r="M14" s="80"/>
      <c r="N14" s="81"/>
    </row>
    <row r="15" spans="1:14" ht="24.75" customHeight="1">
      <c r="A15" s="74" t="s">
        <v>233</v>
      </c>
      <c r="B15" s="75"/>
      <c r="C15" s="82">
        <f>C10*C14</f>
        <v>3986.9503951957258</v>
      </c>
      <c r="M15" s="80"/>
      <c r="N15" s="81"/>
    </row>
    <row r="16" spans="1:14" ht="24.75" customHeight="1">
      <c r="A16" s="74" t="s">
        <v>234</v>
      </c>
      <c r="B16" s="75"/>
      <c r="C16" s="82">
        <f>C15*12</f>
        <v>47843.404742348706</v>
      </c>
      <c r="M16" s="80"/>
      <c r="N16" s="81"/>
    </row>
    <row r="17" spans="1:14" ht="24.75" customHeight="1" thickBot="1">
      <c r="A17" s="83" t="s">
        <v>13</v>
      </c>
      <c r="B17" s="84"/>
      <c r="C17" s="85">
        <f>C16*30.5</f>
        <v>1459223.8446416357</v>
      </c>
      <c r="F17" s="636"/>
      <c r="G17" s="636"/>
      <c r="H17" s="636"/>
      <c r="I17" s="636"/>
      <c r="J17" s="636"/>
      <c r="M17" s="80"/>
      <c r="N17" s="81"/>
    </row>
    <row r="18" spans="1:14" ht="24.75" customHeight="1" thickBot="1">
      <c r="A18" s="83" t="s">
        <v>235</v>
      </c>
      <c r="B18" s="84"/>
      <c r="C18" s="85">
        <f>C17/C6</f>
        <v>1520.0248381683705</v>
      </c>
      <c r="E18" s="103"/>
      <c r="F18" s="637"/>
      <c r="G18" s="637"/>
      <c r="H18" s="637"/>
      <c r="I18" s="637"/>
      <c r="J18" s="637"/>
      <c r="N18" s="70"/>
    </row>
    <row r="19" spans="1:14" s="89" customFormat="1" ht="24.75" customHeight="1">
      <c r="A19" s="86" t="s">
        <v>236</v>
      </c>
      <c r="B19" s="87"/>
      <c r="C19" s="88">
        <f>C17/C5</f>
        <v>12.281054960482653</v>
      </c>
      <c r="G19" s="59"/>
      <c r="H19" s="59"/>
      <c r="I19" s="59"/>
      <c r="J19" s="59"/>
    </row>
    <row r="20" spans="1:14" ht="24.75" customHeight="1" thickBot="1">
      <c r="A20" s="90" t="s">
        <v>237</v>
      </c>
      <c r="B20" s="91"/>
      <c r="C20" s="76">
        <v>0.7</v>
      </c>
      <c r="F20" s="104"/>
      <c r="G20" s="104"/>
      <c r="H20" s="104"/>
      <c r="I20" s="104"/>
      <c r="J20" s="104"/>
      <c r="M20" s="80"/>
      <c r="N20" s="81"/>
    </row>
    <row r="21" spans="1:14" s="95" customFormat="1" ht="24.75" customHeight="1" thickBot="1">
      <c r="A21" s="92" t="s">
        <v>238</v>
      </c>
      <c r="B21" s="93" t="s">
        <v>239</v>
      </c>
      <c r="C21" s="94">
        <f>C19*C20</f>
        <v>8.5967384723378562</v>
      </c>
      <c r="E21" s="59"/>
      <c r="F21" s="59"/>
      <c r="G21" s="59"/>
      <c r="H21" s="59"/>
      <c r="I21" s="59"/>
      <c r="J21" s="59"/>
      <c r="M21" s="80"/>
      <c r="N21" s="81"/>
    </row>
    <row r="22" spans="1:14" ht="24.75" customHeight="1" thickBot="1">
      <c r="A22" s="96" t="s">
        <v>240</v>
      </c>
      <c r="B22" s="97"/>
      <c r="C22" s="98">
        <f>C21*C5</f>
        <v>1021456.6912491448</v>
      </c>
      <c r="E22" s="101"/>
      <c r="M22" s="60"/>
      <c r="N22" s="70"/>
    </row>
    <row r="23" spans="1:14" ht="24.75" customHeight="1" thickBot="1">
      <c r="A23" s="241"/>
      <c r="C23" s="242"/>
    </row>
    <row r="24" spans="1:14" ht="24.75" customHeight="1" thickBot="1">
      <c r="A24" s="100" t="s">
        <v>639</v>
      </c>
      <c r="B24" s="106">
        <f>'Area-Comm'!Q30*1.5</f>
        <v>51920.369279999999</v>
      </c>
      <c r="C24" s="99">
        <f>B24*C21</f>
        <v>446345.83608736453</v>
      </c>
      <c r="D24" s="101"/>
      <c r="G24" s="101"/>
      <c r="H24" s="101"/>
      <c r="I24" s="101"/>
      <c r="J24" s="101"/>
    </row>
    <row r="25" spans="1:14" ht="24.75" customHeight="1">
      <c r="A25" s="241" t="s">
        <v>640</v>
      </c>
      <c r="C25" s="763">
        <f>'Mall AHU Load'!K29</f>
        <v>109973.64105000002</v>
      </c>
    </row>
    <row r="26" spans="1:14" ht="24.75" customHeight="1" thickBot="1">
      <c r="A26" s="764"/>
      <c r="B26" s="765"/>
      <c r="C26" s="766">
        <f>SUM(C24:C25)</f>
        <v>556319.47713736456</v>
      </c>
      <c r="E26" s="70"/>
      <c r="F26" s="105"/>
    </row>
    <row r="27" spans="1:14" ht="24.75" customHeight="1" thickBot="1"/>
    <row r="28" spans="1:14" ht="24.75" customHeight="1" thickBot="1">
      <c r="A28" s="100" t="s">
        <v>790</v>
      </c>
      <c r="B28" s="106"/>
      <c r="C28" s="99"/>
    </row>
    <row r="29" spans="1:14" ht="24.75" customHeight="1">
      <c r="A29" s="241" t="s">
        <v>792</v>
      </c>
      <c r="B29" s="59" t="s">
        <v>714</v>
      </c>
      <c r="C29" s="763">
        <f>'Area Summary'!D20</f>
        <v>187123.36928799999</v>
      </c>
    </row>
    <row r="30" spans="1:14" ht="24.75" customHeight="1">
      <c r="A30" s="241" t="s">
        <v>791</v>
      </c>
      <c r="B30" s="59" t="s">
        <v>239</v>
      </c>
      <c r="C30" s="763">
        <f>C22-C24</f>
        <v>575110.85516178026</v>
      </c>
    </row>
    <row r="31" spans="1:14" ht="24.75" customHeight="1" thickBot="1">
      <c r="A31" s="764"/>
      <c r="B31" s="765"/>
      <c r="C31" s="892">
        <f>C30/C29</f>
        <v>3.0734314872058124</v>
      </c>
    </row>
  </sheetData>
  <sheetProtection formatCells="0" formatColumns="0" formatRows="0" insertColumns="0" insertRows="0" insertHyperlinks="0" deleteColumns="0" deleteRows="0" selectLockedCells="1" sort="0" autoFilter="0" pivotTables="0"/>
  <mergeCells count="3">
    <mergeCell ref="A2:B2"/>
    <mergeCell ref="A1:C1"/>
    <mergeCell ref="G2:H2"/>
  </mergeCells>
  <hyperlinks>
    <hyperlink ref="M2" location="INDEX!A1" display="INDEX" xr:uid="{00000000-0004-0000-0C00-000000000000}"/>
  </hyperlinks>
  <pageMargins left="0.75" right="0.75" top="1" bottom="1" header="0.5" footer="0.5"/>
  <pageSetup scale="89" orientation="portrait" r:id="rId1"/>
  <headerFooter alignWithMargins="0"/>
  <ignoredErrors>
    <ignoredError sqref="C5 C7:C8 C10 C11:C26" unlockedFormula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L29"/>
  <sheetViews>
    <sheetView zoomScale="90" zoomScaleNormal="90" workbookViewId="0">
      <selection activeCell="L1" sqref="L1:L1048576"/>
    </sheetView>
  </sheetViews>
  <sheetFormatPr defaultColWidth="9.140625" defaultRowHeight="22.5" customHeight="1"/>
  <cols>
    <col min="1" max="1" width="9.140625" style="64"/>
    <col min="2" max="2" width="37.7109375" style="64" customWidth="1"/>
    <col min="3" max="3" width="12.5703125" style="64" bestFit="1" customWidth="1"/>
    <col min="4" max="4" width="9.140625" style="64"/>
    <col min="5" max="5" width="10.5703125" style="64" bestFit="1" customWidth="1"/>
    <col min="6" max="6" width="9.140625" style="64"/>
    <col min="7" max="8" width="9.140625" style="64" customWidth="1"/>
    <col min="9" max="9" width="9.140625" style="669" customWidth="1"/>
    <col min="10" max="10" width="9.140625" style="64" customWidth="1"/>
    <col min="11" max="11" width="11" style="64" bestFit="1" customWidth="1"/>
    <col min="12" max="16384" width="9.140625" style="64"/>
  </cols>
  <sheetData>
    <row r="1" spans="1:12" ht="22.5" customHeight="1">
      <c r="A1" s="1021" t="s">
        <v>802</v>
      </c>
      <c r="B1" s="1022"/>
      <c r="C1" s="1022"/>
      <c r="D1" s="1022"/>
      <c r="E1" s="1022"/>
      <c r="F1" s="1022"/>
      <c r="G1" s="1022"/>
      <c r="H1" s="1022"/>
      <c r="I1" s="1022"/>
      <c r="J1" s="1022"/>
      <c r="K1" s="1023"/>
    </row>
    <row r="2" spans="1:12" ht="22.5" customHeight="1">
      <c r="A2" s="768" t="s">
        <v>14</v>
      </c>
      <c r="B2" s="774" t="s">
        <v>686</v>
      </c>
      <c r="C2" s="455" t="s">
        <v>685</v>
      </c>
      <c r="D2" s="455" t="s">
        <v>687</v>
      </c>
      <c r="E2" s="455" t="s">
        <v>14</v>
      </c>
      <c r="F2" s="455" t="s">
        <v>418</v>
      </c>
      <c r="G2" s="455" t="s">
        <v>113</v>
      </c>
      <c r="H2" s="455" t="s">
        <v>148</v>
      </c>
      <c r="I2" s="455" t="s">
        <v>71</v>
      </c>
      <c r="J2" s="455" t="s">
        <v>72</v>
      </c>
      <c r="K2" s="731" t="s">
        <v>73</v>
      </c>
      <c r="L2" s="767" t="s">
        <v>336</v>
      </c>
    </row>
    <row r="3" spans="1:12" s="429" customFormat="1" ht="22.5" customHeight="1">
      <c r="A3" s="732">
        <v>1</v>
      </c>
      <c r="B3" s="450" t="s">
        <v>476</v>
      </c>
      <c r="C3" s="439" t="s">
        <v>473</v>
      </c>
      <c r="D3" s="437" t="s">
        <v>474</v>
      </c>
      <c r="E3" s="437">
        <v>1341110</v>
      </c>
      <c r="F3" s="444">
        <v>1.5</v>
      </c>
      <c r="G3" s="430">
        <v>0.7</v>
      </c>
      <c r="H3" s="430">
        <v>0.5</v>
      </c>
      <c r="I3" s="628">
        <v>12</v>
      </c>
      <c r="J3" s="431">
        <f>F3*G3*H3*I3</f>
        <v>6.2999999999999989</v>
      </c>
      <c r="K3" s="750">
        <f>J3*26</f>
        <v>163.79999999999998</v>
      </c>
    </row>
    <row r="4" spans="1:12" s="429" customFormat="1" ht="22.5" customHeight="1">
      <c r="A4" s="732">
        <v>2</v>
      </c>
      <c r="B4" s="450" t="s">
        <v>476</v>
      </c>
      <c r="C4" s="439" t="s">
        <v>473</v>
      </c>
      <c r="D4" s="437" t="s">
        <v>474</v>
      </c>
      <c r="E4" s="437">
        <v>1341111</v>
      </c>
      <c r="F4" s="444">
        <v>1.5</v>
      </c>
      <c r="G4" s="430">
        <v>0.7</v>
      </c>
      <c r="H4" s="430">
        <v>0.5</v>
      </c>
      <c r="I4" s="628">
        <v>12</v>
      </c>
      <c r="J4" s="431">
        <f>F4*G4*H4*I4</f>
        <v>6.2999999999999989</v>
      </c>
      <c r="K4" s="750">
        <f>J4*26</f>
        <v>163.79999999999998</v>
      </c>
    </row>
    <row r="5" spans="1:12" s="429" customFormat="1" ht="22.5" customHeight="1">
      <c r="A5" s="732">
        <v>3</v>
      </c>
      <c r="B5" s="441" t="s">
        <v>481</v>
      </c>
      <c r="C5" s="450" t="s">
        <v>376</v>
      </c>
      <c r="D5" s="437" t="s">
        <v>464</v>
      </c>
      <c r="E5" s="437" t="s">
        <v>483</v>
      </c>
      <c r="F5" s="445">
        <v>5.5</v>
      </c>
      <c r="G5" s="430">
        <v>0.7</v>
      </c>
      <c r="H5" s="430">
        <v>0.5</v>
      </c>
      <c r="I5" s="628">
        <v>12</v>
      </c>
      <c r="J5" s="431">
        <f>F5*G5*H5*I5</f>
        <v>23.099999999999998</v>
      </c>
      <c r="K5" s="750">
        <f>J5*26</f>
        <v>600.59999999999991</v>
      </c>
    </row>
    <row r="6" spans="1:12" s="429" customFormat="1" ht="22.5" customHeight="1">
      <c r="A6" s="732">
        <v>4</v>
      </c>
      <c r="B6" s="441" t="s">
        <v>481</v>
      </c>
      <c r="C6" s="450" t="s">
        <v>376</v>
      </c>
      <c r="D6" s="437" t="s">
        <v>464</v>
      </c>
      <c r="E6" s="437" t="s">
        <v>484</v>
      </c>
      <c r="F6" s="445">
        <v>5.5</v>
      </c>
      <c r="G6" s="430">
        <v>0.7</v>
      </c>
      <c r="H6" s="430">
        <v>0.5</v>
      </c>
      <c r="I6" s="628">
        <v>12</v>
      </c>
      <c r="J6" s="431">
        <f t="shared" ref="J6:J26" si="0">F6*G6*H6*I6</f>
        <v>23.099999999999998</v>
      </c>
      <c r="K6" s="750">
        <f t="shared" ref="K6:K26" si="1">J6*26</f>
        <v>600.59999999999991</v>
      </c>
    </row>
    <row r="7" spans="1:12" s="429" customFormat="1" ht="22.5" customHeight="1">
      <c r="A7" s="732">
        <v>5</v>
      </c>
      <c r="B7" s="441" t="s">
        <v>481</v>
      </c>
      <c r="C7" s="450" t="s">
        <v>376</v>
      </c>
      <c r="D7" s="437" t="s">
        <v>464</v>
      </c>
      <c r="E7" s="437" t="s">
        <v>485</v>
      </c>
      <c r="F7" s="445">
        <v>5.5</v>
      </c>
      <c r="G7" s="430">
        <v>0.7</v>
      </c>
      <c r="H7" s="430">
        <v>0.5</v>
      </c>
      <c r="I7" s="628">
        <v>12</v>
      </c>
      <c r="J7" s="431">
        <f t="shared" si="0"/>
        <v>23.099999999999998</v>
      </c>
      <c r="K7" s="750">
        <f t="shared" si="1"/>
        <v>600.59999999999991</v>
      </c>
    </row>
    <row r="8" spans="1:12" s="429" customFormat="1" ht="22.5" customHeight="1">
      <c r="A8" s="732">
        <v>6</v>
      </c>
      <c r="B8" s="441" t="s">
        <v>481</v>
      </c>
      <c r="C8" s="450" t="s">
        <v>376</v>
      </c>
      <c r="D8" s="437" t="s">
        <v>464</v>
      </c>
      <c r="E8" s="437" t="s">
        <v>486</v>
      </c>
      <c r="F8" s="445">
        <v>5.5</v>
      </c>
      <c r="G8" s="430">
        <v>0.7</v>
      </c>
      <c r="H8" s="430">
        <v>0.5</v>
      </c>
      <c r="I8" s="628">
        <v>12</v>
      </c>
      <c r="J8" s="431">
        <f t="shared" si="0"/>
        <v>23.099999999999998</v>
      </c>
      <c r="K8" s="750">
        <f t="shared" si="1"/>
        <v>600.59999999999991</v>
      </c>
    </row>
    <row r="9" spans="1:12" s="429" customFormat="1" ht="22.5" customHeight="1">
      <c r="A9" s="732">
        <v>7</v>
      </c>
      <c r="B9" s="477" t="s">
        <v>487</v>
      </c>
      <c r="C9" s="478" t="s">
        <v>493</v>
      </c>
      <c r="D9" s="479" t="s">
        <v>474</v>
      </c>
      <c r="E9" s="479" t="s">
        <v>494</v>
      </c>
      <c r="F9" s="480">
        <v>3.7</v>
      </c>
      <c r="G9" s="430">
        <v>0.7</v>
      </c>
      <c r="H9" s="430">
        <v>0.5</v>
      </c>
      <c r="I9" s="628">
        <v>12</v>
      </c>
      <c r="J9" s="431">
        <f t="shared" si="0"/>
        <v>15.54</v>
      </c>
      <c r="K9" s="750">
        <f t="shared" si="1"/>
        <v>404.03999999999996</v>
      </c>
    </row>
    <row r="10" spans="1:12" s="429" customFormat="1" ht="22.5" customHeight="1">
      <c r="A10" s="732">
        <v>8</v>
      </c>
      <c r="B10" s="477" t="s">
        <v>487</v>
      </c>
      <c r="C10" s="478" t="s">
        <v>488</v>
      </c>
      <c r="D10" s="479" t="s">
        <v>474</v>
      </c>
      <c r="E10" s="479" t="s">
        <v>489</v>
      </c>
      <c r="F10" s="480">
        <v>7.5</v>
      </c>
      <c r="G10" s="430">
        <v>0.7</v>
      </c>
      <c r="H10" s="430">
        <v>0.5</v>
      </c>
      <c r="I10" s="628">
        <v>12</v>
      </c>
      <c r="J10" s="431">
        <f t="shared" si="0"/>
        <v>31.5</v>
      </c>
      <c r="K10" s="750">
        <f t="shared" si="1"/>
        <v>819</v>
      </c>
    </row>
    <row r="11" spans="1:12" s="429" customFormat="1" ht="22.5" customHeight="1">
      <c r="A11" s="732">
        <v>9</v>
      </c>
      <c r="B11" s="477" t="s">
        <v>487</v>
      </c>
      <c r="C11" s="478" t="s">
        <v>488</v>
      </c>
      <c r="D11" s="479" t="s">
        <v>474</v>
      </c>
      <c r="E11" s="479" t="s">
        <v>490</v>
      </c>
      <c r="F11" s="480">
        <v>7.5</v>
      </c>
      <c r="G11" s="430">
        <v>0.7</v>
      </c>
      <c r="H11" s="430">
        <v>0.5</v>
      </c>
      <c r="I11" s="628">
        <v>12</v>
      </c>
      <c r="J11" s="431">
        <f t="shared" si="0"/>
        <v>31.5</v>
      </c>
      <c r="K11" s="750">
        <f t="shared" si="1"/>
        <v>819</v>
      </c>
    </row>
    <row r="12" spans="1:12" s="429" customFormat="1" ht="22.5" customHeight="1">
      <c r="A12" s="732">
        <v>10</v>
      </c>
      <c r="B12" s="477" t="s">
        <v>487</v>
      </c>
      <c r="C12" s="478" t="s">
        <v>488</v>
      </c>
      <c r="D12" s="479" t="s">
        <v>474</v>
      </c>
      <c r="E12" s="479" t="s">
        <v>491</v>
      </c>
      <c r="F12" s="480">
        <v>7.5</v>
      </c>
      <c r="G12" s="430">
        <v>0.7</v>
      </c>
      <c r="H12" s="430">
        <v>0.5</v>
      </c>
      <c r="I12" s="628">
        <v>12</v>
      </c>
      <c r="J12" s="431">
        <f t="shared" si="0"/>
        <v>31.5</v>
      </c>
      <c r="K12" s="750">
        <f t="shared" si="1"/>
        <v>819</v>
      </c>
    </row>
    <row r="13" spans="1:12" s="429" customFormat="1" ht="22.5" customHeight="1">
      <c r="A13" s="732">
        <v>11</v>
      </c>
      <c r="B13" s="477" t="s">
        <v>487</v>
      </c>
      <c r="C13" s="478" t="s">
        <v>488</v>
      </c>
      <c r="D13" s="479" t="s">
        <v>474</v>
      </c>
      <c r="E13" s="479">
        <v>1341124</v>
      </c>
      <c r="F13" s="480">
        <v>7.5</v>
      </c>
      <c r="G13" s="430">
        <v>0.7</v>
      </c>
      <c r="H13" s="430">
        <v>0.5</v>
      </c>
      <c r="I13" s="628">
        <v>12</v>
      </c>
      <c r="J13" s="431">
        <f t="shared" si="0"/>
        <v>31.5</v>
      </c>
      <c r="K13" s="750">
        <f t="shared" si="1"/>
        <v>819</v>
      </c>
    </row>
    <row r="14" spans="1:12" s="429" customFormat="1" ht="22.5" customHeight="1">
      <c r="A14" s="732">
        <v>12</v>
      </c>
      <c r="B14" s="481" t="s">
        <v>495</v>
      </c>
      <c r="C14" s="482" t="s">
        <v>493</v>
      </c>
      <c r="D14" s="483" t="s">
        <v>474</v>
      </c>
      <c r="E14" s="483">
        <v>134110601</v>
      </c>
      <c r="F14" s="484">
        <v>3.7</v>
      </c>
      <c r="G14" s="430">
        <v>0.7</v>
      </c>
      <c r="H14" s="430">
        <v>0.5</v>
      </c>
      <c r="I14" s="628">
        <v>12</v>
      </c>
      <c r="J14" s="431">
        <f t="shared" si="0"/>
        <v>15.54</v>
      </c>
      <c r="K14" s="750">
        <f t="shared" si="1"/>
        <v>404.03999999999996</v>
      </c>
    </row>
    <row r="15" spans="1:12" s="429" customFormat="1" ht="22.5" customHeight="1">
      <c r="A15" s="732">
        <v>13</v>
      </c>
      <c r="B15" s="481" t="s">
        <v>495</v>
      </c>
      <c r="C15" s="482" t="s">
        <v>496</v>
      </c>
      <c r="D15" s="483" t="s">
        <v>464</v>
      </c>
      <c r="E15" s="483" t="s">
        <v>497</v>
      </c>
      <c r="F15" s="484">
        <v>5.5</v>
      </c>
      <c r="G15" s="430">
        <v>0.7</v>
      </c>
      <c r="H15" s="430">
        <v>0.5</v>
      </c>
      <c r="I15" s="628">
        <v>12</v>
      </c>
      <c r="J15" s="431">
        <f t="shared" si="0"/>
        <v>23.099999999999998</v>
      </c>
      <c r="K15" s="750">
        <f t="shared" si="1"/>
        <v>600.59999999999991</v>
      </c>
    </row>
    <row r="16" spans="1:12" s="429" customFormat="1" ht="22.5" customHeight="1">
      <c r="A16" s="732">
        <v>14</v>
      </c>
      <c r="B16" s="481" t="s">
        <v>495</v>
      </c>
      <c r="C16" s="482" t="s">
        <v>496</v>
      </c>
      <c r="D16" s="483" t="s">
        <v>464</v>
      </c>
      <c r="E16" s="483" t="s">
        <v>492</v>
      </c>
      <c r="F16" s="484">
        <v>5.5</v>
      </c>
      <c r="G16" s="430">
        <v>0.7</v>
      </c>
      <c r="H16" s="430">
        <v>0.5</v>
      </c>
      <c r="I16" s="628">
        <v>12</v>
      </c>
      <c r="J16" s="431">
        <f t="shared" si="0"/>
        <v>23.099999999999998</v>
      </c>
      <c r="K16" s="750">
        <f t="shared" si="1"/>
        <v>600.59999999999991</v>
      </c>
    </row>
    <row r="17" spans="1:11" s="429" customFormat="1" ht="22.5" customHeight="1">
      <c r="A17" s="732">
        <v>15</v>
      </c>
      <c r="B17" s="481" t="s">
        <v>495</v>
      </c>
      <c r="C17" s="482" t="s">
        <v>496</v>
      </c>
      <c r="D17" s="483" t="s">
        <v>464</v>
      </c>
      <c r="E17" s="483" t="s">
        <v>482</v>
      </c>
      <c r="F17" s="484">
        <v>5.5</v>
      </c>
      <c r="G17" s="430">
        <v>0.7</v>
      </c>
      <c r="H17" s="430">
        <v>0.5</v>
      </c>
      <c r="I17" s="628">
        <v>12</v>
      </c>
      <c r="J17" s="431">
        <f t="shared" si="0"/>
        <v>23.099999999999998</v>
      </c>
      <c r="K17" s="750">
        <f t="shared" si="1"/>
        <v>600.59999999999991</v>
      </c>
    </row>
    <row r="18" spans="1:11" s="429" customFormat="1" ht="22.5" customHeight="1">
      <c r="A18" s="732">
        <v>16</v>
      </c>
      <c r="B18" s="481" t="s">
        <v>495</v>
      </c>
      <c r="C18" s="482" t="s">
        <v>496</v>
      </c>
      <c r="D18" s="483" t="s">
        <v>464</v>
      </c>
      <c r="E18" s="483" t="s">
        <v>500</v>
      </c>
      <c r="F18" s="484">
        <v>5.5</v>
      </c>
      <c r="G18" s="430">
        <v>0.7</v>
      </c>
      <c r="H18" s="430">
        <v>0.5</v>
      </c>
      <c r="I18" s="628">
        <v>12</v>
      </c>
      <c r="J18" s="431">
        <f t="shared" si="0"/>
        <v>23.099999999999998</v>
      </c>
      <c r="K18" s="750">
        <f t="shared" si="1"/>
        <v>600.59999999999991</v>
      </c>
    </row>
    <row r="19" spans="1:11" s="429" customFormat="1" ht="22.5" customHeight="1">
      <c r="A19" s="732">
        <v>17</v>
      </c>
      <c r="B19" s="481" t="s">
        <v>495</v>
      </c>
      <c r="C19" s="482" t="s">
        <v>498</v>
      </c>
      <c r="D19" s="483" t="s">
        <v>474</v>
      </c>
      <c r="E19" s="483" t="s">
        <v>499</v>
      </c>
      <c r="F19" s="484">
        <v>3.7</v>
      </c>
      <c r="G19" s="430">
        <v>0.7</v>
      </c>
      <c r="H19" s="430">
        <v>0.5</v>
      </c>
      <c r="I19" s="628">
        <v>12</v>
      </c>
      <c r="J19" s="431">
        <f t="shared" si="0"/>
        <v>15.54</v>
      </c>
      <c r="K19" s="750">
        <f t="shared" si="1"/>
        <v>404.03999999999996</v>
      </c>
    </row>
    <row r="20" spans="1:11" s="429" customFormat="1" ht="22.5" customHeight="1">
      <c r="A20" s="732">
        <v>18</v>
      </c>
      <c r="B20" s="441" t="s">
        <v>501</v>
      </c>
      <c r="C20" s="450" t="s">
        <v>493</v>
      </c>
      <c r="D20" s="437" t="s">
        <v>474</v>
      </c>
      <c r="E20" s="437">
        <v>1341122</v>
      </c>
      <c r="F20" s="443">
        <v>3.7</v>
      </c>
      <c r="G20" s="430">
        <v>0.7</v>
      </c>
      <c r="H20" s="430">
        <v>0.5</v>
      </c>
      <c r="I20" s="628">
        <v>12</v>
      </c>
      <c r="J20" s="431">
        <f t="shared" si="0"/>
        <v>15.54</v>
      </c>
      <c r="K20" s="750">
        <f t="shared" si="1"/>
        <v>404.03999999999996</v>
      </c>
    </row>
    <row r="21" spans="1:11" s="429" customFormat="1" ht="22.5" customHeight="1">
      <c r="A21" s="732">
        <v>19</v>
      </c>
      <c r="B21" s="441" t="s">
        <v>501</v>
      </c>
      <c r="C21" s="450" t="s">
        <v>493</v>
      </c>
      <c r="D21" s="437" t="s">
        <v>474</v>
      </c>
      <c r="E21" s="437">
        <v>1341123</v>
      </c>
      <c r="F21" s="443">
        <v>5.5</v>
      </c>
      <c r="G21" s="430">
        <v>0.7</v>
      </c>
      <c r="H21" s="430">
        <v>0.5</v>
      </c>
      <c r="I21" s="628">
        <v>12</v>
      </c>
      <c r="J21" s="431">
        <f t="shared" si="0"/>
        <v>23.099999999999998</v>
      </c>
      <c r="K21" s="750">
        <f t="shared" si="1"/>
        <v>600.59999999999991</v>
      </c>
    </row>
    <row r="22" spans="1:11" s="429" customFormat="1" ht="22.5" customHeight="1">
      <c r="A22" s="732">
        <v>20</v>
      </c>
      <c r="B22" s="441" t="s">
        <v>501</v>
      </c>
      <c r="C22" s="450" t="s">
        <v>502</v>
      </c>
      <c r="D22" s="437" t="s">
        <v>474</v>
      </c>
      <c r="E22" s="437">
        <v>1341108</v>
      </c>
      <c r="F22" s="443">
        <v>5.5</v>
      </c>
      <c r="G22" s="430">
        <v>0.7</v>
      </c>
      <c r="H22" s="430">
        <v>0.5</v>
      </c>
      <c r="I22" s="628">
        <v>12</v>
      </c>
      <c r="J22" s="431">
        <f t="shared" si="0"/>
        <v>23.099999999999998</v>
      </c>
      <c r="K22" s="750">
        <f t="shared" si="1"/>
        <v>600.59999999999991</v>
      </c>
    </row>
    <row r="23" spans="1:11" s="429" customFormat="1" ht="22.5" customHeight="1">
      <c r="A23" s="732">
        <v>21</v>
      </c>
      <c r="B23" s="441" t="s">
        <v>501</v>
      </c>
      <c r="C23" s="450" t="s">
        <v>502</v>
      </c>
      <c r="D23" s="437" t="s">
        <v>474</v>
      </c>
      <c r="E23" s="437" t="s">
        <v>504</v>
      </c>
      <c r="F23" s="443">
        <v>5.5</v>
      </c>
      <c r="G23" s="430">
        <v>0.7</v>
      </c>
      <c r="H23" s="430">
        <v>0.5</v>
      </c>
      <c r="I23" s="628">
        <v>12</v>
      </c>
      <c r="J23" s="431">
        <f t="shared" si="0"/>
        <v>23.099999999999998</v>
      </c>
      <c r="K23" s="750">
        <f t="shared" si="1"/>
        <v>600.59999999999991</v>
      </c>
    </row>
    <row r="24" spans="1:11" s="429" customFormat="1" ht="22.5" customHeight="1">
      <c r="A24" s="732">
        <v>22</v>
      </c>
      <c r="B24" s="441" t="s">
        <v>501</v>
      </c>
      <c r="C24" s="450" t="s">
        <v>502</v>
      </c>
      <c r="D24" s="437" t="s">
        <v>474</v>
      </c>
      <c r="E24" s="437" t="s">
        <v>503</v>
      </c>
      <c r="F24" s="443">
        <v>7.5</v>
      </c>
      <c r="G24" s="430">
        <v>0.7</v>
      </c>
      <c r="H24" s="430">
        <v>0.5</v>
      </c>
      <c r="I24" s="628">
        <v>12</v>
      </c>
      <c r="J24" s="431">
        <f t="shared" si="0"/>
        <v>31.5</v>
      </c>
      <c r="K24" s="750">
        <f t="shared" si="1"/>
        <v>819</v>
      </c>
    </row>
    <row r="25" spans="1:11" s="429" customFormat="1" ht="22.5" customHeight="1">
      <c r="A25" s="732">
        <v>23</v>
      </c>
      <c r="B25" s="441" t="s">
        <v>501</v>
      </c>
      <c r="C25" s="450" t="s">
        <v>502</v>
      </c>
      <c r="D25" s="437" t="s">
        <v>474</v>
      </c>
      <c r="E25" s="437">
        <v>13411051</v>
      </c>
      <c r="F25" s="443">
        <v>7.5</v>
      </c>
      <c r="G25" s="430">
        <v>0.7</v>
      </c>
      <c r="H25" s="430">
        <v>0.5</v>
      </c>
      <c r="I25" s="628">
        <v>12</v>
      </c>
      <c r="J25" s="431">
        <f t="shared" si="0"/>
        <v>31.5</v>
      </c>
      <c r="K25" s="750">
        <f t="shared" si="1"/>
        <v>819</v>
      </c>
    </row>
    <row r="26" spans="1:11" s="429" customFormat="1" ht="22.5" customHeight="1">
      <c r="A26" s="732">
        <v>24</v>
      </c>
      <c r="B26" s="450" t="s">
        <v>472</v>
      </c>
      <c r="C26" s="439" t="s">
        <v>473</v>
      </c>
      <c r="D26" s="437" t="s">
        <v>474</v>
      </c>
      <c r="E26" s="437" t="s">
        <v>475</v>
      </c>
      <c r="F26" s="444">
        <v>3</v>
      </c>
      <c r="G26" s="430">
        <v>0.7</v>
      </c>
      <c r="H26" s="430">
        <v>0.5</v>
      </c>
      <c r="I26" s="628">
        <v>12</v>
      </c>
      <c r="J26" s="431">
        <f t="shared" si="0"/>
        <v>12.599999999999998</v>
      </c>
      <c r="K26" s="750">
        <f t="shared" si="1"/>
        <v>327.59999999999997</v>
      </c>
    </row>
    <row r="27" spans="1:11" ht="22.5" customHeight="1">
      <c r="A27" s="769"/>
      <c r="E27" s="1026" t="s">
        <v>690</v>
      </c>
      <c r="F27" s="1026"/>
      <c r="H27" s="752" t="s">
        <v>615</v>
      </c>
      <c r="K27" s="770">
        <f>SUM(K3:K26)</f>
        <v>13791.960000000003</v>
      </c>
    </row>
    <row r="28" spans="1:11" ht="22.5" customHeight="1">
      <c r="A28" s="769"/>
      <c r="E28" s="1025" t="s">
        <v>689</v>
      </c>
      <c r="F28" s="1025"/>
      <c r="H28" s="752" t="s">
        <v>616</v>
      </c>
      <c r="K28" s="771">
        <f>'HVAC-Mall'!C14</f>
        <v>7.9737499999999999</v>
      </c>
    </row>
    <row r="29" spans="1:11" ht="22.5" customHeight="1" thickBot="1">
      <c r="A29" s="772"/>
      <c r="B29" s="773"/>
      <c r="C29" s="773"/>
      <c r="D29" s="773"/>
      <c r="E29" s="1024" t="s">
        <v>688</v>
      </c>
      <c r="F29" s="1024"/>
      <c r="G29" s="773"/>
      <c r="H29" s="759" t="s">
        <v>617</v>
      </c>
      <c r="I29" s="760"/>
      <c r="J29" s="761"/>
      <c r="K29" s="762">
        <f>K27*K28</f>
        <v>109973.64105000002</v>
      </c>
    </row>
  </sheetData>
  <sortState xmlns:xlrd2="http://schemas.microsoft.com/office/spreadsheetml/2017/richdata2" ref="A4:F55">
    <sortCondition ref="B3"/>
  </sortState>
  <mergeCells count="4">
    <mergeCell ref="A1:K1"/>
    <mergeCell ref="E29:F29"/>
    <mergeCell ref="E28:F28"/>
    <mergeCell ref="E27:F27"/>
  </mergeCells>
  <hyperlinks>
    <hyperlink ref="L2" location="INDEX!A1" display="INDEX" xr:uid="{00000000-0004-0000-0D00-000000000000}"/>
  </hyperlinks>
  <pageMargins left="0.7" right="0.7" top="0.75" bottom="0.75" header="0.3" footer="0.3"/>
  <pageSetup paperSize="9" scale="65" fitToHeight="2" orientation="portrait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P85"/>
  <sheetViews>
    <sheetView zoomScale="80" zoomScaleNormal="80" workbookViewId="0">
      <pane xSplit="13" ySplit="3" topLeftCell="N4" activePane="bottomRight" state="frozen"/>
      <selection pane="topRight" activeCell="N1" sqref="N1"/>
      <selection pane="bottomLeft" activeCell="A4" sqref="A4"/>
      <selection pane="bottomRight" activeCell="N2" sqref="N2"/>
    </sheetView>
  </sheetViews>
  <sheetFormatPr defaultColWidth="9.140625" defaultRowHeight="20.25" customHeight="1"/>
  <cols>
    <col min="1" max="1" width="34.42578125" style="3" customWidth="1"/>
    <col min="2" max="2" width="31.7109375" style="3" customWidth="1"/>
    <col min="3" max="3" width="53.140625" style="3" customWidth="1"/>
    <col min="4" max="5" width="15.140625" style="342" customWidth="1"/>
    <col min="6" max="6" width="14.7109375" style="3" customWidth="1"/>
    <col min="7" max="10" width="6.42578125" style="3" customWidth="1"/>
    <col min="11" max="11" width="8.85546875" style="3" customWidth="1"/>
    <col min="12" max="12" width="7.28515625" style="3" customWidth="1"/>
    <col min="13" max="13" width="14.5703125" style="342" customWidth="1"/>
    <col min="14" max="14" width="9.140625" style="3"/>
    <col min="15" max="15" width="12.7109375" style="3" customWidth="1"/>
    <col min="16" max="16384" width="9.140625" style="3"/>
  </cols>
  <sheetData>
    <row r="1" spans="1:15" s="2" customFormat="1" ht="24.75" customHeight="1" thickBot="1">
      <c r="A1" s="26"/>
      <c r="B1" s="27"/>
      <c r="C1" s="19" t="s">
        <v>144</v>
      </c>
      <c r="D1" s="385"/>
      <c r="E1" s="385"/>
      <c r="F1" s="20"/>
      <c r="G1" s="1027" t="s">
        <v>137</v>
      </c>
      <c r="H1" s="1027"/>
      <c r="I1" s="1027"/>
      <c r="J1" s="1027"/>
      <c r="K1" s="1027"/>
      <c r="L1" s="1027"/>
      <c r="M1" s="1028"/>
    </row>
    <row r="2" spans="1:15" ht="20.25" customHeight="1">
      <c r="A2" s="1029" t="s">
        <v>25</v>
      </c>
      <c r="B2" s="1031" t="s">
        <v>117</v>
      </c>
      <c r="C2" s="1029" t="s">
        <v>25</v>
      </c>
      <c r="D2" s="386"/>
      <c r="E2" s="386"/>
      <c r="F2" s="1034" t="s">
        <v>691</v>
      </c>
      <c r="G2" s="1036" t="s">
        <v>85</v>
      </c>
      <c r="H2" s="1036"/>
      <c r="I2" s="1036"/>
      <c r="J2" s="1036"/>
      <c r="K2" s="1036"/>
      <c r="L2" s="1036" t="s">
        <v>86</v>
      </c>
      <c r="M2" s="1038" t="s">
        <v>1</v>
      </c>
      <c r="N2" s="270" t="s">
        <v>336</v>
      </c>
    </row>
    <row r="3" spans="1:15" ht="20.25" customHeight="1" thickBot="1">
      <c r="A3" s="1030"/>
      <c r="B3" s="1032"/>
      <c r="C3" s="1033"/>
      <c r="D3" s="387"/>
      <c r="E3" s="387"/>
      <c r="F3" s="1035"/>
      <c r="G3" s="345" t="s">
        <v>74</v>
      </c>
      <c r="H3" s="345" t="s">
        <v>87</v>
      </c>
      <c r="I3" s="345" t="s">
        <v>88</v>
      </c>
      <c r="J3" s="345" t="s">
        <v>99</v>
      </c>
      <c r="K3" s="345" t="s">
        <v>98</v>
      </c>
      <c r="L3" s="1037"/>
      <c r="M3" s="1039"/>
    </row>
    <row r="4" spans="1:15" ht="21" customHeight="1">
      <c r="A4" s="10" t="s">
        <v>345</v>
      </c>
      <c r="B4" s="28"/>
      <c r="C4" s="346" t="s">
        <v>298</v>
      </c>
      <c r="D4" s="388"/>
      <c r="E4" s="388"/>
      <c r="F4" s="346"/>
      <c r="G4" s="347"/>
      <c r="H4" s="347"/>
      <c r="I4" s="347"/>
      <c r="J4" s="347"/>
      <c r="K4" s="347"/>
      <c r="L4" s="347"/>
      <c r="M4" s="348"/>
    </row>
    <row r="5" spans="1:15" ht="21" customHeight="1">
      <c r="A5" s="17" t="s">
        <v>308</v>
      </c>
      <c r="B5" s="343"/>
      <c r="C5" s="349" t="str">
        <f t="shared" ref="C5:C7" si="0">CONCATENATE(A5,B5)</f>
        <v>GM Operations</v>
      </c>
      <c r="D5" s="350"/>
      <c r="E5" s="350">
        <f>720000</f>
        <v>720000</v>
      </c>
      <c r="F5" s="350">
        <f>E5/12</f>
        <v>60000</v>
      </c>
      <c r="G5" s="322"/>
      <c r="H5" s="322"/>
      <c r="I5" s="322"/>
      <c r="J5" s="322">
        <v>1</v>
      </c>
      <c r="K5" s="322"/>
      <c r="L5" s="305">
        <f t="shared" ref="L5" si="1">SUM(G5:K5)</f>
        <v>1</v>
      </c>
      <c r="M5" s="351">
        <f>L5*F5</f>
        <v>60000</v>
      </c>
      <c r="O5" s="625"/>
    </row>
    <row r="6" spans="1:15" ht="21" customHeight="1">
      <c r="A6" s="800" t="s">
        <v>700</v>
      </c>
      <c r="B6" s="307"/>
      <c r="C6" s="352" t="str">
        <f t="shared" si="0"/>
        <v>Finance Manager</v>
      </c>
      <c r="D6" s="389"/>
      <c r="E6" s="350">
        <f>720000</f>
        <v>720000</v>
      </c>
      <c r="F6" s="350">
        <f t="shared" ref="F6:F7" si="2">E6/12</f>
        <v>60000</v>
      </c>
      <c r="G6" s="322"/>
      <c r="H6" s="322"/>
      <c r="I6" s="322"/>
      <c r="J6" s="322">
        <v>1</v>
      </c>
      <c r="K6" s="322"/>
      <c r="L6" s="305">
        <f t="shared" ref="L6" si="3">SUM(G6:K6)</f>
        <v>1</v>
      </c>
      <c r="M6" s="351">
        <f t="shared" ref="M6:M7" si="4">L6*F6</f>
        <v>60000</v>
      </c>
    </row>
    <row r="7" spans="1:15" ht="21" customHeight="1">
      <c r="A7" s="801" t="s">
        <v>701</v>
      </c>
      <c r="B7" s="107"/>
      <c r="C7" s="354" t="str">
        <f t="shared" si="0"/>
        <v>Manager- Marketing</v>
      </c>
      <c r="D7" s="390"/>
      <c r="E7" s="350">
        <f>720000</f>
        <v>720000</v>
      </c>
      <c r="F7" s="350">
        <f t="shared" si="2"/>
        <v>60000</v>
      </c>
      <c r="G7" s="322"/>
      <c r="H7" s="322"/>
      <c r="I7" s="322"/>
      <c r="J7" s="322">
        <v>1</v>
      </c>
      <c r="K7" s="322"/>
      <c r="L7" s="305">
        <f t="shared" ref="L7" si="5">SUM(G7:K7)</f>
        <v>1</v>
      </c>
      <c r="M7" s="351">
        <f t="shared" si="4"/>
        <v>60000</v>
      </c>
    </row>
    <row r="8" spans="1:15" ht="21" customHeight="1">
      <c r="A8" s="6" t="s">
        <v>21</v>
      </c>
      <c r="B8" s="344"/>
      <c r="C8" s="355" t="s">
        <v>21</v>
      </c>
      <c r="D8" s="391"/>
      <c r="E8" s="391"/>
      <c r="F8" s="355"/>
      <c r="G8" s="356">
        <f t="shared" ref="G8:M8" si="6">SUM(G5:G7)</f>
        <v>0</v>
      </c>
      <c r="H8" s="356">
        <f t="shared" si="6"/>
        <v>0</v>
      </c>
      <c r="I8" s="356">
        <f t="shared" si="6"/>
        <v>0</v>
      </c>
      <c r="J8" s="356">
        <f t="shared" si="6"/>
        <v>3</v>
      </c>
      <c r="K8" s="356">
        <f t="shared" si="6"/>
        <v>0</v>
      </c>
      <c r="L8" s="356">
        <f t="shared" si="6"/>
        <v>3</v>
      </c>
      <c r="M8" s="357">
        <f t="shared" si="6"/>
        <v>180000</v>
      </c>
      <c r="N8" s="39">
        <f>M8/'CAM Variables'!$J$3</f>
        <v>0.37893987659301465</v>
      </c>
      <c r="O8" s="39"/>
    </row>
    <row r="9" spans="1:15" ht="21" customHeight="1">
      <c r="A9" s="10" t="s">
        <v>598</v>
      </c>
      <c r="B9" s="28"/>
      <c r="C9" s="346" t="s">
        <v>298</v>
      </c>
      <c r="D9" s="388"/>
      <c r="E9" s="388"/>
      <c r="F9" s="346"/>
      <c r="G9" s="347"/>
      <c r="H9" s="347"/>
      <c r="I9" s="347"/>
      <c r="J9" s="347"/>
      <c r="K9" s="347"/>
      <c r="L9" s="347"/>
      <c r="M9" s="348"/>
    </row>
    <row r="10" spans="1:15" ht="21" customHeight="1">
      <c r="A10" s="17" t="s">
        <v>596</v>
      </c>
      <c r="B10" s="343"/>
      <c r="C10" s="349" t="str">
        <f t="shared" ref="C10:C12" si="7">CONCATENATE(A10,B10)</f>
        <v>Property Manager</v>
      </c>
      <c r="D10" s="392"/>
      <c r="E10" s="392">
        <f>75000*12</f>
        <v>900000</v>
      </c>
      <c r="F10" s="350">
        <f t="shared" ref="F10:F19" si="8">E10/12</f>
        <v>75000</v>
      </c>
      <c r="G10" s="322"/>
      <c r="H10" s="322"/>
      <c r="I10" s="322"/>
      <c r="J10" s="322">
        <v>1</v>
      </c>
      <c r="K10" s="322"/>
      <c r="L10" s="305">
        <f t="shared" ref="L10" si="9">SUM(G10:K10)</f>
        <v>1</v>
      </c>
      <c r="M10" s="351">
        <f t="shared" ref="M10:M19" si="10">L10*F10</f>
        <v>75000</v>
      </c>
    </row>
    <row r="11" spans="1:15" ht="21" customHeight="1">
      <c r="A11" s="306" t="s">
        <v>206</v>
      </c>
      <c r="B11" s="307" t="s">
        <v>212</v>
      </c>
      <c r="C11" s="352" t="str">
        <f t="shared" si="7"/>
        <v>Manager- Accounts and Finance</v>
      </c>
      <c r="D11" s="389"/>
      <c r="E11" s="389">
        <v>600000</v>
      </c>
      <c r="F11" s="350">
        <f t="shared" si="8"/>
        <v>50000</v>
      </c>
      <c r="G11" s="322"/>
      <c r="H11" s="322"/>
      <c r="I11" s="322"/>
      <c r="J11" s="322"/>
      <c r="K11" s="353"/>
      <c r="L11" s="305">
        <f t="shared" ref="L11:L14" si="11">SUM(G11:K11)</f>
        <v>0</v>
      </c>
      <c r="M11" s="351">
        <f t="shared" si="10"/>
        <v>0</v>
      </c>
    </row>
    <row r="12" spans="1:15" ht="21" customHeight="1">
      <c r="A12" s="306" t="s">
        <v>213</v>
      </c>
      <c r="B12" s="307" t="s">
        <v>597</v>
      </c>
      <c r="C12" s="352" t="str">
        <f t="shared" si="7"/>
        <v>Executive-Purchase &amp; Store</v>
      </c>
      <c r="D12" s="389">
        <v>360000</v>
      </c>
      <c r="E12" s="389">
        <v>250000</v>
      </c>
      <c r="F12" s="350">
        <f t="shared" si="8"/>
        <v>20833.333333333332</v>
      </c>
      <c r="G12" s="322"/>
      <c r="H12" s="322"/>
      <c r="I12" s="322"/>
      <c r="J12" s="322">
        <v>1</v>
      </c>
      <c r="K12" s="353"/>
      <c r="L12" s="305">
        <f t="shared" si="11"/>
        <v>1</v>
      </c>
      <c r="M12" s="351">
        <f t="shared" si="10"/>
        <v>20833.333333333332</v>
      </c>
    </row>
    <row r="13" spans="1:15" ht="21" customHeight="1">
      <c r="A13" s="308" t="s">
        <v>210</v>
      </c>
      <c r="B13" s="309" t="s">
        <v>204</v>
      </c>
      <c r="C13" s="34" t="str">
        <f>CONCATENATE(A13,B13)</f>
        <v>Manager-Engineering Services</v>
      </c>
      <c r="D13" s="392">
        <v>900000</v>
      </c>
      <c r="E13" s="389">
        <v>600000</v>
      </c>
      <c r="F13" s="350">
        <f t="shared" si="8"/>
        <v>50000</v>
      </c>
      <c r="G13" s="319"/>
      <c r="H13" s="319"/>
      <c r="I13" s="319"/>
      <c r="J13" s="319">
        <v>1</v>
      </c>
      <c r="K13" s="319"/>
      <c r="L13" s="35">
        <f t="shared" si="11"/>
        <v>1</v>
      </c>
      <c r="M13" s="351">
        <f t="shared" si="10"/>
        <v>50000</v>
      </c>
    </row>
    <row r="14" spans="1:15" ht="21" customHeight="1">
      <c r="A14" s="17" t="s">
        <v>92</v>
      </c>
      <c r="B14" s="29" t="s">
        <v>205</v>
      </c>
      <c r="C14" s="34" t="str">
        <f>CONCATENATE(A14,B14)</f>
        <v>Shift EngineersTechnical Services</v>
      </c>
      <c r="D14" s="310"/>
      <c r="E14" s="389">
        <v>250000</v>
      </c>
      <c r="F14" s="350">
        <f t="shared" si="8"/>
        <v>20833.333333333332</v>
      </c>
      <c r="G14" s="317">
        <v>1</v>
      </c>
      <c r="H14" s="317">
        <v>1</v>
      </c>
      <c r="I14" s="317">
        <v>1</v>
      </c>
      <c r="J14" s="317"/>
      <c r="K14" s="320"/>
      <c r="L14" s="35">
        <f t="shared" si="11"/>
        <v>3</v>
      </c>
      <c r="M14" s="351">
        <f t="shared" si="10"/>
        <v>62500</v>
      </c>
    </row>
    <row r="15" spans="1:15" ht="21" customHeight="1">
      <c r="A15" s="17" t="s">
        <v>210</v>
      </c>
      <c r="B15" s="29" t="s">
        <v>207</v>
      </c>
      <c r="C15" s="34" t="str">
        <f t="shared" ref="C15:C17" si="12">CONCATENATE(A15,B15)</f>
        <v>Manager-Custodial Services</v>
      </c>
      <c r="D15" s="392">
        <v>900000</v>
      </c>
      <c r="E15" s="389">
        <v>600000</v>
      </c>
      <c r="F15" s="350">
        <f t="shared" si="8"/>
        <v>50000</v>
      </c>
      <c r="G15" s="317"/>
      <c r="H15" s="317"/>
      <c r="I15" s="317"/>
      <c r="J15" s="317">
        <v>1</v>
      </c>
      <c r="K15" s="317"/>
      <c r="L15" s="35">
        <f t="shared" ref="L15:L17" si="13">SUM(G15:K15)</f>
        <v>1</v>
      </c>
      <c r="M15" s="351">
        <f t="shared" si="10"/>
        <v>50000</v>
      </c>
    </row>
    <row r="16" spans="1:15" ht="21" customHeight="1">
      <c r="A16" s="17" t="s">
        <v>209</v>
      </c>
      <c r="B16" s="29" t="s">
        <v>203</v>
      </c>
      <c r="C16" s="34" t="str">
        <f t="shared" si="12"/>
        <v>Facility Executive-General Cleaning &amp; Housekeeping</v>
      </c>
      <c r="D16" s="310"/>
      <c r="E16" s="389">
        <v>300000</v>
      </c>
      <c r="F16" s="350">
        <f t="shared" si="8"/>
        <v>25000</v>
      </c>
      <c r="G16" s="317">
        <v>1</v>
      </c>
      <c r="H16" s="317">
        <v>1</v>
      </c>
      <c r="I16" s="317"/>
      <c r="J16" s="317"/>
      <c r="K16" s="317"/>
      <c r="L16" s="35">
        <f t="shared" si="13"/>
        <v>2</v>
      </c>
      <c r="M16" s="351">
        <f t="shared" si="10"/>
        <v>50000</v>
      </c>
    </row>
    <row r="17" spans="1:16" ht="21" customHeight="1">
      <c r="A17" s="17" t="s">
        <v>209</v>
      </c>
      <c r="B17" s="29" t="s">
        <v>202</v>
      </c>
      <c r="C17" s="34" t="str">
        <f t="shared" si="12"/>
        <v>Facility Executive-Help Desk</v>
      </c>
      <c r="D17" s="310"/>
      <c r="E17" s="389">
        <v>250000</v>
      </c>
      <c r="F17" s="350">
        <f t="shared" si="8"/>
        <v>20833.333333333332</v>
      </c>
      <c r="G17" s="317">
        <v>1</v>
      </c>
      <c r="H17" s="317">
        <v>1</v>
      </c>
      <c r="I17" s="317">
        <v>1</v>
      </c>
      <c r="J17" s="317"/>
      <c r="K17" s="317">
        <v>1</v>
      </c>
      <c r="L17" s="35">
        <f t="shared" si="13"/>
        <v>4</v>
      </c>
      <c r="M17" s="351">
        <f t="shared" si="10"/>
        <v>83333.333333333328</v>
      </c>
    </row>
    <row r="18" spans="1:16" ht="21" customHeight="1">
      <c r="A18" s="17" t="s">
        <v>210</v>
      </c>
      <c r="B18" s="29" t="s">
        <v>211</v>
      </c>
      <c r="C18" s="34" t="str">
        <f>CONCATENATE(A18,B18)</f>
        <v>Manager-Security and Fire Safety</v>
      </c>
      <c r="D18" s="310"/>
      <c r="E18" s="310">
        <v>500000</v>
      </c>
      <c r="F18" s="350">
        <f t="shared" si="8"/>
        <v>41666.666666666664</v>
      </c>
      <c r="G18" s="317"/>
      <c r="H18" s="317"/>
      <c r="I18" s="317"/>
      <c r="J18" s="317">
        <v>1</v>
      </c>
      <c r="K18" s="317"/>
      <c r="L18" s="35">
        <f>SUM(G18:K18)</f>
        <v>1</v>
      </c>
      <c r="M18" s="351">
        <f t="shared" si="10"/>
        <v>41666.666666666664</v>
      </c>
    </row>
    <row r="19" spans="1:16" ht="21" customHeight="1">
      <c r="A19" s="58" t="s">
        <v>343</v>
      </c>
      <c r="B19" s="314"/>
      <c r="C19" s="34" t="str">
        <f>CONCATENATE(A19,B19)</f>
        <v>Security &amp; Fire Officer</v>
      </c>
      <c r="D19" s="310"/>
      <c r="E19" s="389">
        <v>250000</v>
      </c>
      <c r="F19" s="350">
        <f t="shared" si="8"/>
        <v>20833.333333333332</v>
      </c>
      <c r="G19" s="333">
        <v>1</v>
      </c>
      <c r="H19" s="333">
        <v>1</v>
      </c>
      <c r="I19" s="333">
        <v>1</v>
      </c>
      <c r="J19" s="333"/>
      <c r="K19" s="333"/>
      <c r="L19" s="35">
        <f t="shared" ref="L19" si="14">SUM(G19:K19)</f>
        <v>3</v>
      </c>
      <c r="M19" s="351">
        <f t="shared" si="10"/>
        <v>62500</v>
      </c>
    </row>
    <row r="20" spans="1:16" ht="21" customHeight="1">
      <c r="A20" s="6" t="s">
        <v>21</v>
      </c>
      <c r="B20" s="344"/>
      <c r="C20" s="355" t="s">
        <v>21</v>
      </c>
      <c r="D20" s="391"/>
      <c r="E20" s="391"/>
      <c r="F20" s="355"/>
      <c r="G20" s="356">
        <f t="shared" ref="G20:M20" si="15">SUM(G10:G19)</f>
        <v>4</v>
      </c>
      <c r="H20" s="356">
        <f t="shared" si="15"/>
        <v>4</v>
      </c>
      <c r="I20" s="356">
        <f t="shared" si="15"/>
        <v>3</v>
      </c>
      <c r="J20" s="356">
        <f t="shared" si="15"/>
        <v>5</v>
      </c>
      <c r="K20" s="356">
        <f t="shared" si="15"/>
        <v>1</v>
      </c>
      <c r="L20" s="356">
        <f t="shared" si="15"/>
        <v>17</v>
      </c>
      <c r="M20" s="357">
        <f t="shared" si="15"/>
        <v>495833.33333333331</v>
      </c>
      <c r="N20" s="39">
        <f>M20/'CAM Variables'!$J$3</f>
        <v>1.0438390119113135</v>
      </c>
      <c r="O20" s="39"/>
      <c r="P20" s="39">
        <f>N20*0.6</f>
        <v>0.626303407146788</v>
      </c>
    </row>
    <row r="21" spans="1:16" ht="21" customHeight="1">
      <c r="A21" s="5" t="s">
        <v>346</v>
      </c>
      <c r="B21" s="25"/>
      <c r="C21" s="38" t="str">
        <f>A21</f>
        <v>Engineering Services (8hrs X 6 days a week)</v>
      </c>
      <c r="D21" s="393"/>
      <c r="E21" s="393"/>
      <c r="F21" s="256"/>
      <c r="G21" s="318"/>
      <c r="H21" s="318"/>
      <c r="I21" s="318"/>
      <c r="J21" s="318"/>
      <c r="K21" s="318"/>
      <c r="L21" s="318"/>
      <c r="M21" s="336"/>
    </row>
    <row r="22" spans="1:16" ht="21" customHeight="1">
      <c r="A22" s="9" t="s">
        <v>271</v>
      </c>
      <c r="B22" s="29"/>
      <c r="C22" s="34" t="str">
        <f t="shared" ref="C22:C32" si="16">CONCATENATE(A22," ",B22)</f>
        <v xml:space="preserve">Technical Supervisor </v>
      </c>
      <c r="D22" s="310"/>
      <c r="E22" s="310">
        <f>F22*12</f>
        <v>224952</v>
      </c>
      <c r="F22" s="310">
        <f>HLOOKUP(A22,'Salary Breakup'!$D$3:$AE$34,32,0)</f>
        <v>18746</v>
      </c>
      <c r="G22" s="317">
        <v>1</v>
      </c>
      <c r="H22" s="317">
        <v>1</v>
      </c>
      <c r="I22" s="317">
        <v>1</v>
      </c>
      <c r="J22" s="317"/>
      <c r="K22" s="317">
        <v>1</v>
      </c>
      <c r="L22" s="321">
        <f t="shared" ref="L22:L32" si="17">SUM(G22:K22)</f>
        <v>4</v>
      </c>
      <c r="M22" s="351">
        <f t="shared" ref="M22:M32" si="18">L22*F22</f>
        <v>74984</v>
      </c>
    </row>
    <row r="23" spans="1:16" ht="21" customHeight="1">
      <c r="A23" s="9" t="s">
        <v>272</v>
      </c>
      <c r="B23" s="29"/>
      <c r="C23" s="34" t="str">
        <f t="shared" si="16"/>
        <v xml:space="preserve">Multi skill Technicians </v>
      </c>
      <c r="D23" s="310"/>
      <c r="E23" s="310">
        <f t="shared" ref="E23:E32" si="19">F23*12</f>
        <v>196800</v>
      </c>
      <c r="F23" s="310">
        <f>HLOOKUP(A23,'Salary Breakup'!$D$3:$AE$34,32,0)</f>
        <v>16400</v>
      </c>
      <c r="G23" s="317">
        <v>2</v>
      </c>
      <c r="H23" s="317">
        <v>2</v>
      </c>
      <c r="I23" s="317">
        <v>1</v>
      </c>
      <c r="J23" s="317"/>
      <c r="K23" s="317">
        <v>1</v>
      </c>
      <c r="L23" s="321">
        <f t="shared" si="17"/>
        <v>6</v>
      </c>
      <c r="M23" s="351">
        <f t="shared" si="18"/>
        <v>98400</v>
      </c>
    </row>
    <row r="24" spans="1:16" ht="21" customHeight="1">
      <c r="A24" s="9" t="s">
        <v>275</v>
      </c>
      <c r="B24" s="29"/>
      <c r="C24" s="34" t="str">
        <f t="shared" si="16"/>
        <v xml:space="preserve">BMS Operator </v>
      </c>
      <c r="D24" s="310"/>
      <c r="E24" s="310">
        <f t="shared" si="19"/>
        <v>196800</v>
      </c>
      <c r="F24" s="310">
        <f>HLOOKUP(A24,'Salary Breakup'!$D$3:$AE$34,32,0)</f>
        <v>16400</v>
      </c>
      <c r="G24" s="317">
        <v>1</v>
      </c>
      <c r="H24" s="317">
        <v>1</v>
      </c>
      <c r="I24" s="317">
        <v>1</v>
      </c>
      <c r="J24" s="317"/>
      <c r="K24" s="317"/>
      <c r="L24" s="321">
        <f t="shared" si="17"/>
        <v>3</v>
      </c>
      <c r="M24" s="351">
        <f t="shared" si="18"/>
        <v>49200</v>
      </c>
    </row>
    <row r="25" spans="1:16" ht="21" customHeight="1">
      <c r="A25" s="9" t="s">
        <v>63</v>
      </c>
      <c r="B25" s="107"/>
      <c r="C25" s="34" t="str">
        <f t="shared" si="16"/>
        <v xml:space="preserve">HVAC Technician </v>
      </c>
      <c r="D25" s="310"/>
      <c r="E25" s="310">
        <f t="shared" si="19"/>
        <v>196800</v>
      </c>
      <c r="F25" s="310">
        <f>HLOOKUP(A25,'Salary Breakup'!$D$3:$AE$34,32,0)</f>
        <v>16400</v>
      </c>
      <c r="G25" s="317">
        <v>2</v>
      </c>
      <c r="H25" s="317">
        <v>2</v>
      </c>
      <c r="I25" s="317">
        <v>1</v>
      </c>
      <c r="J25" s="317"/>
      <c r="K25" s="317">
        <v>1</v>
      </c>
      <c r="L25" s="321">
        <f t="shared" si="17"/>
        <v>6</v>
      </c>
      <c r="M25" s="351">
        <f t="shared" si="18"/>
        <v>98400</v>
      </c>
    </row>
    <row r="26" spans="1:16" ht="21" customHeight="1">
      <c r="A26" s="234" t="s">
        <v>97</v>
      </c>
      <c r="B26" s="107"/>
      <c r="C26" s="34" t="str">
        <f t="shared" si="16"/>
        <v xml:space="preserve">Plumber </v>
      </c>
      <c r="D26" s="310"/>
      <c r="E26" s="310">
        <f t="shared" si="19"/>
        <v>196800</v>
      </c>
      <c r="F26" s="310">
        <f>HLOOKUP(A26,'Salary Breakup'!$D$3:$AE$34,32,0)</f>
        <v>16400</v>
      </c>
      <c r="G26" s="322">
        <v>1</v>
      </c>
      <c r="H26" s="322">
        <v>1</v>
      </c>
      <c r="I26" s="322">
        <v>1</v>
      </c>
      <c r="J26" s="322"/>
      <c r="K26" s="322">
        <v>1</v>
      </c>
      <c r="L26" s="321">
        <f t="shared" si="17"/>
        <v>4</v>
      </c>
      <c r="M26" s="351">
        <f t="shared" si="18"/>
        <v>65600</v>
      </c>
    </row>
    <row r="27" spans="1:16" ht="21" customHeight="1">
      <c r="A27" s="234" t="s">
        <v>20</v>
      </c>
      <c r="B27" s="107"/>
      <c r="C27" s="34" t="str">
        <f t="shared" si="16"/>
        <v xml:space="preserve">Carpenter </v>
      </c>
      <c r="D27" s="310"/>
      <c r="E27" s="310">
        <f t="shared" si="19"/>
        <v>196800</v>
      </c>
      <c r="F27" s="310">
        <f>HLOOKUP(A27,'Salary Breakup'!$D$3:$AE$34,32,0)</f>
        <v>16400</v>
      </c>
      <c r="G27" s="322"/>
      <c r="H27" s="322"/>
      <c r="I27" s="322"/>
      <c r="J27" s="322">
        <v>1</v>
      </c>
      <c r="K27" s="322"/>
      <c r="L27" s="321">
        <f t="shared" si="17"/>
        <v>1</v>
      </c>
      <c r="M27" s="351">
        <f t="shared" si="18"/>
        <v>16400</v>
      </c>
    </row>
    <row r="28" spans="1:16" ht="21" customHeight="1">
      <c r="A28" s="234" t="s">
        <v>77</v>
      </c>
      <c r="B28" s="107"/>
      <c r="C28" s="34" t="str">
        <f t="shared" si="16"/>
        <v xml:space="preserve">Painter </v>
      </c>
      <c r="D28" s="310"/>
      <c r="E28" s="310">
        <f t="shared" si="19"/>
        <v>196836</v>
      </c>
      <c r="F28" s="310">
        <f>HLOOKUP(A28,'Salary Breakup'!$D$3:$AE$34,32,0)</f>
        <v>16403</v>
      </c>
      <c r="G28" s="322"/>
      <c r="H28" s="322"/>
      <c r="I28" s="322"/>
      <c r="J28" s="322">
        <v>1</v>
      </c>
      <c r="K28" s="322"/>
      <c r="L28" s="321">
        <f t="shared" si="17"/>
        <v>1</v>
      </c>
      <c r="M28" s="351">
        <f t="shared" si="18"/>
        <v>16403</v>
      </c>
    </row>
    <row r="29" spans="1:16" ht="21" customHeight="1">
      <c r="A29" s="234" t="s">
        <v>93</v>
      </c>
      <c r="B29" s="107"/>
      <c r="C29" s="34" t="str">
        <f t="shared" si="16"/>
        <v xml:space="preserve">Masson </v>
      </c>
      <c r="D29" s="310"/>
      <c r="E29" s="310">
        <f t="shared" si="19"/>
        <v>196860</v>
      </c>
      <c r="F29" s="310">
        <f>HLOOKUP(A29,'Salary Breakup'!$D$3:$AE$34,32,0)</f>
        <v>16405</v>
      </c>
      <c r="G29" s="322"/>
      <c r="H29" s="322"/>
      <c r="I29" s="322"/>
      <c r="J29" s="322"/>
      <c r="K29" s="322"/>
      <c r="L29" s="321">
        <f t="shared" si="17"/>
        <v>0</v>
      </c>
      <c r="M29" s="351">
        <f t="shared" si="18"/>
        <v>0</v>
      </c>
    </row>
    <row r="30" spans="1:16" ht="21" customHeight="1">
      <c r="A30" s="234" t="s">
        <v>77</v>
      </c>
      <c r="B30" s="107"/>
      <c r="C30" s="34" t="str">
        <f t="shared" si="16"/>
        <v xml:space="preserve">Painter </v>
      </c>
      <c r="D30" s="310"/>
      <c r="E30" s="310">
        <f t="shared" si="19"/>
        <v>196836</v>
      </c>
      <c r="F30" s="310">
        <f>HLOOKUP(A30,'Salary Breakup'!$D$3:$AE$34,32,0)</f>
        <v>16403</v>
      </c>
      <c r="G30" s="322"/>
      <c r="H30" s="322"/>
      <c r="I30" s="322"/>
      <c r="J30" s="322">
        <v>1</v>
      </c>
      <c r="K30" s="322"/>
      <c r="L30" s="321">
        <f t="shared" si="17"/>
        <v>1</v>
      </c>
      <c r="M30" s="351">
        <f t="shared" si="18"/>
        <v>16403</v>
      </c>
    </row>
    <row r="31" spans="1:16" ht="21" customHeight="1">
      <c r="A31" s="234" t="s">
        <v>277</v>
      </c>
      <c r="B31" s="107"/>
      <c r="C31" s="34" t="str">
        <f t="shared" si="16"/>
        <v xml:space="preserve">Technical Helper </v>
      </c>
      <c r="D31" s="310"/>
      <c r="E31" s="310">
        <f t="shared" si="19"/>
        <v>147504</v>
      </c>
      <c r="F31" s="310">
        <f>HLOOKUP(A31,'Salary Breakup'!$D$3:$AE$34,32,0)</f>
        <v>12292</v>
      </c>
      <c r="G31" s="322">
        <v>1</v>
      </c>
      <c r="H31" s="322">
        <v>1</v>
      </c>
      <c r="I31" s="322">
        <v>1</v>
      </c>
      <c r="J31" s="322"/>
      <c r="K31" s="322">
        <v>1</v>
      </c>
      <c r="L31" s="321">
        <f t="shared" si="17"/>
        <v>4</v>
      </c>
      <c r="M31" s="351">
        <f t="shared" si="18"/>
        <v>49168</v>
      </c>
    </row>
    <row r="32" spans="1:16" ht="21" customHeight="1">
      <c r="A32" s="234" t="s">
        <v>344</v>
      </c>
      <c r="B32" s="107"/>
      <c r="C32" s="34" t="str">
        <f t="shared" si="16"/>
        <v xml:space="preserve">Valet Driver </v>
      </c>
      <c r="D32" s="310"/>
      <c r="E32" s="310">
        <f t="shared" si="19"/>
        <v>175704</v>
      </c>
      <c r="F32" s="310">
        <f>HLOOKUP(A32,'Salary Breakup'!$D$3:$AE$34,32,0)</f>
        <v>14642</v>
      </c>
      <c r="G32" s="322"/>
      <c r="H32" s="322"/>
      <c r="I32" s="322"/>
      <c r="J32" s="322">
        <v>6</v>
      </c>
      <c r="K32" s="322"/>
      <c r="L32" s="321">
        <f t="shared" si="17"/>
        <v>6</v>
      </c>
      <c r="M32" s="351">
        <f t="shared" si="18"/>
        <v>87852</v>
      </c>
    </row>
    <row r="33" spans="1:16" ht="21" customHeight="1">
      <c r="A33" s="7" t="s">
        <v>299</v>
      </c>
      <c r="B33" s="30"/>
      <c r="C33" s="36" t="s">
        <v>299</v>
      </c>
      <c r="D33" s="310">
        <f t="shared" ref="D33" si="20">F33*12</f>
        <v>0</v>
      </c>
      <c r="E33" s="310"/>
      <c r="F33" s="257"/>
      <c r="G33" s="323">
        <f t="shared" ref="G33:M33" si="21">SUM(G22:G32)</f>
        <v>8</v>
      </c>
      <c r="H33" s="323">
        <f t="shared" si="21"/>
        <v>8</v>
      </c>
      <c r="I33" s="323">
        <f t="shared" si="21"/>
        <v>6</v>
      </c>
      <c r="J33" s="323">
        <f t="shared" si="21"/>
        <v>9</v>
      </c>
      <c r="K33" s="323">
        <f t="shared" si="21"/>
        <v>5</v>
      </c>
      <c r="L33" s="323">
        <f t="shared" si="21"/>
        <v>36</v>
      </c>
      <c r="M33" s="337">
        <f t="shared" si="21"/>
        <v>572810</v>
      </c>
      <c r="N33" s="39">
        <f>M33/'CAM Variables'!$J$3</f>
        <v>1.2058919483958039</v>
      </c>
      <c r="O33" s="39"/>
      <c r="P33" s="39">
        <f>N33*0.8</f>
        <v>0.96471355871664322</v>
      </c>
    </row>
    <row r="34" spans="1:16" ht="21" customHeight="1">
      <c r="A34" s="5" t="s">
        <v>609</v>
      </c>
      <c r="B34" s="25"/>
      <c r="C34" s="1040" t="str">
        <f>A34</f>
        <v>Custodial Services (HK and General Cleaning Servcies) (8hrs X 6 days a week)- Comm</v>
      </c>
      <c r="D34" s="1041"/>
      <c r="E34" s="1041"/>
      <c r="F34" s="1041"/>
      <c r="G34" s="1041"/>
      <c r="H34" s="1041"/>
      <c r="I34" s="1041"/>
      <c r="J34" s="1041"/>
      <c r="K34" s="1041"/>
      <c r="L34" s="1041"/>
      <c r="M34" s="1042"/>
    </row>
    <row r="35" spans="1:16" ht="21" customHeight="1">
      <c r="A35" s="311" t="s">
        <v>278</v>
      </c>
      <c r="B35" s="31"/>
      <c r="C35" s="34" t="str">
        <f t="shared" ref="C35:C39" si="22">CONCATENATE(A35," ",B35)</f>
        <v xml:space="preserve">Runner </v>
      </c>
      <c r="D35" s="310"/>
      <c r="E35" s="310">
        <f t="shared" ref="E35:E39" si="23">F35*12</f>
        <v>161412</v>
      </c>
      <c r="F35" s="310">
        <f>HLOOKUP(A35,'Salary Breakup'!$D$3:$AE$34,32,0)</f>
        <v>13451</v>
      </c>
      <c r="G35" s="324"/>
      <c r="H35" s="324"/>
      <c r="I35" s="324"/>
      <c r="J35" s="324">
        <v>1</v>
      </c>
      <c r="K35" s="325"/>
      <c r="L35" s="326">
        <f t="shared" ref="L35:L39" si="24">SUM(G35:K35)</f>
        <v>1</v>
      </c>
      <c r="M35" s="351">
        <f t="shared" ref="M35:M39" si="25">L35*F35</f>
        <v>13451</v>
      </c>
    </row>
    <row r="36" spans="1:16" ht="21" customHeight="1">
      <c r="A36" s="311" t="s">
        <v>78</v>
      </c>
      <c r="B36" s="312" t="s">
        <v>311</v>
      </c>
      <c r="C36" s="34" t="str">
        <f t="shared" si="22"/>
        <v>Pantry Boy Back Office</v>
      </c>
      <c r="D36" s="310"/>
      <c r="E36" s="310">
        <f t="shared" si="23"/>
        <v>161412</v>
      </c>
      <c r="F36" s="310">
        <f>HLOOKUP(A36,'Salary Breakup'!$D$3:$AE$34,32,0)</f>
        <v>13451</v>
      </c>
      <c r="G36" s="324"/>
      <c r="H36" s="324"/>
      <c r="I36" s="324"/>
      <c r="J36" s="324">
        <v>1</v>
      </c>
      <c r="K36" s="325"/>
      <c r="L36" s="326">
        <f t="shared" si="24"/>
        <v>1</v>
      </c>
      <c r="M36" s="351">
        <f t="shared" si="25"/>
        <v>13451</v>
      </c>
    </row>
    <row r="37" spans="1:16" ht="21" customHeight="1">
      <c r="A37" s="311" t="s">
        <v>26</v>
      </c>
      <c r="B37" s="31"/>
      <c r="C37" s="34" t="str">
        <f>CONCATENATE(A37," ",B37)</f>
        <v xml:space="preserve">Housekeeping Supervisor </v>
      </c>
      <c r="D37" s="310"/>
      <c r="E37" s="310">
        <f t="shared" si="23"/>
        <v>239028</v>
      </c>
      <c r="F37" s="310">
        <f>HLOOKUP(A37,'Salary Breakup'!$D$3:$AE$34,32,0)</f>
        <v>19919</v>
      </c>
      <c r="G37" s="640">
        <v>0.5</v>
      </c>
      <c r="H37" s="640">
        <v>0.5</v>
      </c>
      <c r="I37" s="643">
        <v>0.25</v>
      </c>
      <c r="J37" s="640"/>
      <c r="K37" s="641">
        <v>0.3</v>
      </c>
      <c r="L37" s="642">
        <f>SUM(G37:K37)</f>
        <v>1.55</v>
      </c>
      <c r="M37" s="351">
        <f t="shared" si="25"/>
        <v>30874.45</v>
      </c>
    </row>
    <row r="38" spans="1:16" ht="21" customHeight="1">
      <c r="A38" s="311" t="s">
        <v>279</v>
      </c>
      <c r="B38" s="312" t="s">
        <v>115</v>
      </c>
      <c r="C38" s="34" t="str">
        <f t="shared" si="22"/>
        <v>Janitors Outer Periphery</v>
      </c>
      <c r="D38" s="310"/>
      <c r="E38" s="310">
        <f t="shared" si="23"/>
        <v>128448</v>
      </c>
      <c r="F38" s="310">
        <f>HLOOKUP(A38,'Salary Breakup'!$D$3:$AE$34,32,0)</f>
        <v>10704</v>
      </c>
      <c r="G38" s="326">
        <v>2</v>
      </c>
      <c r="H38" s="326">
        <v>2</v>
      </c>
      <c r="I38" s="1044">
        <v>2</v>
      </c>
      <c r="J38" s="326"/>
      <c r="K38" s="326"/>
      <c r="L38" s="326">
        <f t="shared" si="24"/>
        <v>6</v>
      </c>
      <c r="M38" s="351">
        <f t="shared" si="25"/>
        <v>64224</v>
      </c>
    </row>
    <row r="39" spans="1:16" ht="21" customHeight="1">
      <c r="A39" s="311" t="s">
        <v>279</v>
      </c>
      <c r="B39" s="312" t="s">
        <v>677</v>
      </c>
      <c r="C39" s="34" t="str">
        <f t="shared" si="22"/>
        <v>Janitors B1- B4 &amp; Utilities</v>
      </c>
      <c r="D39" s="310"/>
      <c r="E39" s="310">
        <f t="shared" si="23"/>
        <v>128448</v>
      </c>
      <c r="F39" s="310">
        <f>HLOOKUP(A39,'Salary Breakup'!$D$3:$AE$34,32,0)</f>
        <v>10704</v>
      </c>
      <c r="G39" s="326"/>
      <c r="H39" s="326"/>
      <c r="I39" s="1043"/>
      <c r="J39" s="326"/>
      <c r="K39" s="326">
        <v>1</v>
      </c>
      <c r="L39" s="326">
        <f t="shared" si="24"/>
        <v>1</v>
      </c>
      <c r="M39" s="351">
        <f t="shared" si="25"/>
        <v>10704</v>
      </c>
    </row>
    <row r="40" spans="1:16" ht="21" customHeight="1">
      <c r="A40" s="24" t="s">
        <v>347</v>
      </c>
      <c r="B40" s="32"/>
      <c r="C40" s="37" t="s">
        <v>300</v>
      </c>
      <c r="D40" s="395"/>
      <c r="E40" s="395"/>
      <c r="F40" s="258"/>
      <c r="G40" s="327">
        <f t="shared" ref="G40:M40" si="26">SUM(G35:G39)</f>
        <v>2.5</v>
      </c>
      <c r="H40" s="327">
        <f t="shared" si="26"/>
        <v>2.5</v>
      </c>
      <c r="I40" s="327">
        <f t="shared" si="26"/>
        <v>2.25</v>
      </c>
      <c r="J40" s="327">
        <f t="shared" si="26"/>
        <v>2</v>
      </c>
      <c r="K40" s="327">
        <f t="shared" si="26"/>
        <v>1.3</v>
      </c>
      <c r="L40" s="327">
        <f t="shared" si="26"/>
        <v>10.55</v>
      </c>
      <c r="M40" s="338">
        <f t="shared" si="26"/>
        <v>132704.45000000001</v>
      </c>
      <c r="N40" s="39">
        <f>M40/'CAM Variables'!$J$3</f>
        <v>0.27937226614635491</v>
      </c>
      <c r="O40" s="39"/>
      <c r="P40" s="39">
        <f>N40*0.5</f>
        <v>0.13968613307317745</v>
      </c>
    </row>
    <row r="41" spans="1:16" ht="21" customHeight="1">
      <c r="A41" s="5" t="s">
        <v>610</v>
      </c>
      <c r="B41" s="25"/>
      <c r="C41" s="1040" t="str">
        <f>A41</f>
        <v>Custodial Services (HK and General Cleaning Servcies) (8hrs X 6 days a week)- Mall</v>
      </c>
      <c r="D41" s="1041"/>
      <c r="E41" s="1041"/>
      <c r="F41" s="1041"/>
      <c r="G41" s="1041"/>
      <c r="H41" s="1041"/>
      <c r="I41" s="1041"/>
      <c r="J41" s="1041"/>
      <c r="K41" s="1041"/>
      <c r="L41" s="1041"/>
      <c r="M41" s="1042"/>
    </row>
    <row r="42" spans="1:16" ht="21" customHeight="1">
      <c r="A42" s="311" t="s">
        <v>26</v>
      </c>
      <c r="B42" s="31"/>
      <c r="C42" s="34" t="str">
        <f>CONCATENATE(A42," ",B42)</f>
        <v xml:space="preserve">Housekeeping Supervisor </v>
      </c>
      <c r="D42" s="310"/>
      <c r="E42" s="310">
        <f t="shared" ref="E42" si="27">F42*12</f>
        <v>239028</v>
      </c>
      <c r="F42" s="310">
        <f>HLOOKUP(A42,'Salary Breakup'!$D$3:$AE$34,32,0)</f>
        <v>19919</v>
      </c>
      <c r="G42" s="640">
        <v>1</v>
      </c>
      <c r="H42" s="640">
        <v>1</v>
      </c>
      <c r="I42" s="643">
        <v>0.5</v>
      </c>
      <c r="J42" s="640"/>
      <c r="K42" s="641">
        <v>0.4</v>
      </c>
      <c r="L42" s="642">
        <f>SUM(G42:K42)</f>
        <v>2.9</v>
      </c>
      <c r="M42" s="351">
        <f t="shared" ref="M42" si="28">L42*F42</f>
        <v>57765.1</v>
      </c>
    </row>
    <row r="43" spans="1:16" ht="21" customHeight="1">
      <c r="A43" s="311" t="s">
        <v>279</v>
      </c>
      <c r="B43" s="312" t="s">
        <v>653</v>
      </c>
      <c r="C43" s="34" t="str">
        <f t="shared" ref="C43:C44" si="29">CONCATENATE(A43," ",B43)</f>
        <v>Janitors L1- L3</v>
      </c>
      <c r="D43" s="310"/>
      <c r="E43" s="310">
        <f t="shared" ref="E43:E44" si="30">F43*12</f>
        <v>128448</v>
      </c>
      <c r="F43" s="310">
        <f>HLOOKUP(A43,'Salary Breakup'!$D$3:$AE$34,32,0)</f>
        <v>10704</v>
      </c>
      <c r="G43" s="326">
        <v>6</v>
      </c>
      <c r="H43" s="326">
        <v>6</v>
      </c>
      <c r="I43" s="1043">
        <v>4</v>
      </c>
      <c r="J43" s="326"/>
      <c r="K43" s="326"/>
      <c r="L43" s="326">
        <f t="shared" ref="L43" si="31">SUM(G43:K43)</f>
        <v>16</v>
      </c>
      <c r="M43" s="351">
        <f t="shared" ref="M43:M44" si="32">L43*F43</f>
        <v>171264</v>
      </c>
    </row>
    <row r="44" spans="1:16" ht="21" customHeight="1">
      <c r="A44" s="311" t="s">
        <v>279</v>
      </c>
      <c r="B44" s="312" t="s">
        <v>600</v>
      </c>
      <c r="C44" s="34" t="str">
        <f t="shared" si="29"/>
        <v>Janitors Comm Toilets</v>
      </c>
      <c r="D44" s="310"/>
      <c r="E44" s="310">
        <f t="shared" si="30"/>
        <v>128448</v>
      </c>
      <c r="F44" s="310">
        <f>HLOOKUP(A44,'Salary Breakup'!$D$3:$AE$34,32,0)</f>
        <v>10704</v>
      </c>
      <c r="G44" s="379">
        <v>2</v>
      </c>
      <c r="H44" s="379">
        <v>2</v>
      </c>
      <c r="I44" s="1043"/>
      <c r="J44" s="379"/>
      <c r="K44" s="313">
        <f>ROUND(SUM(G43:J44)/6,0)</f>
        <v>3</v>
      </c>
      <c r="L44" s="326">
        <f t="shared" ref="L44" si="33">SUM(G44:K44)</f>
        <v>7</v>
      </c>
      <c r="M44" s="351">
        <f t="shared" si="32"/>
        <v>74928</v>
      </c>
    </row>
    <row r="45" spans="1:16" ht="21" customHeight="1">
      <c r="A45" s="24" t="s">
        <v>347</v>
      </c>
      <c r="B45" s="32"/>
      <c r="C45" s="37" t="s">
        <v>300</v>
      </c>
      <c r="D45" s="395"/>
      <c r="E45" s="395"/>
      <c r="F45" s="258"/>
      <c r="G45" s="327">
        <f>SUM(G42:G44)</f>
        <v>9</v>
      </c>
      <c r="H45" s="327">
        <f t="shared" ref="H45:L45" si="34">SUM(H42:H44)</f>
        <v>9</v>
      </c>
      <c r="I45" s="327">
        <f t="shared" si="34"/>
        <v>4.5</v>
      </c>
      <c r="J45" s="327">
        <f t="shared" si="34"/>
        <v>0</v>
      </c>
      <c r="K45" s="327">
        <f t="shared" si="34"/>
        <v>3.4</v>
      </c>
      <c r="L45" s="327">
        <f t="shared" si="34"/>
        <v>25.9</v>
      </c>
      <c r="M45" s="338">
        <f>SUM(M42:M44)</f>
        <v>303957.09999999998</v>
      </c>
      <c r="N45" s="39">
        <f>M45/'CAM Variables'!$J$3</f>
        <v>0.63989703313094781</v>
      </c>
      <c r="O45" s="39"/>
      <c r="P45" s="39">
        <f>N45*0.5</f>
        <v>0.31994851656547391</v>
      </c>
    </row>
    <row r="46" spans="1:16" ht="21" customHeight="1">
      <c r="A46" s="5" t="s">
        <v>611</v>
      </c>
      <c r="B46" s="25"/>
      <c r="C46" s="1040" t="str">
        <f>A46</f>
        <v>Custodial Services (HK and General Cleaning Servcies) (8hrs X 6 days a week)- Office</v>
      </c>
      <c r="D46" s="1041"/>
      <c r="E46" s="1041"/>
      <c r="F46" s="1041"/>
      <c r="G46" s="1041"/>
      <c r="H46" s="1041"/>
      <c r="I46" s="1041"/>
      <c r="J46" s="1041"/>
      <c r="K46" s="1041"/>
      <c r="L46" s="1041"/>
      <c r="M46" s="1042"/>
    </row>
    <row r="47" spans="1:16" ht="21" customHeight="1">
      <c r="A47" s="311" t="s">
        <v>26</v>
      </c>
      <c r="B47" s="31"/>
      <c r="C47" s="34" t="str">
        <f>CONCATENATE(A47," ",B47)</f>
        <v xml:space="preserve">Housekeeping Supervisor </v>
      </c>
      <c r="D47" s="310"/>
      <c r="E47" s="310">
        <f t="shared" ref="E47" si="35">F47*12</f>
        <v>239028</v>
      </c>
      <c r="F47" s="310">
        <f>HLOOKUP(A47,'Salary Breakup'!$D$3:$AE$34,32,0)</f>
        <v>19919</v>
      </c>
      <c r="G47" s="640">
        <v>0.5</v>
      </c>
      <c r="H47" s="640">
        <v>0.5</v>
      </c>
      <c r="I47" s="643">
        <v>0.25</v>
      </c>
      <c r="J47" s="640"/>
      <c r="K47" s="641">
        <v>0.3</v>
      </c>
      <c r="L47" s="642">
        <f>SUM(G47:K47)</f>
        <v>1.55</v>
      </c>
      <c r="M47" s="351">
        <f t="shared" ref="M47" si="36">L47*F47</f>
        <v>30874.45</v>
      </c>
    </row>
    <row r="48" spans="1:16" ht="21" customHeight="1">
      <c r="A48" s="311" t="s">
        <v>279</v>
      </c>
      <c r="B48" s="312" t="s">
        <v>599</v>
      </c>
      <c r="C48" s="34" t="str">
        <f t="shared" ref="C48" si="37">CONCATENATE(A48," ",B48)</f>
        <v>Janitors L4-L8</v>
      </c>
      <c r="D48" s="310"/>
      <c r="E48" s="310">
        <f t="shared" ref="E48" si="38">F48*12</f>
        <v>128448</v>
      </c>
      <c r="F48" s="310">
        <f>HLOOKUP(A48,'Salary Breakup'!$D$3:$AE$34,32,0)</f>
        <v>10704</v>
      </c>
      <c r="G48" s="326">
        <v>2</v>
      </c>
      <c r="H48" s="326">
        <v>2</v>
      </c>
      <c r="I48" s="380">
        <v>2</v>
      </c>
      <c r="J48" s="326"/>
      <c r="K48" s="326"/>
      <c r="L48" s="326">
        <f t="shared" ref="L48" si="39">SUM(G48:K48)</f>
        <v>6</v>
      </c>
      <c r="M48" s="351">
        <f t="shared" ref="M48" si="40">L48*F48</f>
        <v>64224</v>
      </c>
    </row>
    <row r="49" spans="1:15" ht="21" customHeight="1">
      <c r="A49" s="24" t="s">
        <v>347</v>
      </c>
      <c r="B49" s="32"/>
      <c r="C49" s="37" t="s">
        <v>300</v>
      </c>
      <c r="D49" s="395"/>
      <c r="E49" s="395"/>
      <c r="F49" s="258"/>
      <c r="G49" s="327">
        <f>SUM(G47:G48)</f>
        <v>2.5</v>
      </c>
      <c r="H49" s="327">
        <f t="shared" ref="H49:L49" si="41">SUM(H47:H48)</f>
        <v>2.5</v>
      </c>
      <c r="I49" s="327">
        <f t="shared" si="41"/>
        <v>2.25</v>
      </c>
      <c r="J49" s="327">
        <f t="shared" si="41"/>
        <v>0</v>
      </c>
      <c r="K49" s="327">
        <f t="shared" si="41"/>
        <v>0.3</v>
      </c>
      <c r="L49" s="327">
        <f t="shared" si="41"/>
        <v>7.55</v>
      </c>
      <c r="M49" s="338">
        <f>SUM(M47:M48)</f>
        <v>95098.45</v>
      </c>
      <c r="N49" s="39">
        <f>M49/'CAM Variables'!$J$3</f>
        <v>0.20020330503992761</v>
      </c>
      <c r="O49" s="39"/>
    </row>
    <row r="50" spans="1:15" ht="21" customHeight="1">
      <c r="A50" s="5" t="s">
        <v>256</v>
      </c>
      <c r="B50" s="25"/>
      <c r="C50" s="38" t="str">
        <f>A50</f>
        <v>Outsourced Services ( Horticulture Manpower) (8hrs X 6 days a week)</v>
      </c>
      <c r="D50" s="393"/>
      <c r="E50" s="393"/>
      <c r="F50" s="256"/>
      <c r="G50" s="318"/>
      <c r="H50" s="318"/>
      <c r="I50" s="318"/>
      <c r="J50" s="318"/>
      <c r="K50" s="318"/>
      <c r="L50" s="318"/>
      <c r="M50" s="336"/>
    </row>
    <row r="51" spans="1:15" ht="21" customHeight="1">
      <c r="A51" s="8" t="s">
        <v>84</v>
      </c>
      <c r="B51" s="29"/>
      <c r="C51" s="34" t="str">
        <f t="shared" ref="C51:C57" si="42">CONCATENATE(A51,B51)</f>
        <v>Head Gardner</v>
      </c>
      <c r="D51" s="310"/>
      <c r="E51" s="310">
        <f t="shared" ref="E51:E52" si="43">F51*12</f>
        <v>224952</v>
      </c>
      <c r="F51" s="310">
        <f>HLOOKUP(A51,'Salary Breakup'!$D$3:$AE$34,32,0)</f>
        <v>18746</v>
      </c>
      <c r="G51" s="328"/>
      <c r="H51" s="328"/>
      <c r="I51" s="329"/>
      <c r="J51" s="329">
        <v>1</v>
      </c>
      <c r="K51" s="329"/>
      <c r="L51" s="329">
        <f>SUM(G51:K51)</f>
        <v>1</v>
      </c>
      <c r="M51" s="351">
        <f t="shared" ref="M51:M52" si="44">L51*F51</f>
        <v>18746</v>
      </c>
    </row>
    <row r="52" spans="1:15" ht="21" customHeight="1">
      <c r="A52" s="8" t="s">
        <v>66</v>
      </c>
      <c r="B52" s="29" t="s">
        <v>140</v>
      </c>
      <c r="C52" s="34" t="str">
        <f t="shared" si="42"/>
        <v>GardnerCommon Area</v>
      </c>
      <c r="D52" s="310"/>
      <c r="E52" s="310">
        <f t="shared" si="43"/>
        <v>161412</v>
      </c>
      <c r="F52" s="310">
        <f>HLOOKUP(A52,'Salary Breakup'!$D$3:$AE$34,32,0)</f>
        <v>13451</v>
      </c>
      <c r="G52" s="328"/>
      <c r="H52" s="328"/>
      <c r="I52" s="329"/>
      <c r="J52" s="329">
        <v>2</v>
      </c>
      <c r="K52" s="329"/>
      <c r="L52" s="329">
        <f>SUM(G52:K52)</f>
        <v>2</v>
      </c>
      <c r="M52" s="351">
        <f t="shared" si="44"/>
        <v>26902</v>
      </c>
    </row>
    <row r="53" spans="1:15" ht="21" customHeight="1">
      <c r="A53" s="7" t="s">
        <v>301</v>
      </c>
      <c r="B53" s="30"/>
      <c r="C53" s="36" t="s">
        <v>301</v>
      </c>
      <c r="D53" s="394"/>
      <c r="E53" s="394"/>
      <c r="F53" s="257"/>
      <c r="G53" s="330"/>
      <c r="H53" s="330"/>
      <c r="I53" s="330"/>
      <c r="J53" s="330"/>
      <c r="K53" s="330"/>
      <c r="L53" s="330">
        <f>SUM(L51:L52)</f>
        <v>3</v>
      </c>
      <c r="M53" s="340">
        <f>SUM(M51:M52)</f>
        <v>45648</v>
      </c>
      <c r="N53" s="39">
        <f>M53/'CAM Variables'!$J$3</f>
        <v>9.6099152703988514E-2</v>
      </c>
      <c r="O53" s="39"/>
    </row>
    <row r="54" spans="1:15" ht="21" customHeight="1">
      <c r="A54" s="5" t="s">
        <v>257</v>
      </c>
      <c r="B54" s="25"/>
      <c r="C54" s="38" t="str">
        <f>A54</f>
        <v>Outsourced Services ( Horticulture Consumables) (8hrs X 6 days a week)</v>
      </c>
      <c r="D54" s="393"/>
      <c r="E54" s="393"/>
      <c r="F54" s="256"/>
      <c r="G54" s="318"/>
      <c r="H54" s="318"/>
      <c r="I54" s="318"/>
      <c r="J54" s="318"/>
      <c r="K54" s="318"/>
      <c r="L54" s="318"/>
      <c r="M54" s="336"/>
    </row>
    <row r="55" spans="1:15" ht="21" customHeight="1">
      <c r="A55" s="8" t="s">
        <v>89</v>
      </c>
      <c r="B55" s="29"/>
      <c r="C55" s="34" t="str">
        <f t="shared" si="42"/>
        <v>Tools and Equipments</v>
      </c>
      <c r="D55" s="260"/>
      <c r="E55" s="260"/>
      <c r="F55" s="255"/>
      <c r="G55" s="328"/>
      <c r="H55" s="328"/>
      <c r="I55" s="328"/>
      <c r="J55" s="328"/>
      <c r="K55" s="328"/>
      <c r="L55" s="329"/>
      <c r="M55" s="339">
        <f>SUM(L53)*1000</f>
        <v>3000</v>
      </c>
    </row>
    <row r="56" spans="1:15" ht="21" customHeight="1">
      <c r="A56" s="262"/>
      <c r="B56" s="107"/>
      <c r="C56" s="261" t="s">
        <v>312</v>
      </c>
      <c r="D56" s="260"/>
      <c r="E56" s="260"/>
      <c r="F56" s="255"/>
      <c r="G56" s="331"/>
      <c r="H56" s="331"/>
      <c r="I56" s="331"/>
      <c r="J56" s="331"/>
      <c r="K56" s="331"/>
      <c r="L56" s="332"/>
      <c r="M56" s="341">
        <f>60*300</f>
        <v>18000</v>
      </c>
    </row>
    <row r="57" spans="1:15" ht="21" customHeight="1">
      <c r="A57" s="8" t="s">
        <v>90</v>
      </c>
      <c r="B57" s="29"/>
      <c r="C57" s="34" t="str">
        <f t="shared" si="42"/>
        <v>Manure, Chemicals and Saplings</v>
      </c>
      <c r="D57" s="260"/>
      <c r="E57" s="260"/>
      <c r="F57" s="255"/>
      <c r="G57" s="328"/>
      <c r="H57" s="328"/>
      <c r="I57" s="328"/>
      <c r="J57" s="328"/>
      <c r="K57" s="328"/>
      <c r="L57" s="329"/>
      <c r="M57" s="339">
        <v>8000</v>
      </c>
    </row>
    <row r="58" spans="1:15" ht="21" customHeight="1">
      <c r="A58" s="7" t="s">
        <v>302</v>
      </c>
      <c r="B58" s="30"/>
      <c r="C58" s="36" t="s">
        <v>302</v>
      </c>
      <c r="D58" s="394"/>
      <c r="E58" s="394"/>
      <c r="F58" s="257"/>
      <c r="G58" s="330"/>
      <c r="H58" s="330"/>
      <c r="I58" s="330"/>
      <c r="J58" s="330"/>
      <c r="K58" s="330"/>
      <c r="L58" s="330">
        <f>SUM(L51:L51)</f>
        <v>1</v>
      </c>
      <c r="M58" s="340">
        <f>SUM(M55:M57)</f>
        <v>29000</v>
      </c>
      <c r="N58" s="39">
        <f>M58/'CAM Variables'!$J$3</f>
        <v>6.1051424562207912E-2</v>
      </c>
      <c r="O58" s="39"/>
    </row>
    <row r="59" spans="1:15" ht="21" customHeight="1">
      <c r="A59" s="5" t="s">
        <v>612</v>
      </c>
      <c r="B59" s="25"/>
      <c r="C59" s="415" t="str">
        <f>A59</f>
        <v>( Security Servcies) (8hrs X 6 days a week)- Comm</v>
      </c>
      <c r="D59" s="416"/>
      <c r="E59" s="416"/>
      <c r="F59" s="417"/>
      <c r="G59" s="418"/>
      <c r="H59" s="418"/>
      <c r="I59" s="418"/>
      <c r="J59" s="418"/>
      <c r="K59" s="418"/>
      <c r="L59" s="418"/>
      <c r="M59" s="419"/>
    </row>
    <row r="60" spans="1:15" ht="21" customHeight="1">
      <c r="A60" s="315" t="s">
        <v>9</v>
      </c>
      <c r="B60" s="316" t="s">
        <v>694</v>
      </c>
      <c r="C60" s="34" t="str">
        <f t="shared" ref="C60:C65" si="45">CONCATENATE(A60," ",B60)</f>
        <v>Security Supervisor Main Entry</v>
      </c>
      <c r="D60" s="310"/>
      <c r="E60" s="310">
        <f t="shared" ref="E60:E67" si="46">F60*12</f>
        <v>168216</v>
      </c>
      <c r="F60" s="310">
        <f>HLOOKUP(A60,'Salary Breakup'!$D$3:$AE$34,32,0)</f>
        <v>14018</v>
      </c>
      <c r="G60" s="797">
        <v>1</v>
      </c>
      <c r="H60" s="334">
        <v>1</v>
      </c>
      <c r="I60" s="334">
        <v>1</v>
      </c>
      <c r="J60" s="334"/>
      <c r="K60" s="313">
        <f>ROUND(SUM(G60:J61)/6,0)</f>
        <v>1</v>
      </c>
      <c r="L60" s="334">
        <f>SUM(G60:K60)</f>
        <v>4</v>
      </c>
      <c r="M60" s="351">
        <f t="shared" ref="M60:M65" si="47">L60*F60</f>
        <v>56072</v>
      </c>
    </row>
    <row r="61" spans="1:15" ht="21" customHeight="1">
      <c r="A61" s="311" t="s">
        <v>284</v>
      </c>
      <c r="B61" s="312" t="s">
        <v>294</v>
      </c>
      <c r="C61" s="34" t="str">
        <f t="shared" si="45"/>
        <v>Head Guard Control Room</v>
      </c>
      <c r="D61" s="310"/>
      <c r="E61" s="310">
        <f t="shared" si="46"/>
        <v>168216</v>
      </c>
      <c r="F61" s="310">
        <f>HLOOKUP(A61,'Salary Breakup'!$D$3:$AE$34,32,0)</f>
        <v>14018</v>
      </c>
      <c r="G61" s="798">
        <v>1</v>
      </c>
      <c r="H61" s="326">
        <v>1</v>
      </c>
      <c r="I61" s="326">
        <v>1</v>
      </c>
      <c r="J61" s="326"/>
      <c r="K61" s="398"/>
      <c r="L61" s="326">
        <f>SUM(G61:K61)</f>
        <v>3</v>
      </c>
      <c r="M61" s="351">
        <f t="shared" si="47"/>
        <v>42054</v>
      </c>
    </row>
    <row r="62" spans="1:15" ht="21" customHeight="1">
      <c r="A62" s="311" t="s">
        <v>22</v>
      </c>
      <c r="B62" s="312" t="s">
        <v>603</v>
      </c>
      <c r="C62" s="34" t="str">
        <f t="shared" ref="C62" si="48">CONCATENATE(A62," ",B62)</f>
        <v>Security Guard Entry &amp; Exit Point</v>
      </c>
      <c r="D62" s="310"/>
      <c r="E62" s="310">
        <f t="shared" si="46"/>
        <v>138348</v>
      </c>
      <c r="F62" s="310">
        <f>HLOOKUP(A62,'Salary Breakup'!$D$3:$AE$34,32,0)</f>
        <v>11529</v>
      </c>
      <c r="G62" s="798">
        <v>1</v>
      </c>
      <c r="H62" s="326">
        <v>1</v>
      </c>
      <c r="I62" s="326">
        <v>1</v>
      </c>
      <c r="J62" s="326"/>
      <c r="L62" s="326">
        <f>SUM(G62:K62)</f>
        <v>3</v>
      </c>
      <c r="M62" s="351">
        <f t="shared" ref="M62" si="49">L62*F62</f>
        <v>34587</v>
      </c>
    </row>
    <row r="63" spans="1:15" ht="21" customHeight="1">
      <c r="A63" s="311" t="s">
        <v>22</v>
      </c>
      <c r="B63" s="312" t="s">
        <v>138</v>
      </c>
      <c r="C63" s="34" t="str">
        <f t="shared" si="45"/>
        <v>Security Guard Campus Perifery &amp; Drive Ways</v>
      </c>
      <c r="D63" s="310"/>
      <c r="E63" s="310">
        <f t="shared" si="46"/>
        <v>138348</v>
      </c>
      <c r="F63" s="310">
        <f>HLOOKUP(A63,'Salary Breakup'!$D$3:$AE$34,32,0)</f>
        <v>11529</v>
      </c>
      <c r="G63" s="798">
        <v>2</v>
      </c>
      <c r="H63" s="326">
        <v>2</v>
      </c>
      <c r="I63" s="326">
        <v>1</v>
      </c>
      <c r="J63" s="326">
        <v>2</v>
      </c>
      <c r="L63" s="326">
        <f>SUM(G63:K63)</f>
        <v>7</v>
      </c>
      <c r="M63" s="351">
        <f t="shared" si="47"/>
        <v>80703</v>
      </c>
    </row>
    <row r="64" spans="1:15" ht="21" customHeight="1">
      <c r="A64" s="311" t="s">
        <v>22</v>
      </c>
      <c r="B64" s="312" t="s">
        <v>702</v>
      </c>
      <c r="C64" s="34" t="str">
        <f t="shared" si="45"/>
        <v>Security Guard Basement 1 ( Lift Lobbies)</v>
      </c>
      <c r="D64" s="310"/>
      <c r="E64" s="310">
        <f t="shared" si="46"/>
        <v>138348</v>
      </c>
      <c r="F64" s="310">
        <f>HLOOKUP(A64,'Salary Breakup'!$D$3:$AE$34,32,0)</f>
        <v>11529</v>
      </c>
      <c r="G64" s="798">
        <v>1</v>
      </c>
      <c r="H64" s="326">
        <v>1</v>
      </c>
      <c r="I64" s="326">
        <v>1</v>
      </c>
      <c r="J64" s="326">
        <v>1</v>
      </c>
      <c r="K64" s="397"/>
      <c r="L64" s="326">
        <f>SUM(G64:K64)</f>
        <v>4</v>
      </c>
      <c r="M64" s="351">
        <f t="shared" si="47"/>
        <v>46116</v>
      </c>
    </row>
    <row r="65" spans="1:15" ht="21" customHeight="1">
      <c r="A65" s="311" t="s">
        <v>22</v>
      </c>
      <c r="B65" s="312" t="s">
        <v>703</v>
      </c>
      <c r="C65" s="34" t="str">
        <f t="shared" si="45"/>
        <v>Security Guard Basement 2 ( Lift Lobbies)</v>
      </c>
      <c r="D65" s="310"/>
      <c r="E65" s="310">
        <f t="shared" si="46"/>
        <v>138348</v>
      </c>
      <c r="F65" s="310">
        <f>HLOOKUP(A65,'Salary Breakup'!$D$3:$AE$34,32,0)</f>
        <v>11529</v>
      </c>
      <c r="G65" s="798">
        <v>1</v>
      </c>
      <c r="H65" s="326">
        <v>1</v>
      </c>
      <c r="I65" s="326">
        <v>0</v>
      </c>
      <c r="J65" s="326">
        <v>1</v>
      </c>
      <c r="K65" s="397"/>
      <c r="L65" s="326">
        <f t="shared" ref="L65" si="50">SUM(G65:K65)</f>
        <v>3</v>
      </c>
      <c r="M65" s="351">
        <f t="shared" si="47"/>
        <v>34587</v>
      </c>
    </row>
    <row r="66" spans="1:15" ht="21" customHeight="1">
      <c r="A66" s="311" t="s">
        <v>22</v>
      </c>
      <c r="B66" s="312" t="s">
        <v>704</v>
      </c>
      <c r="C66" s="34" t="str">
        <f t="shared" ref="C66:C67" si="51">CONCATENATE(A66," ",B66)</f>
        <v>Security Guard Basement 3 ( Lift Lobbies)</v>
      </c>
      <c r="D66" s="310"/>
      <c r="E66" s="310">
        <f t="shared" si="46"/>
        <v>138348</v>
      </c>
      <c r="F66" s="310">
        <f>HLOOKUP(A66,'Salary Breakup'!$D$3:$AE$34,32,0)</f>
        <v>11529</v>
      </c>
      <c r="G66" s="798">
        <v>1</v>
      </c>
      <c r="H66" s="326">
        <v>1</v>
      </c>
      <c r="I66" s="313">
        <v>0</v>
      </c>
      <c r="J66" s="313">
        <v>3</v>
      </c>
      <c r="K66" s="397"/>
      <c r="L66" s="313">
        <f t="shared" ref="L66:L67" si="52">SUM(G66:K66)</f>
        <v>5</v>
      </c>
      <c r="M66" s="351">
        <f t="shared" ref="M66:M67" si="53">L66*F66</f>
        <v>57645</v>
      </c>
    </row>
    <row r="67" spans="1:15" ht="21" customHeight="1">
      <c r="A67" s="311" t="s">
        <v>22</v>
      </c>
      <c r="B67" s="312" t="s">
        <v>705</v>
      </c>
      <c r="C67" s="34" t="str">
        <f t="shared" si="51"/>
        <v>Security Guard Basement 4 ( Lift Lobbies)</v>
      </c>
      <c r="D67" s="310"/>
      <c r="E67" s="310">
        <f t="shared" si="46"/>
        <v>138348</v>
      </c>
      <c r="F67" s="310">
        <f>HLOOKUP(A67,'Salary Breakup'!$D$3:$AE$34,32,0)</f>
        <v>11529</v>
      </c>
      <c r="G67" s="798">
        <v>1</v>
      </c>
      <c r="H67" s="326">
        <v>1</v>
      </c>
      <c r="I67" s="313">
        <v>0</v>
      </c>
      <c r="J67" s="313">
        <v>3</v>
      </c>
      <c r="K67" s="313">
        <f>ROUND(SUM(G62:J67)/6,0)</f>
        <v>5</v>
      </c>
      <c r="L67" s="313">
        <f t="shared" si="52"/>
        <v>10</v>
      </c>
      <c r="M67" s="351">
        <f t="shared" si="53"/>
        <v>115290</v>
      </c>
    </row>
    <row r="68" spans="1:15" ht="21" customHeight="1">
      <c r="A68" s="7" t="s">
        <v>182</v>
      </c>
      <c r="B68" s="33"/>
      <c r="C68" s="36" t="s">
        <v>182</v>
      </c>
      <c r="D68" s="394"/>
      <c r="E68" s="394"/>
      <c r="F68" s="257"/>
      <c r="G68" s="335">
        <f t="shared" ref="G68:M68" si="54">SUM(G60:G67)</f>
        <v>9</v>
      </c>
      <c r="H68" s="335">
        <f t="shared" si="54"/>
        <v>9</v>
      </c>
      <c r="I68" s="335">
        <f t="shared" si="54"/>
        <v>5</v>
      </c>
      <c r="J68" s="335">
        <f t="shared" si="54"/>
        <v>10</v>
      </c>
      <c r="K68" s="335">
        <f t="shared" si="54"/>
        <v>6</v>
      </c>
      <c r="L68" s="335">
        <f t="shared" si="54"/>
        <v>39</v>
      </c>
      <c r="M68" s="337">
        <f t="shared" si="54"/>
        <v>467054</v>
      </c>
      <c r="N68" s="39">
        <f>M68/'CAM Variables'!$J$3</f>
        <v>0.98325213956818813</v>
      </c>
      <c r="O68" s="39"/>
    </row>
    <row r="69" spans="1:15" ht="21" customHeight="1">
      <c r="A69" s="5" t="s">
        <v>613</v>
      </c>
      <c r="B69" s="25"/>
      <c r="C69" s="415" t="str">
        <f>A69</f>
        <v>( Security Servcies) (8hrs X 6 days a week)- Mall</v>
      </c>
      <c r="D69" s="416"/>
      <c r="E69" s="416"/>
      <c r="F69" s="417"/>
      <c r="G69" s="418"/>
      <c r="H69" s="418"/>
      <c r="I69" s="418"/>
      <c r="J69" s="418"/>
      <c r="K69" s="418"/>
      <c r="L69" s="418"/>
      <c r="M69" s="419"/>
    </row>
    <row r="70" spans="1:15" ht="21" customHeight="1">
      <c r="A70" s="311" t="s">
        <v>22</v>
      </c>
      <c r="B70" s="312" t="s">
        <v>699</v>
      </c>
      <c r="C70" s="34" t="str">
        <f t="shared" ref="C70:C72" si="55">CONCATENATE(A70," ",B70)</f>
        <v>Security Guard Grd Floor- Mall Entry Outside</v>
      </c>
      <c r="D70" s="310"/>
      <c r="E70" s="310">
        <f t="shared" ref="E70:E72" si="56">F70*12</f>
        <v>138348</v>
      </c>
      <c r="F70" s="310">
        <f>HLOOKUP(A70,'Salary Breakup'!$D$3:$AE$34,32,0)</f>
        <v>11529</v>
      </c>
      <c r="G70" s="313"/>
      <c r="H70" s="313"/>
      <c r="I70" s="313">
        <v>2</v>
      </c>
      <c r="J70" s="313">
        <v>2</v>
      </c>
      <c r="K70" s="397"/>
      <c r="L70" s="313">
        <f t="shared" ref="L70:L72" si="57">SUM(G70:K70)</f>
        <v>4</v>
      </c>
      <c r="M70" s="351">
        <f t="shared" ref="M70:M72" si="58">L70*F70</f>
        <v>46116</v>
      </c>
    </row>
    <row r="71" spans="1:15" ht="21" customHeight="1">
      <c r="A71" s="311" t="s">
        <v>22</v>
      </c>
      <c r="B71" s="400" t="s">
        <v>698</v>
      </c>
      <c r="C71" s="34" t="str">
        <f t="shared" si="55"/>
        <v>Security Guard Mall Atrium Gate</v>
      </c>
      <c r="D71" s="310"/>
      <c r="E71" s="310">
        <f t="shared" ref="E71" si="59">F71*12</f>
        <v>138348</v>
      </c>
      <c r="F71" s="310">
        <f>HLOOKUP(A71,'Salary Breakup'!$D$3:$AE$34,32,0)</f>
        <v>11529</v>
      </c>
      <c r="G71" s="313">
        <v>2</v>
      </c>
      <c r="H71" s="313">
        <v>2</v>
      </c>
      <c r="I71" s="313">
        <v>1</v>
      </c>
      <c r="J71" s="313">
        <v>1</v>
      </c>
      <c r="K71" s="397"/>
      <c r="L71" s="313">
        <f t="shared" ref="L71" si="60">SUM(G71:K71)</f>
        <v>6</v>
      </c>
      <c r="M71" s="351">
        <f t="shared" ref="M71" si="61">L71*F71</f>
        <v>69174</v>
      </c>
    </row>
    <row r="72" spans="1:15" ht="21" customHeight="1">
      <c r="A72" s="311" t="s">
        <v>22</v>
      </c>
      <c r="B72" s="312" t="s">
        <v>693</v>
      </c>
      <c r="C72" s="34" t="str">
        <f t="shared" si="55"/>
        <v>Security Guard LG-L3- Mall</v>
      </c>
      <c r="D72" s="310"/>
      <c r="E72" s="310">
        <f t="shared" si="56"/>
        <v>138348</v>
      </c>
      <c r="F72" s="310">
        <f>HLOOKUP(A72,'Salary Breakup'!$D$3:$AE$34,32,0)</f>
        <v>11529</v>
      </c>
      <c r="G72" s="313">
        <v>3</v>
      </c>
      <c r="H72" s="313">
        <v>3</v>
      </c>
      <c r="I72" s="313">
        <v>1</v>
      </c>
      <c r="J72" s="313"/>
      <c r="K72" s="313">
        <f>ROUND(SUM(G70:J72)/6,0)</f>
        <v>3</v>
      </c>
      <c r="L72" s="313">
        <f t="shared" si="57"/>
        <v>10</v>
      </c>
      <c r="M72" s="351">
        <f t="shared" si="58"/>
        <v>115290</v>
      </c>
    </row>
    <row r="73" spans="1:15" ht="21" customHeight="1">
      <c r="A73" s="7" t="s">
        <v>695</v>
      </c>
      <c r="B73" s="33"/>
      <c r="C73" s="36" t="s">
        <v>182</v>
      </c>
      <c r="D73" s="394"/>
      <c r="E73" s="394"/>
      <c r="F73" s="257"/>
      <c r="G73" s="335">
        <f>SUM(G70:G72)</f>
        <v>5</v>
      </c>
      <c r="H73" s="335"/>
      <c r="I73" s="335">
        <f>SUM(I70:I72)</f>
        <v>4</v>
      </c>
      <c r="J73" s="335">
        <f>SUM(J70:J72)</f>
        <v>3</v>
      </c>
      <c r="K73" s="335"/>
      <c r="L73" s="335">
        <f>SUM(L70:L72)</f>
        <v>20</v>
      </c>
      <c r="M73" s="337">
        <f>SUM(M70:M72)</f>
        <v>230580</v>
      </c>
      <c r="N73" s="39">
        <f>M73/'CAM Variables'!$J$3</f>
        <v>0.48542198191565178</v>
      </c>
      <c r="O73" s="39"/>
    </row>
    <row r="74" spans="1:15" ht="21" customHeight="1">
      <c r="A74" s="5" t="s">
        <v>614</v>
      </c>
      <c r="B74" s="25"/>
      <c r="C74" s="415" t="str">
        <f>A74</f>
        <v>( Security Servcies) (8hrs X 6 days a week)- Office</v>
      </c>
      <c r="D74" s="416"/>
      <c r="E74" s="416"/>
      <c r="F74" s="417"/>
      <c r="G74" s="418"/>
      <c r="H74" s="418"/>
      <c r="I74" s="418"/>
      <c r="J74" s="418"/>
      <c r="K74" s="418"/>
      <c r="L74" s="418"/>
      <c r="M74" s="419"/>
    </row>
    <row r="75" spans="1:15" ht="21" customHeight="1">
      <c r="A75" s="311" t="s">
        <v>22</v>
      </c>
      <c r="B75" s="312" t="s">
        <v>601</v>
      </c>
      <c r="C75" s="34" t="str">
        <f t="shared" ref="C75" si="62">CONCATENATE(A75," ",B75)</f>
        <v>Security Guard Grd Floor- Office Entry</v>
      </c>
      <c r="D75" s="310"/>
      <c r="E75" s="310">
        <f t="shared" ref="E75" si="63">F75*12</f>
        <v>138348</v>
      </c>
      <c r="F75" s="310">
        <f>HLOOKUP(A75,'Salary Breakup'!$D$3:$AE$34,32,0)</f>
        <v>11529</v>
      </c>
      <c r="G75" s="313">
        <v>2</v>
      </c>
      <c r="H75" s="313">
        <v>2</v>
      </c>
      <c r="I75" s="313">
        <v>1</v>
      </c>
      <c r="J75" s="313"/>
      <c r="K75" s="397"/>
      <c r="L75" s="313">
        <f t="shared" ref="L75" si="64">SUM(G75:K75)</f>
        <v>5</v>
      </c>
      <c r="M75" s="351">
        <f t="shared" ref="M75" si="65">L75*F75</f>
        <v>57645</v>
      </c>
    </row>
    <row r="76" spans="1:15" ht="21" customHeight="1">
      <c r="A76" s="7" t="s">
        <v>696</v>
      </c>
      <c r="B76" s="33"/>
      <c r="C76" s="36" t="s">
        <v>182</v>
      </c>
      <c r="D76" s="394"/>
      <c r="E76" s="394"/>
      <c r="F76" s="257"/>
      <c r="G76" s="335">
        <f>SUM(G75:G75)</f>
        <v>2</v>
      </c>
      <c r="H76" s="335"/>
      <c r="I76" s="335">
        <f>SUM(I75:I75)</f>
        <v>1</v>
      </c>
      <c r="J76" s="335">
        <f>SUM(J75:J75)</f>
        <v>0</v>
      </c>
      <c r="K76" s="335"/>
      <c r="L76" s="335">
        <f>SUM(L75:L75)</f>
        <v>5</v>
      </c>
      <c r="M76" s="337">
        <f>SUM(M75:M75)</f>
        <v>57645</v>
      </c>
      <c r="N76" s="39">
        <f>M76/'CAM Variables'!$J$3</f>
        <v>0.12135549547891294</v>
      </c>
      <c r="O76" s="39"/>
    </row>
    <row r="77" spans="1:15" ht="21" customHeight="1">
      <c r="A77" s="5" t="s">
        <v>602</v>
      </c>
      <c r="B77" s="25"/>
      <c r="C77" s="38" t="str">
        <f>A77</f>
        <v>( Façade Cleaning Servcies) (8hrs X 6 days a week)</v>
      </c>
      <c r="D77" s="393"/>
      <c r="E77" s="393"/>
      <c r="F77" s="256"/>
      <c r="G77" s="318"/>
      <c r="H77" s="318"/>
      <c r="I77" s="318"/>
      <c r="J77" s="318"/>
      <c r="K77" s="318"/>
      <c r="L77" s="318"/>
      <c r="M77" s="336"/>
    </row>
    <row r="78" spans="1:15" ht="21" customHeight="1">
      <c r="A78" s="311" t="s">
        <v>280</v>
      </c>
      <c r="B78" s="312"/>
      <c r="C78" s="34" t="str">
        <f t="shared" ref="C78:C83" si="66">CONCATENATE(A78," ",B78)</f>
        <v xml:space="preserve">Façade Cleaning Supervisor </v>
      </c>
      <c r="D78" s="310"/>
      <c r="E78" s="310">
        <f t="shared" ref="E78:E82" si="67">F78*12</f>
        <v>168216</v>
      </c>
      <c r="F78" s="310">
        <f>HLOOKUP(A78,'Salary Breakup'!$D$3:$AE$34,32,0)</f>
        <v>14018</v>
      </c>
      <c r="G78" s="326"/>
      <c r="H78" s="326"/>
      <c r="I78" s="326"/>
      <c r="J78" s="326"/>
      <c r="K78" s="334">
        <v>1</v>
      </c>
      <c r="L78" s="326">
        <f>SUM(G78:K78)</f>
        <v>1</v>
      </c>
      <c r="M78" s="351">
        <f t="shared" ref="M78:M83" si="68">L78*F78</f>
        <v>14018</v>
      </c>
    </row>
    <row r="79" spans="1:15" ht="21" customHeight="1">
      <c r="A79" s="311" t="s">
        <v>281</v>
      </c>
      <c r="B79" s="312"/>
      <c r="C79" s="34" t="str">
        <f t="shared" si="66"/>
        <v xml:space="preserve">Cradle Operator </v>
      </c>
      <c r="D79" s="310"/>
      <c r="E79" s="310">
        <f t="shared" si="67"/>
        <v>168216</v>
      </c>
      <c r="F79" s="310">
        <f>HLOOKUP(A79,'Salary Breakup'!$D$3:$AE$34,32,0)</f>
        <v>14018</v>
      </c>
      <c r="G79" s="326"/>
      <c r="H79" s="326"/>
      <c r="I79" s="326"/>
      <c r="J79" s="326"/>
      <c r="K79" s="4">
        <v>1</v>
      </c>
      <c r="L79" s="326">
        <f>SUM(G79:K79)</f>
        <v>1</v>
      </c>
      <c r="M79" s="351">
        <f t="shared" si="68"/>
        <v>14018</v>
      </c>
    </row>
    <row r="80" spans="1:15" ht="21" customHeight="1">
      <c r="A80" s="311" t="s">
        <v>282</v>
      </c>
      <c r="B80" s="312"/>
      <c r="C80" s="34" t="str">
        <f t="shared" si="66"/>
        <v xml:space="preserve">Façade Cleaner </v>
      </c>
      <c r="D80" s="310"/>
      <c r="E80" s="310">
        <f t="shared" si="67"/>
        <v>168216</v>
      </c>
      <c r="F80" s="310">
        <f>HLOOKUP(A80,'Salary Breakup'!$D$3:$AE$34,32,0)</f>
        <v>14018</v>
      </c>
      <c r="G80" s="326"/>
      <c r="H80" s="326"/>
      <c r="I80" s="326"/>
      <c r="J80" s="326"/>
      <c r="K80" s="380">
        <v>2</v>
      </c>
      <c r="L80" s="326">
        <f>SUM(G80:K80)</f>
        <v>2</v>
      </c>
      <c r="M80" s="351">
        <f t="shared" si="68"/>
        <v>28036</v>
      </c>
    </row>
    <row r="81" spans="1:15" ht="21" customHeight="1">
      <c r="A81" s="311" t="s">
        <v>64</v>
      </c>
      <c r="B81" s="312"/>
      <c r="C81" s="34" t="str">
        <f t="shared" si="66"/>
        <v xml:space="preserve">Spiderman </v>
      </c>
      <c r="D81" s="310"/>
      <c r="E81" s="310">
        <f t="shared" si="67"/>
        <v>168216</v>
      </c>
      <c r="F81" s="310">
        <f>HLOOKUP(A81,'Salary Breakup'!$D$3:$AE$34,32,0)</f>
        <v>14018</v>
      </c>
      <c r="G81" s="326"/>
      <c r="H81" s="326"/>
      <c r="I81" s="326"/>
      <c r="J81" s="326"/>
      <c r="K81" s="380">
        <v>1</v>
      </c>
      <c r="L81" s="326">
        <f t="shared" ref="L81:L82" si="69">SUM(G81:K81)</f>
        <v>1</v>
      </c>
      <c r="M81" s="351">
        <f t="shared" si="68"/>
        <v>14018</v>
      </c>
    </row>
    <row r="82" spans="1:15" ht="21" customHeight="1">
      <c r="A82" s="311" t="s">
        <v>283</v>
      </c>
      <c r="B82" s="312"/>
      <c r="C82" s="34" t="str">
        <f t="shared" si="66"/>
        <v xml:space="preserve">Helpers </v>
      </c>
      <c r="D82" s="310"/>
      <c r="E82" s="310">
        <f t="shared" si="67"/>
        <v>118344</v>
      </c>
      <c r="F82" s="310">
        <f>HLOOKUP(A82,'Salary Breakup'!$D$3:$AE$34,32,0)</f>
        <v>9862</v>
      </c>
      <c r="G82" s="326"/>
      <c r="H82" s="326"/>
      <c r="I82" s="313"/>
      <c r="J82" s="313"/>
      <c r="K82" s="380">
        <v>1</v>
      </c>
      <c r="L82" s="313">
        <f t="shared" si="69"/>
        <v>1</v>
      </c>
      <c r="M82" s="351">
        <f t="shared" si="68"/>
        <v>9862</v>
      </c>
    </row>
    <row r="83" spans="1:15" ht="21" customHeight="1">
      <c r="A83" s="399" t="s">
        <v>604</v>
      </c>
      <c r="B83" s="400"/>
      <c r="C83" s="34" t="str">
        <f t="shared" si="66"/>
        <v xml:space="preserve">Spideman Tool Kit </v>
      </c>
      <c r="D83" s="310"/>
      <c r="E83" s="310"/>
      <c r="F83" s="310">
        <v>2500</v>
      </c>
      <c r="G83" s="313"/>
      <c r="H83" s="313"/>
      <c r="I83" s="313"/>
      <c r="J83" s="313"/>
      <c r="K83" s="380"/>
      <c r="L83" s="313">
        <v>2</v>
      </c>
      <c r="M83" s="351">
        <f t="shared" si="68"/>
        <v>5000</v>
      </c>
    </row>
    <row r="84" spans="1:15" ht="21" customHeight="1">
      <c r="A84" s="7" t="s">
        <v>697</v>
      </c>
      <c r="B84" s="33"/>
      <c r="C84" s="36" t="s">
        <v>182</v>
      </c>
      <c r="D84" s="394"/>
      <c r="E84" s="394"/>
      <c r="F84" s="257"/>
      <c r="G84" s="335">
        <f t="shared" ref="G84:L84" si="70">SUM(G78:G83)</f>
        <v>0</v>
      </c>
      <c r="H84" s="335">
        <f t="shared" si="70"/>
        <v>0</v>
      </c>
      <c r="I84" s="335">
        <f t="shared" si="70"/>
        <v>0</v>
      </c>
      <c r="J84" s="335">
        <f t="shared" si="70"/>
        <v>0</v>
      </c>
      <c r="K84" s="335">
        <f t="shared" si="70"/>
        <v>6</v>
      </c>
      <c r="L84" s="335">
        <f t="shared" si="70"/>
        <v>8</v>
      </c>
      <c r="M84" s="337">
        <f>SUM(M78:M83)</f>
        <v>84952</v>
      </c>
      <c r="N84" s="39">
        <f>M84/'CAM Variables'!$J$3</f>
        <v>0.1788427799796099</v>
      </c>
      <c r="O84" s="39"/>
    </row>
    <row r="85" spans="1:15" ht="20.25" customHeight="1">
      <c r="K85" s="4"/>
    </row>
  </sheetData>
  <sheetProtection formatCells="0" formatColumns="0" formatRows="0" insertColumns="0" insertRows="0" insertHyperlinks="0" deleteColumns="0" deleteRows="0" selectLockedCells="1" sort="0" autoFilter="0" pivotTables="0"/>
  <mergeCells count="13">
    <mergeCell ref="C34:M34"/>
    <mergeCell ref="C41:M41"/>
    <mergeCell ref="I43:I44"/>
    <mergeCell ref="C46:M46"/>
    <mergeCell ref="I38:I39"/>
    <mergeCell ref="G1:M1"/>
    <mergeCell ref="A2:A3"/>
    <mergeCell ref="B2:B3"/>
    <mergeCell ref="C2:C3"/>
    <mergeCell ref="F2:F3"/>
    <mergeCell ref="G2:K2"/>
    <mergeCell ref="L2:L3"/>
    <mergeCell ref="M2:M3"/>
  </mergeCells>
  <hyperlinks>
    <hyperlink ref="N2" location="INDEX!A1" display="INDEX" xr:uid="{00000000-0004-0000-0E00-000000000000}"/>
  </hyperlinks>
  <pageMargins left="0.7" right="0.7" top="0.55000000000000004" bottom="0.54" header="0.3" footer="0.3"/>
  <pageSetup scale="59" fitToHeight="4" orientation="portrait" horizontalDpi="1200" verticalDpi="1200" r:id="rId1"/>
  <rowBreaks count="1" manualBreakCount="1">
    <brk id="45" min="2" max="12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9" tint="0.59999389629810485"/>
  </sheetPr>
  <dimension ref="A1:AG35"/>
  <sheetViews>
    <sheetView view="pageBreakPreview" zoomScale="90" zoomScaleNormal="90" zoomScaleSheetLayoutView="90" workbookViewId="0">
      <pane xSplit="3" ySplit="13" topLeftCell="D14" activePane="bottomRight" state="frozen"/>
      <selection activeCell="K14" sqref="K14"/>
      <selection pane="topRight" activeCell="K14" sqref="K14"/>
      <selection pane="bottomLeft" activeCell="K14" sqref="K14"/>
      <selection pane="bottomRight" activeCell="AS1" sqref="AS1"/>
    </sheetView>
  </sheetViews>
  <sheetFormatPr defaultRowHeight="18.75" customHeight="1"/>
  <cols>
    <col min="1" max="1" width="9.140625" style="148"/>
    <col min="2" max="2" width="6.7109375" style="148" customWidth="1"/>
    <col min="3" max="3" width="9.28515625" style="148" customWidth="1"/>
    <col min="4" max="16" width="10.140625" style="148" customWidth="1"/>
    <col min="17" max="17" width="10.5703125" style="148" customWidth="1"/>
    <col min="18" max="18" width="12.140625" style="148" customWidth="1"/>
    <col min="19" max="21" width="10.140625" style="148" customWidth="1"/>
    <col min="22" max="23" width="12.42578125" style="148" customWidth="1"/>
    <col min="24" max="28" width="10.140625" style="148" customWidth="1"/>
    <col min="29" max="31" width="12.42578125" style="148" customWidth="1"/>
    <col min="32" max="208" width="9.140625" style="148"/>
    <col min="209" max="209" width="6.7109375" style="148" customWidth="1"/>
    <col min="210" max="210" width="7.5703125" style="148" customWidth="1"/>
    <col min="211" max="212" width="12.140625" style="148" customWidth="1"/>
    <col min="213" max="214" width="13.7109375" style="148" customWidth="1"/>
    <col min="215" max="231" width="12.140625" style="148" customWidth="1"/>
    <col min="232" max="464" width="9.140625" style="148"/>
    <col min="465" max="465" width="6.7109375" style="148" customWidth="1"/>
    <col min="466" max="466" width="7.5703125" style="148" customWidth="1"/>
    <col min="467" max="468" width="12.140625" style="148" customWidth="1"/>
    <col min="469" max="470" width="13.7109375" style="148" customWidth="1"/>
    <col min="471" max="487" width="12.140625" style="148" customWidth="1"/>
    <col min="488" max="720" width="9.140625" style="148"/>
    <col min="721" max="721" width="6.7109375" style="148" customWidth="1"/>
    <col min="722" max="722" width="7.5703125" style="148" customWidth="1"/>
    <col min="723" max="724" width="12.140625" style="148" customWidth="1"/>
    <col min="725" max="726" width="13.7109375" style="148" customWidth="1"/>
    <col min="727" max="743" width="12.140625" style="148" customWidth="1"/>
    <col min="744" max="976" width="9.140625" style="148"/>
    <col min="977" max="977" width="6.7109375" style="148" customWidth="1"/>
    <col min="978" max="978" width="7.5703125" style="148" customWidth="1"/>
    <col min="979" max="980" width="12.140625" style="148" customWidth="1"/>
    <col min="981" max="982" width="13.7109375" style="148" customWidth="1"/>
    <col min="983" max="999" width="12.140625" style="148" customWidth="1"/>
    <col min="1000" max="1232" width="9.140625" style="148"/>
    <col min="1233" max="1233" width="6.7109375" style="148" customWidth="1"/>
    <col min="1234" max="1234" width="7.5703125" style="148" customWidth="1"/>
    <col min="1235" max="1236" width="12.140625" style="148" customWidth="1"/>
    <col min="1237" max="1238" width="13.7109375" style="148" customWidth="1"/>
    <col min="1239" max="1255" width="12.140625" style="148" customWidth="1"/>
    <col min="1256" max="1488" width="9.140625" style="148"/>
    <col min="1489" max="1489" width="6.7109375" style="148" customWidth="1"/>
    <col min="1490" max="1490" width="7.5703125" style="148" customWidth="1"/>
    <col min="1491" max="1492" width="12.140625" style="148" customWidth="1"/>
    <col min="1493" max="1494" width="13.7109375" style="148" customWidth="1"/>
    <col min="1495" max="1511" width="12.140625" style="148" customWidth="1"/>
    <col min="1512" max="1744" width="9.140625" style="148"/>
    <col min="1745" max="1745" width="6.7109375" style="148" customWidth="1"/>
    <col min="1746" max="1746" width="7.5703125" style="148" customWidth="1"/>
    <col min="1747" max="1748" width="12.140625" style="148" customWidth="1"/>
    <col min="1749" max="1750" width="13.7109375" style="148" customWidth="1"/>
    <col min="1751" max="1767" width="12.140625" style="148" customWidth="1"/>
    <col min="1768" max="2000" width="9.140625" style="148"/>
    <col min="2001" max="2001" width="6.7109375" style="148" customWidth="1"/>
    <col min="2002" max="2002" width="7.5703125" style="148" customWidth="1"/>
    <col min="2003" max="2004" width="12.140625" style="148" customWidth="1"/>
    <col min="2005" max="2006" width="13.7109375" style="148" customWidth="1"/>
    <col min="2007" max="2023" width="12.140625" style="148" customWidth="1"/>
    <col min="2024" max="2256" width="9.140625" style="148"/>
    <col min="2257" max="2257" width="6.7109375" style="148" customWidth="1"/>
    <col min="2258" max="2258" width="7.5703125" style="148" customWidth="1"/>
    <col min="2259" max="2260" width="12.140625" style="148" customWidth="1"/>
    <col min="2261" max="2262" width="13.7109375" style="148" customWidth="1"/>
    <col min="2263" max="2279" width="12.140625" style="148" customWidth="1"/>
    <col min="2280" max="2512" width="9.140625" style="148"/>
    <col min="2513" max="2513" width="6.7109375" style="148" customWidth="1"/>
    <col min="2514" max="2514" width="7.5703125" style="148" customWidth="1"/>
    <col min="2515" max="2516" width="12.140625" style="148" customWidth="1"/>
    <col min="2517" max="2518" width="13.7109375" style="148" customWidth="1"/>
    <col min="2519" max="2535" width="12.140625" style="148" customWidth="1"/>
    <col min="2536" max="2768" width="9.140625" style="148"/>
    <col min="2769" max="2769" width="6.7109375" style="148" customWidth="1"/>
    <col min="2770" max="2770" width="7.5703125" style="148" customWidth="1"/>
    <col min="2771" max="2772" width="12.140625" style="148" customWidth="1"/>
    <col min="2773" max="2774" width="13.7109375" style="148" customWidth="1"/>
    <col min="2775" max="2791" width="12.140625" style="148" customWidth="1"/>
    <col min="2792" max="3024" width="9.140625" style="148"/>
    <col min="3025" max="3025" width="6.7109375" style="148" customWidth="1"/>
    <col min="3026" max="3026" width="7.5703125" style="148" customWidth="1"/>
    <col min="3027" max="3028" width="12.140625" style="148" customWidth="1"/>
    <col min="3029" max="3030" width="13.7109375" style="148" customWidth="1"/>
    <col min="3031" max="3047" width="12.140625" style="148" customWidth="1"/>
    <col min="3048" max="3280" width="9.140625" style="148"/>
    <col min="3281" max="3281" width="6.7109375" style="148" customWidth="1"/>
    <col min="3282" max="3282" width="7.5703125" style="148" customWidth="1"/>
    <col min="3283" max="3284" width="12.140625" style="148" customWidth="1"/>
    <col min="3285" max="3286" width="13.7109375" style="148" customWidth="1"/>
    <col min="3287" max="3303" width="12.140625" style="148" customWidth="1"/>
    <col min="3304" max="3536" width="9.140625" style="148"/>
    <col min="3537" max="3537" width="6.7109375" style="148" customWidth="1"/>
    <col min="3538" max="3538" width="7.5703125" style="148" customWidth="1"/>
    <col min="3539" max="3540" width="12.140625" style="148" customWidth="1"/>
    <col min="3541" max="3542" width="13.7109375" style="148" customWidth="1"/>
    <col min="3543" max="3559" width="12.140625" style="148" customWidth="1"/>
    <col min="3560" max="3792" width="9.140625" style="148"/>
    <col min="3793" max="3793" width="6.7109375" style="148" customWidth="1"/>
    <col min="3794" max="3794" width="7.5703125" style="148" customWidth="1"/>
    <col min="3795" max="3796" width="12.140625" style="148" customWidth="1"/>
    <col min="3797" max="3798" width="13.7109375" style="148" customWidth="1"/>
    <col min="3799" max="3815" width="12.140625" style="148" customWidth="1"/>
    <col min="3816" max="4048" width="9.140625" style="148"/>
    <col min="4049" max="4049" width="6.7109375" style="148" customWidth="1"/>
    <col min="4050" max="4050" width="7.5703125" style="148" customWidth="1"/>
    <col min="4051" max="4052" width="12.140625" style="148" customWidth="1"/>
    <col min="4053" max="4054" width="13.7109375" style="148" customWidth="1"/>
    <col min="4055" max="4071" width="12.140625" style="148" customWidth="1"/>
    <col min="4072" max="4304" width="9.140625" style="148"/>
    <col min="4305" max="4305" width="6.7109375" style="148" customWidth="1"/>
    <col min="4306" max="4306" width="7.5703125" style="148" customWidth="1"/>
    <col min="4307" max="4308" width="12.140625" style="148" customWidth="1"/>
    <col min="4309" max="4310" width="13.7109375" style="148" customWidth="1"/>
    <col min="4311" max="4327" width="12.140625" style="148" customWidth="1"/>
    <col min="4328" max="4560" width="9.140625" style="148"/>
    <col min="4561" max="4561" width="6.7109375" style="148" customWidth="1"/>
    <col min="4562" max="4562" width="7.5703125" style="148" customWidth="1"/>
    <col min="4563" max="4564" width="12.140625" style="148" customWidth="1"/>
    <col min="4565" max="4566" width="13.7109375" style="148" customWidth="1"/>
    <col min="4567" max="4583" width="12.140625" style="148" customWidth="1"/>
    <col min="4584" max="4816" width="9.140625" style="148"/>
    <col min="4817" max="4817" width="6.7109375" style="148" customWidth="1"/>
    <col min="4818" max="4818" width="7.5703125" style="148" customWidth="1"/>
    <col min="4819" max="4820" width="12.140625" style="148" customWidth="1"/>
    <col min="4821" max="4822" width="13.7109375" style="148" customWidth="1"/>
    <col min="4823" max="4839" width="12.140625" style="148" customWidth="1"/>
    <col min="4840" max="5072" width="9.140625" style="148"/>
    <col min="5073" max="5073" width="6.7109375" style="148" customWidth="1"/>
    <col min="5074" max="5074" width="7.5703125" style="148" customWidth="1"/>
    <col min="5075" max="5076" width="12.140625" style="148" customWidth="1"/>
    <col min="5077" max="5078" width="13.7109375" style="148" customWidth="1"/>
    <col min="5079" max="5095" width="12.140625" style="148" customWidth="1"/>
    <col min="5096" max="5328" width="9.140625" style="148"/>
    <col min="5329" max="5329" width="6.7109375" style="148" customWidth="1"/>
    <col min="5330" max="5330" width="7.5703125" style="148" customWidth="1"/>
    <col min="5331" max="5332" width="12.140625" style="148" customWidth="1"/>
    <col min="5333" max="5334" width="13.7109375" style="148" customWidth="1"/>
    <col min="5335" max="5351" width="12.140625" style="148" customWidth="1"/>
    <col min="5352" max="5584" width="9.140625" style="148"/>
    <col min="5585" max="5585" width="6.7109375" style="148" customWidth="1"/>
    <col min="5586" max="5586" width="7.5703125" style="148" customWidth="1"/>
    <col min="5587" max="5588" width="12.140625" style="148" customWidth="1"/>
    <col min="5589" max="5590" width="13.7109375" style="148" customWidth="1"/>
    <col min="5591" max="5607" width="12.140625" style="148" customWidth="1"/>
    <col min="5608" max="5840" width="9.140625" style="148"/>
    <col min="5841" max="5841" width="6.7109375" style="148" customWidth="1"/>
    <col min="5842" max="5842" width="7.5703125" style="148" customWidth="1"/>
    <col min="5843" max="5844" width="12.140625" style="148" customWidth="1"/>
    <col min="5845" max="5846" width="13.7109375" style="148" customWidth="1"/>
    <col min="5847" max="5863" width="12.140625" style="148" customWidth="1"/>
    <col min="5864" max="6096" width="9.140625" style="148"/>
    <col min="6097" max="6097" width="6.7109375" style="148" customWidth="1"/>
    <col min="6098" max="6098" width="7.5703125" style="148" customWidth="1"/>
    <col min="6099" max="6100" width="12.140625" style="148" customWidth="1"/>
    <col min="6101" max="6102" width="13.7109375" style="148" customWidth="1"/>
    <col min="6103" max="6119" width="12.140625" style="148" customWidth="1"/>
    <col min="6120" max="6352" width="9.140625" style="148"/>
    <col min="6353" max="6353" width="6.7109375" style="148" customWidth="1"/>
    <col min="6354" max="6354" width="7.5703125" style="148" customWidth="1"/>
    <col min="6355" max="6356" width="12.140625" style="148" customWidth="1"/>
    <col min="6357" max="6358" width="13.7109375" style="148" customWidth="1"/>
    <col min="6359" max="6375" width="12.140625" style="148" customWidth="1"/>
    <col min="6376" max="6608" width="9.140625" style="148"/>
    <col min="6609" max="6609" width="6.7109375" style="148" customWidth="1"/>
    <col min="6610" max="6610" width="7.5703125" style="148" customWidth="1"/>
    <col min="6611" max="6612" width="12.140625" style="148" customWidth="1"/>
    <col min="6613" max="6614" width="13.7109375" style="148" customWidth="1"/>
    <col min="6615" max="6631" width="12.140625" style="148" customWidth="1"/>
    <col min="6632" max="6864" width="9.140625" style="148"/>
    <col min="6865" max="6865" width="6.7109375" style="148" customWidth="1"/>
    <col min="6866" max="6866" width="7.5703125" style="148" customWidth="1"/>
    <col min="6867" max="6868" width="12.140625" style="148" customWidth="1"/>
    <col min="6869" max="6870" width="13.7109375" style="148" customWidth="1"/>
    <col min="6871" max="6887" width="12.140625" style="148" customWidth="1"/>
    <col min="6888" max="7120" width="9.140625" style="148"/>
    <col min="7121" max="7121" width="6.7109375" style="148" customWidth="1"/>
    <col min="7122" max="7122" width="7.5703125" style="148" customWidth="1"/>
    <col min="7123" max="7124" width="12.140625" style="148" customWidth="1"/>
    <col min="7125" max="7126" width="13.7109375" style="148" customWidth="1"/>
    <col min="7127" max="7143" width="12.140625" style="148" customWidth="1"/>
    <col min="7144" max="7376" width="9.140625" style="148"/>
    <col min="7377" max="7377" width="6.7109375" style="148" customWidth="1"/>
    <col min="7378" max="7378" width="7.5703125" style="148" customWidth="1"/>
    <col min="7379" max="7380" width="12.140625" style="148" customWidth="1"/>
    <col min="7381" max="7382" width="13.7109375" style="148" customWidth="1"/>
    <col min="7383" max="7399" width="12.140625" style="148" customWidth="1"/>
    <col min="7400" max="7632" width="9.140625" style="148"/>
    <col min="7633" max="7633" width="6.7109375" style="148" customWidth="1"/>
    <col min="7634" max="7634" width="7.5703125" style="148" customWidth="1"/>
    <col min="7635" max="7636" width="12.140625" style="148" customWidth="1"/>
    <col min="7637" max="7638" width="13.7109375" style="148" customWidth="1"/>
    <col min="7639" max="7655" width="12.140625" style="148" customWidth="1"/>
    <col min="7656" max="7888" width="9.140625" style="148"/>
    <col min="7889" max="7889" width="6.7109375" style="148" customWidth="1"/>
    <col min="7890" max="7890" width="7.5703125" style="148" customWidth="1"/>
    <col min="7891" max="7892" width="12.140625" style="148" customWidth="1"/>
    <col min="7893" max="7894" width="13.7109375" style="148" customWidth="1"/>
    <col min="7895" max="7911" width="12.140625" style="148" customWidth="1"/>
    <col min="7912" max="8144" width="9.140625" style="148"/>
    <col min="8145" max="8145" width="6.7109375" style="148" customWidth="1"/>
    <col min="8146" max="8146" width="7.5703125" style="148" customWidth="1"/>
    <col min="8147" max="8148" width="12.140625" style="148" customWidth="1"/>
    <col min="8149" max="8150" width="13.7109375" style="148" customWidth="1"/>
    <col min="8151" max="8167" width="12.140625" style="148" customWidth="1"/>
    <col min="8168" max="8400" width="9.140625" style="148"/>
    <col min="8401" max="8401" width="6.7109375" style="148" customWidth="1"/>
    <col min="8402" max="8402" width="7.5703125" style="148" customWidth="1"/>
    <col min="8403" max="8404" width="12.140625" style="148" customWidth="1"/>
    <col min="8405" max="8406" width="13.7109375" style="148" customWidth="1"/>
    <col min="8407" max="8423" width="12.140625" style="148" customWidth="1"/>
    <col min="8424" max="8656" width="9.140625" style="148"/>
    <col min="8657" max="8657" width="6.7109375" style="148" customWidth="1"/>
    <col min="8658" max="8658" width="7.5703125" style="148" customWidth="1"/>
    <col min="8659" max="8660" width="12.140625" style="148" customWidth="1"/>
    <col min="8661" max="8662" width="13.7109375" style="148" customWidth="1"/>
    <col min="8663" max="8679" width="12.140625" style="148" customWidth="1"/>
    <col min="8680" max="8912" width="9.140625" style="148"/>
    <col min="8913" max="8913" width="6.7109375" style="148" customWidth="1"/>
    <col min="8914" max="8914" width="7.5703125" style="148" customWidth="1"/>
    <col min="8915" max="8916" width="12.140625" style="148" customWidth="1"/>
    <col min="8917" max="8918" width="13.7109375" style="148" customWidth="1"/>
    <col min="8919" max="8935" width="12.140625" style="148" customWidth="1"/>
    <col min="8936" max="9168" width="9.140625" style="148"/>
    <col min="9169" max="9169" width="6.7109375" style="148" customWidth="1"/>
    <col min="9170" max="9170" width="7.5703125" style="148" customWidth="1"/>
    <col min="9171" max="9172" width="12.140625" style="148" customWidth="1"/>
    <col min="9173" max="9174" width="13.7109375" style="148" customWidth="1"/>
    <col min="9175" max="9191" width="12.140625" style="148" customWidth="1"/>
    <col min="9192" max="9424" width="9.140625" style="148"/>
    <col min="9425" max="9425" width="6.7109375" style="148" customWidth="1"/>
    <col min="9426" max="9426" width="7.5703125" style="148" customWidth="1"/>
    <col min="9427" max="9428" width="12.140625" style="148" customWidth="1"/>
    <col min="9429" max="9430" width="13.7109375" style="148" customWidth="1"/>
    <col min="9431" max="9447" width="12.140625" style="148" customWidth="1"/>
    <col min="9448" max="9680" width="9.140625" style="148"/>
    <col min="9681" max="9681" width="6.7109375" style="148" customWidth="1"/>
    <col min="9682" max="9682" width="7.5703125" style="148" customWidth="1"/>
    <col min="9683" max="9684" width="12.140625" style="148" customWidth="1"/>
    <col min="9685" max="9686" width="13.7109375" style="148" customWidth="1"/>
    <col min="9687" max="9703" width="12.140625" style="148" customWidth="1"/>
    <col min="9704" max="9936" width="9.140625" style="148"/>
    <col min="9937" max="9937" width="6.7109375" style="148" customWidth="1"/>
    <col min="9938" max="9938" width="7.5703125" style="148" customWidth="1"/>
    <col min="9939" max="9940" width="12.140625" style="148" customWidth="1"/>
    <col min="9941" max="9942" width="13.7109375" style="148" customWidth="1"/>
    <col min="9943" max="9959" width="12.140625" style="148" customWidth="1"/>
    <col min="9960" max="10192" width="9.140625" style="148"/>
    <col min="10193" max="10193" width="6.7109375" style="148" customWidth="1"/>
    <col min="10194" max="10194" width="7.5703125" style="148" customWidth="1"/>
    <col min="10195" max="10196" width="12.140625" style="148" customWidth="1"/>
    <col min="10197" max="10198" width="13.7109375" style="148" customWidth="1"/>
    <col min="10199" max="10215" width="12.140625" style="148" customWidth="1"/>
    <col min="10216" max="10448" width="9.140625" style="148"/>
    <col min="10449" max="10449" width="6.7109375" style="148" customWidth="1"/>
    <col min="10450" max="10450" width="7.5703125" style="148" customWidth="1"/>
    <col min="10451" max="10452" width="12.140625" style="148" customWidth="1"/>
    <col min="10453" max="10454" width="13.7109375" style="148" customWidth="1"/>
    <col min="10455" max="10471" width="12.140625" style="148" customWidth="1"/>
    <col min="10472" max="10704" width="9.140625" style="148"/>
    <col min="10705" max="10705" width="6.7109375" style="148" customWidth="1"/>
    <col min="10706" max="10706" width="7.5703125" style="148" customWidth="1"/>
    <col min="10707" max="10708" width="12.140625" style="148" customWidth="1"/>
    <col min="10709" max="10710" width="13.7109375" style="148" customWidth="1"/>
    <col min="10711" max="10727" width="12.140625" style="148" customWidth="1"/>
    <col min="10728" max="10960" width="9.140625" style="148"/>
    <col min="10961" max="10961" width="6.7109375" style="148" customWidth="1"/>
    <col min="10962" max="10962" width="7.5703125" style="148" customWidth="1"/>
    <col min="10963" max="10964" width="12.140625" style="148" customWidth="1"/>
    <col min="10965" max="10966" width="13.7109375" style="148" customWidth="1"/>
    <col min="10967" max="10983" width="12.140625" style="148" customWidth="1"/>
    <col min="10984" max="11216" width="9.140625" style="148"/>
    <col min="11217" max="11217" width="6.7109375" style="148" customWidth="1"/>
    <col min="11218" max="11218" width="7.5703125" style="148" customWidth="1"/>
    <col min="11219" max="11220" width="12.140625" style="148" customWidth="1"/>
    <col min="11221" max="11222" width="13.7109375" style="148" customWidth="1"/>
    <col min="11223" max="11239" width="12.140625" style="148" customWidth="1"/>
    <col min="11240" max="11472" width="9.140625" style="148"/>
    <col min="11473" max="11473" width="6.7109375" style="148" customWidth="1"/>
    <col min="11474" max="11474" width="7.5703125" style="148" customWidth="1"/>
    <col min="11475" max="11476" width="12.140625" style="148" customWidth="1"/>
    <col min="11477" max="11478" width="13.7109375" style="148" customWidth="1"/>
    <col min="11479" max="11495" width="12.140625" style="148" customWidth="1"/>
    <col min="11496" max="11728" width="9.140625" style="148"/>
    <col min="11729" max="11729" width="6.7109375" style="148" customWidth="1"/>
    <col min="11730" max="11730" width="7.5703125" style="148" customWidth="1"/>
    <col min="11731" max="11732" width="12.140625" style="148" customWidth="1"/>
    <col min="11733" max="11734" width="13.7109375" style="148" customWidth="1"/>
    <col min="11735" max="11751" width="12.140625" style="148" customWidth="1"/>
    <col min="11752" max="11984" width="9.140625" style="148"/>
    <col min="11985" max="11985" width="6.7109375" style="148" customWidth="1"/>
    <col min="11986" max="11986" width="7.5703125" style="148" customWidth="1"/>
    <col min="11987" max="11988" width="12.140625" style="148" customWidth="1"/>
    <col min="11989" max="11990" width="13.7109375" style="148" customWidth="1"/>
    <col min="11991" max="12007" width="12.140625" style="148" customWidth="1"/>
    <col min="12008" max="12240" width="9.140625" style="148"/>
    <col min="12241" max="12241" width="6.7109375" style="148" customWidth="1"/>
    <col min="12242" max="12242" width="7.5703125" style="148" customWidth="1"/>
    <col min="12243" max="12244" width="12.140625" style="148" customWidth="1"/>
    <col min="12245" max="12246" width="13.7109375" style="148" customWidth="1"/>
    <col min="12247" max="12263" width="12.140625" style="148" customWidth="1"/>
    <col min="12264" max="12496" width="9.140625" style="148"/>
    <col min="12497" max="12497" width="6.7109375" style="148" customWidth="1"/>
    <col min="12498" max="12498" width="7.5703125" style="148" customWidth="1"/>
    <col min="12499" max="12500" width="12.140625" style="148" customWidth="1"/>
    <col min="12501" max="12502" width="13.7109375" style="148" customWidth="1"/>
    <col min="12503" max="12519" width="12.140625" style="148" customWidth="1"/>
    <col min="12520" max="12752" width="9.140625" style="148"/>
    <col min="12753" max="12753" width="6.7109375" style="148" customWidth="1"/>
    <col min="12754" max="12754" width="7.5703125" style="148" customWidth="1"/>
    <col min="12755" max="12756" width="12.140625" style="148" customWidth="1"/>
    <col min="12757" max="12758" width="13.7109375" style="148" customWidth="1"/>
    <col min="12759" max="12775" width="12.140625" style="148" customWidth="1"/>
    <col min="12776" max="13008" width="9.140625" style="148"/>
    <col min="13009" max="13009" width="6.7109375" style="148" customWidth="1"/>
    <col min="13010" max="13010" width="7.5703125" style="148" customWidth="1"/>
    <col min="13011" max="13012" width="12.140625" style="148" customWidth="1"/>
    <col min="13013" max="13014" width="13.7109375" style="148" customWidth="1"/>
    <col min="13015" max="13031" width="12.140625" style="148" customWidth="1"/>
    <col min="13032" max="13264" width="9.140625" style="148"/>
    <col min="13265" max="13265" width="6.7109375" style="148" customWidth="1"/>
    <col min="13266" max="13266" width="7.5703125" style="148" customWidth="1"/>
    <col min="13267" max="13268" width="12.140625" style="148" customWidth="1"/>
    <col min="13269" max="13270" width="13.7109375" style="148" customWidth="1"/>
    <col min="13271" max="13287" width="12.140625" style="148" customWidth="1"/>
    <col min="13288" max="13520" width="9.140625" style="148"/>
    <col min="13521" max="13521" width="6.7109375" style="148" customWidth="1"/>
    <col min="13522" max="13522" width="7.5703125" style="148" customWidth="1"/>
    <col min="13523" max="13524" width="12.140625" style="148" customWidth="1"/>
    <col min="13525" max="13526" width="13.7109375" style="148" customWidth="1"/>
    <col min="13527" max="13543" width="12.140625" style="148" customWidth="1"/>
    <col min="13544" max="13776" width="9.140625" style="148"/>
    <col min="13777" max="13777" width="6.7109375" style="148" customWidth="1"/>
    <col min="13778" max="13778" width="7.5703125" style="148" customWidth="1"/>
    <col min="13779" max="13780" width="12.140625" style="148" customWidth="1"/>
    <col min="13781" max="13782" width="13.7109375" style="148" customWidth="1"/>
    <col min="13783" max="13799" width="12.140625" style="148" customWidth="1"/>
    <col min="13800" max="14032" width="9.140625" style="148"/>
    <col min="14033" max="14033" width="6.7109375" style="148" customWidth="1"/>
    <col min="14034" max="14034" width="7.5703125" style="148" customWidth="1"/>
    <col min="14035" max="14036" width="12.140625" style="148" customWidth="1"/>
    <col min="14037" max="14038" width="13.7109375" style="148" customWidth="1"/>
    <col min="14039" max="14055" width="12.140625" style="148" customWidth="1"/>
    <col min="14056" max="14288" width="9.140625" style="148"/>
    <col min="14289" max="14289" width="6.7109375" style="148" customWidth="1"/>
    <col min="14290" max="14290" width="7.5703125" style="148" customWidth="1"/>
    <col min="14291" max="14292" width="12.140625" style="148" customWidth="1"/>
    <col min="14293" max="14294" width="13.7109375" style="148" customWidth="1"/>
    <col min="14295" max="14311" width="12.140625" style="148" customWidth="1"/>
    <col min="14312" max="14544" width="9.140625" style="148"/>
    <col min="14545" max="14545" width="6.7109375" style="148" customWidth="1"/>
    <col min="14546" max="14546" width="7.5703125" style="148" customWidth="1"/>
    <col min="14547" max="14548" width="12.140625" style="148" customWidth="1"/>
    <col min="14549" max="14550" width="13.7109375" style="148" customWidth="1"/>
    <col min="14551" max="14567" width="12.140625" style="148" customWidth="1"/>
    <col min="14568" max="14800" width="9.140625" style="148"/>
    <col min="14801" max="14801" width="6.7109375" style="148" customWidth="1"/>
    <col min="14802" max="14802" width="7.5703125" style="148" customWidth="1"/>
    <col min="14803" max="14804" width="12.140625" style="148" customWidth="1"/>
    <col min="14805" max="14806" width="13.7109375" style="148" customWidth="1"/>
    <col min="14807" max="14823" width="12.140625" style="148" customWidth="1"/>
    <col min="14824" max="15056" width="9.140625" style="148"/>
    <col min="15057" max="15057" width="6.7109375" style="148" customWidth="1"/>
    <col min="15058" max="15058" width="7.5703125" style="148" customWidth="1"/>
    <col min="15059" max="15060" width="12.140625" style="148" customWidth="1"/>
    <col min="15061" max="15062" width="13.7109375" style="148" customWidth="1"/>
    <col min="15063" max="15079" width="12.140625" style="148" customWidth="1"/>
    <col min="15080" max="15312" width="9.140625" style="148"/>
    <col min="15313" max="15313" width="6.7109375" style="148" customWidth="1"/>
    <col min="15314" max="15314" width="7.5703125" style="148" customWidth="1"/>
    <col min="15315" max="15316" width="12.140625" style="148" customWidth="1"/>
    <col min="15317" max="15318" width="13.7109375" style="148" customWidth="1"/>
    <col min="15319" max="15335" width="12.140625" style="148" customWidth="1"/>
    <col min="15336" max="15568" width="9.140625" style="148"/>
    <col min="15569" max="15569" width="6.7109375" style="148" customWidth="1"/>
    <col min="15570" max="15570" width="7.5703125" style="148" customWidth="1"/>
    <col min="15571" max="15572" width="12.140625" style="148" customWidth="1"/>
    <col min="15573" max="15574" width="13.7109375" style="148" customWidth="1"/>
    <col min="15575" max="15591" width="12.140625" style="148" customWidth="1"/>
    <col min="15592" max="15824" width="9.140625" style="148"/>
    <col min="15825" max="15825" width="6.7109375" style="148" customWidth="1"/>
    <col min="15826" max="15826" width="7.5703125" style="148" customWidth="1"/>
    <col min="15827" max="15828" width="12.140625" style="148" customWidth="1"/>
    <col min="15829" max="15830" width="13.7109375" style="148" customWidth="1"/>
    <col min="15831" max="15847" width="12.140625" style="148" customWidth="1"/>
    <col min="15848" max="16080" width="9.140625" style="148"/>
    <col min="16081" max="16081" width="6.7109375" style="148" customWidth="1"/>
    <col min="16082" max="16082" width="7.5703125" style="148" customWidth="1"/>
    <col min="16083" max="16084" width="12.140625" style="148" customWidth="1"/>
    <col min="16085" max="16086" width="13.7109375" style="148" customWidth="1"/>
    <col min="16087" max="16103" width="12.140625" style="148" customWidth="1"/>
    <col min="16104" max="16384" width="9.140625" style="148"/>
  </cols>
  <sheetData>
    <row r="1" spans="1:33" ht="18.75" customHeight="1" thickBot="1">
      <c r="A1" s="243" t="s">
        <v>692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  <c r="AB1" s="146"/>
      <c r="AC1" s="146"/>
      <c r="AD1" s="146"/>
      <c r="AE1" s="147"/>
    </row>
    <row r="2" spans="1:33" s="149" customFormat="1" ht="18.75" customHeight="1" thickBot="1">
      <c r="A2" s="1089" t="s">
        <v>96</v>
      </c>
      <c r="B2" s="1090"/>
      <c r="C2" s="1091"/>
      <c r="D2" s="1086" t="s">
        <v>183</v>
      </c>
      <c r="E2" s="1087"/>
      <c r="F2" s="1087"/>
      <c r="G2" s="1087"/>
      <c r="H2" s="1087"/>
      <c r="I2" s="1087"/>
      <c r="J2" s="1087"/>
      <c r="K2" s="1087"/>
      <c r="L2" s="1087"/>
      <c r="M2" s="1087"/>
      <c r="N2" s="1087"/>
      <c r="O2" s="1087"/>
      <c r="P2" s="1087"/>
      <c r="Q2" s="1088"/>
      <c r="R2" s="1092" t="s">
        <v>50</v>
      </c>
      <c r="S2" s="1093"/>
      <c r="T2" s="1093"/>
      <c r="U2" s="1094"/>
      <c r="V2" s="1095" t="s">
        <v>65</v>
      </c>
      <c r="W2" s="1096"/>
      <c r="X2" s="1093" t="s">
        <v>208</v>
      </c>
      <c r="Y2" s="1093"/>
      <c r="Z2" s="1094"/>
      <c r="AA2" s="1094"/>
      <c r="AB2" s="1094"/>
      <c r="AC2" s="1083" t="s">
        <v>270</v>
      </c>
      <c r="AD2" s="1084"/>
      <c r="AE2" s="1085"/>
      <c r="AG2" s="270" t="s">
        <v>336</v>
      </c>
    </row>
    <row r="3" spans="1:33" s="155" customFormat="1" ht="45.75" customHeight="1" thickBot="1">
      <c r="A3" s="1059" t="s">
        <v>25</v>
      </c>
      <c r="B3" s="1060"/>
      <c r="C3" s="1061"/>
      <c r="D3" s="150" t="s">
        <v>271</v>
      </c>
      <c r="E3" s="151" t="s">
        <v>272</v>
      </c>
      <c r="F3" s="151" t="s">
        <v>273</v>
      </c>
      <c r="G3" s="151" t="s">
        <v>274</v>
      </c>
      <c r="H3" s="151" t="s">
        <v>275</v>
      </c>
      <c r="I3" s="151" t="s">
        <v>63</v>
      </c>
      <c r="J3" s="151" t="s">
        <v>276</v>
      </c>
      <c r="K3" s="151" t="s">
        <v>97</v>
      </c>
      <c r="L3" s="152" t="s">
        <v>20</v>
      </c>
      <c r="M3" s="153" t="s">
        <v>77</v>
      </c>
      <c r="N3" s="153" t="s">
        <v>93</v>
      </c>
      <c r="O3" s="153" t="s">
        <v>77</v>
      </c>
      <c r="P3" s="153" t="s">
        <v>277</v>
      </c>
      <c r="Q3" s="153" t="s">
        <v>344</v>
      </c>
      <c r="R3" s="150" t="s">
        <v>26</v>
      </c>
      <c r="S3" s="151" t="s">
        <v>78</v>
      </c>
      <c r="T3" s="151" t="s">
        <v>278</v>
      </c>
      <c r="U3" s="152" t="s">
        <v>279</v>
      </c>
      <c r="V3" s="150" t="s">
        <v>84</v>
      </c>
      <c r="W3" s="154" t="s">
        <v>66</v>
      </c>
      <c r="X3" s="151" t="s">
        <v>280</v>
      </c>
      <c r="Y3" s="151" t="s">
        <v>281</v>
      </c>
      <c r="Z3" s="152" t="s">
        <v>282</v>
      </c>
      <c r="AA3" s="152" t="s">
        <v>64</v>
      </c>
      <c r="AB3" s="152" t="s">
        <v>283</v>
      </c>
      <c r="AC3" s="150" t="s">
        <v>9</v>
      </c>
      <c r="AD3" s="151" t="s">
        <v>284</v>
      </c>
      <c r="AE3" s="154" t="s">
        <v>22</v>
      </c>
    </row>
    <row r="4" spans="1:33" ht="18.75" customHeight="1" thickBot="1">
      <c r="A4" s="1062" t="s">
        <v>285</v>
      </c>
      <c r="B4" s="1063"/>
      <c r="C4" s="1064"/>
      <c r="D4" s="647" t="s">
        <v>141</v>
      </c>
      <c r="E4" s="647" t="s">
        <v>141</v>
      </c>
      <c r="F4" s="647" t="s">
        <v>141</v>
      </c>
      <c r="G4" s="647" t="s">
        <v>141</v>
      </c>
      <c r="H4" s="647" t="s">
        <v>141</v>
      </c>
      <c r="I4" s="647" t="s">
        <v>141</v>
      </c>
      <c r="J4" s="647" t="s">
        <v>141</v>
      </c>
      <c r="K4" s="156" t="s">
        <v>141</v>
      </c>
      <c r="L4" s="648" t="s">
        <v>141</v>
      </c>
      <c r="M4" s="648" t="s">
        <v>141</v>
      </c>
      <c r="N4" s="648" t="s">
        <v>141</v>
      </c>
      <c r="O4" s="648" t="s">
        <v>141</v>
      </c>
      <c r="P4" s="647" t="s">
        <v>286</v>
      </c>
      <c r="Q4" s="647" t="s">
        <v>286</v>
      </c>
      <c r="R4" s="646" t="s">
        <v>141</v>
      </c>
      <c r="S4" s="647" t="s">
        <v>286</v>
      </c>
      <c r="T4" s="647" t="s">
        <v>286</v>
      </c>
      <c r="U4" s="648" t="s">
        <v>287</v>
      </c>
      <c r="V4" s="646" t="s">
        <v>141</v>
      </c>
      <c r="W4" s="647" t="s">
        <v>286</v>
      </c>
      <c r="X4" s="647" t="s">
        <v>141</v>
      </c>
      <c r="Y4" s="647" t="s">
        <v>141</v>
      </c>
      <c r="Z4" s="648" t="s">
        <v>141</v>
      </c>
      <c r="AA4" s="648" t="s">
        <v>141</v>
      </c>
      <c r="AB4" s="648" t="s">
        <v>287</v>
      </c>
      <c r="AC4" s="646" t="s">
        <v>141</v>
      </c>
      <c r="AD4" s="647" t="s">
        <v>141</v>
      </c>
      <c r="AE4" s="156" t="s">
        <v>142</v>
      </c>
    </row>
    <row r="5" spans="1:33" ht="18.75" customHeight="1" thickBot="1">
      <c r="A5" s="1065" t="s">
        <v>27</v>
      </c>
      <c r="B5" s="1066"/>
      <c r="C5" s="1067"/>
      <c r="D5" s="157"/>
      <c r="E5" s="157"/>
      <c r="F5" s="157"/>
      <c r="G5" s="157"/>
      <c r="H5" s="157"/>
      <c r="I5" s="157"/>
      <c r="J5" s="157"/>
      <c r="K5" s="157"/>
      <c r="L5" s="158"/>
      <c r="M5" s="159"/>
      <c r="N5" s="159"/>
      <c r="O5" s="159"/>
      <c r="P5" s="159"/>
      <c r="Q5" s="159"/>
      <c r="R5" s="160"/>
      <c r="S5" s="157"/>
      <c r="T5" s="157"/>
      <c r="U5" s="158"/>
      <c r="V5" s="160"/>
      <c r="W5" s="161"/>
      <c r="X5" s="157"/>
      <c r="Y5" s="157"/>
      <c r="Z5" s="158"/>
      <c r="AA5" s="158"/>
      <c r="AB5" s="158"/>
      <c r="AC5" s="160"/>
      <c r="AD5" s="157"/>
      <c r="AE5" s="161"/>
    </row>
    <row r="6" spans="1:33" ht="18.75" customHeight="1">
      <c r="A6" s="1068" t="s">
        <v>28</v>
      </c>
      <c r="B6" s="1069"/>
      <c r="C6" s="1070"/>
      <c r="D6" s="162">
        <f>VLOOKUP(D4,'CAM Variables'!$E$13:$F$15,2,FALSE)</f>
        <v>8079</v>
      </c>
      <c r="E6" s="162">
        <f>VLOOKUP(E4,'CAM Variables'!$E$13:$F$15,2,FALSE)</f>
        <v>8079</v>
      </c>
      <c r="F6" s="162">
        <f>VLOOKUP(F4,'CAM Variables'!$E$13:$F$15,2,FALSE)</f>
        <v>8079</v>
      </c>
      <c r="G6" s="162">
        <f>VLOOKUP(G4,'CAM Variables'!$E$13:$F$15,2,FALSE)</f>
        <v>8079</v>
      </c>
      <c r="H6" s="162">
        <f>VLOOKUP(H4,'CAM Variables'!$E$13:$F$15,2,FALSE)</f>
        <v>8079</v>
      </c>
      <c r="I6" s="162">
        <f>VLOOKUP(I4,'CAM Variables'!$E$13:$F$15,2,FALSE)</f>
        <v>8079</v>
      </c>
      <c r="J6" s="162">
        <f>VLOOKUP(J4,'CAM Variables'!$E$13:$F$15,2,FALSE)</f>
        <v>8079</v>
      </c>
      <c r="K6" s="162">
        <f>VLOOKUP(K4,'CAM Variables'!$E$13:$F$15,2,FALSE)</f>
        <v>8079</v>
      </c>
      <c r="L6" s="162">
        <f>VLOOKUP(L4,'CAM Variables'!$E$13:$F$15,2,FALSE)</f>
        <v>8079</v>
      </c>
      <c r="M6" s="162">
        <f>VLOOKUP(M4,'CAM Variables'!$E$13:$F$15,2,FALSE)</f>
        <v>8079</v>
      </c>
      <c r="N6" s="162">
        <f>VLOOKUP(N4,'CAM Variables'!$E$13:$F$15,2,FALSE)</f>
        <v>8079</v>
      </c>
      <c r="O6" s="162">
        <f>VLOOKUP(O4,'CAM Variables'!$E$13:$F$15,2,FALSE)</f>
        <v>8079</v>
      </c>
      <c r="P6" s="162">
        <f>VLOOKUP(P4,'CAM Variables'!$E$13:$F$15,2,FALSE)</f>
        <v>6579</v>
      </c>
      <c r="Q6" s="162">
        <f>VLOOKUP(Q4,'CAM Variables'!$E$13:$F$15,2,FALSE)</f>
        <v>6579</v>
      </c>
      <c r="R6" s="162">
        <f>VLOOKUP(R4,'CAM Variables'!$E$13:$F$15,2,FALSE)</f>
        <v>8079</v>
      </c>
      <c r="S6" s="162">
        <f>VLOOKUP(S4,'CAM Variables'!$E$13:$F$15,2,FALSE)</f>
        <v>6579</v>
      </c>
      <c r="T6" s="162">
        <f>VLOOKUP(T4,'CAM Variables'!$E$13:$F$15,2,FALSE)</f>
        <v>6579</v>
      </c>
      <c r="U6" s="244">
        <f>VLOOKUP(U4,'CAM Variables'!$E$13:$F$15,2,FALSE)</f>
        <v>5579</v>
      </c>
      <c r="V6" s="245">
        <f>VLOOKUP(V4,'CAM Variables'!$E$13:$F$15,2,FALSE)</f>
        <v>8079</v>
      </c>
      <c r="W6" s="246">
        <f>VLOOKUP(W4,'CAM Variables'!$E$13:$F$15,2,FALSE)</f>
        <v>6579</v>
      </c>
      <c r="X6" s="162">
        <f>VLOOKUP(X4,'CAM Variables'!$E$13:$F$15,2,FALSE)</f>
        <v>8079</v>
      </c>
      <c r="Y6" s="162">
        <f>VLOOKUP(Y4,'CAM Variables'!$E$13:$F$15,2,FALSE)</f>
        <v>8079</v>
      </c>
      <c r="Z6" s="162">
        <f>VLOOKUP(Z4,'CAM Variables'!$E$13:$F$15,2,FALSE)</f>
        <v>8079</v>
      </c>
      <c r="AA6" s="162">
        <f>VLOOKUP(AA4,'CAM Variables'!$E$13:$F$15,2,FALSE)</f>
        <v>8079</v>
      </c>
      <c r="AB6" s="244">
        <f>VLOOKUP(AB4,'CAM Variables'!$E$13:$F$15,2,FALSE)</f>
        <v>5579</v>
      </c>
      <c r="AC6" s="245">
        <f>VLOOKUP(AC4,'CAM Variables'!$E$13:$F$15,2,FALSE)</f>
        <v>8079</v>
      </c>
      <c r="AD6" s="162">
        <f>VLOOKUP(AD4,'CAM Variables'!$E$13:$F$15,2,FALSE)</f>
        <v>8079</v>
      </c>
      <c r="AE6" s="246">
        <f>VLOOKUP(AE4,'CAM Variables'!$E$13:$F$15,2,FALSE)</f>
        <v>6579</v>
      </c>
    </row>
    <row r="7" spans="1:33" s="168" customFormat="1" ht="18.75" customHeight="1">
      <c r="A7" s="1071" t="s">
        <v>29</v>
      </c>
      <c r="B7" s="1072"/>
      <c r="C7" s="1073"/>
      <c r="D7" s="163">
        <f>VLOOKUP(D4,'CAM Variables'!$E$13:$G$15,3,FALSE)</f>
        <v>1739</v>
      </c>
      <c r="E7" s="163">
        <f>VLOOKUP(E4,'CAM Variables'!$E$13:$G$15,3,FALSE)</f>
        <v>1739</v>
      </c>
      <c r="F7" s="163">
        <f>VLOOKUP(F4,'CAM Variables'!$E$13:$G$15,3,FALSE)</f>
        <v>1739</v>
      </c>
      <c r="G7" s="163">
        <f>VLOOKUP(G4,'CAM Variables'!$E$13:$G$15,3,FALSE)</f>
        <v>1739</v>
      </c>
      <c r="H7" s="163">
        <f>VLOOKUP(H4,'CAM Variables'!$E$13:$G$15,3,FALSE)</f>
        <v>1739</v>
      </c>
      <c r="I7" s="163">
        <f>VLOOKUP(I4,'CAM Variables'!$E$13:$G$15,3,FALSE)</f>
        <v>1739</v>
      </c>
      <c r="J7" s="163">
        <f>VLOOKUP(J4,'CAM Variables'!$E$13:$G$15,3,FALSE)</f>
        <v>1739</v>
      </c>
      <c r="K7" s="163">
        <f>VLOOKUP(K4,'CAM Variables'!$E$13:$G$15,3,FALSE)</f>
        <v>1739</v>
      </c>
      <c r="L7" s="163">
        <f>VLOOKUP(L4,'CAM Variables'!$E$13:$G$15,3,FALSE)</f>
        <v>1739</v>
      </c>
      <c r="M7" s="163">
        <f>VLOOKUP(M4,'CAM Variables'!$E$13:$G$15,3,FALSE)</f>
        <v>1739</v>
      </c>
      <c r="N7" s="163">
        <f>VLOOKUP(N4,'CAM Variables'!$E$13:$G$15,3,FALSE)</f>
        <v>1739</v>
      </c>
      <c r="O7" s="163">
        <f>VLOOKUP(O4,'CAM Variables'!$E$13:$G$15,3,FALSE)</f>
        <v>1739</v>
      </c>
      <c r="P7" s="163">
        <f>VLOOKUP(P4,'CAM Variables'!$E$13:$G$15,3,FALSE)</f>
        <v>1419</v>
      </c>
      <c r="Q7" s="163">
        <f>VLOOKUP(Q4,'CAM Variables'!$E$13:$G$15,3,FALSE)</f>
        <v>1419</v>
      </c>
      <c r="R7" s="163">
        <f>VLOOKUP(R4,'CAM Variables'!$E$13:$G$15,3,FALSE)</f>
        <v>1739</v>
      </c>
      <c r="S7" s="163">
        <f>VLOOKUP(S4,'CAM Variables'!$E$13:$G$15,3,FALSE)</f>
        <v>1419</v>
      </c>
      <c r="T7" s="163">
        <f>VLOOKUP(T4,'CAM Variables'!$E$13:$G$15,3,FALSE)</f>
        <v>1419</v>
      </c>
      <c r="U7" s="164">
        <f>VLOOKUP(U4,'CAM Variables'!$E$13:$G$15,3,FALSE)</f>
        <v>1199</v>
      </c>
      <c r="V7" s="165">
        <f>VLOOKUP(V4,'CAM Variables'!$E$13:$G$15,3,FALSE)</f>
        <v>1739</v>
      </c>
      <c r="W7" s="166">
        <f>VLOOKUP(W4,'CAM Variables'!$E$13:$G$15,3,FALSE)</f>
        <v>1419</v>
      </c>
      <c r="X7" s="163">
        <f>VLOOKUP(X4,'CAM Variables'!$E$13:$G$15,3,FALSE)</f>
        <v>1739</v>
      </c>
      <c r="Y7" s="163">
        <f>VLOOKUP(Y4,'CAM Variables'!$E$13:$G$15,3,FALSE)</f>
        <v>1739</v>
      </c>
      <c r="Z7" s="163">
        <f>VLOOKUP(Z4,'CAM Variables'!$E$13:$G$15,3,FALSE)</f>
        <v>1739</v>
      </c>
      <c r="AA7" s="163">
        <f>VLOOKUP(AA4,'CAM Variables'!$E$13:$G$15,3,FALSE)</f>
        <v>1739</v>
      </c>
      <c r="AB7" s="164">
        <f>VLOOKUP(AB4,'CAM Variables'!$E$13:$G$15,3,FALSE)</f>
        <v>1199</v>
      </c>
      <c r="AC7" s="165">
        <f>VLOOKUP(AC4,'CAM Variables'!$E$13:$G$15,3,FALSE)</f>
        <v>1739</v>
      </c>
      <c r="AD7" s="163">
        <f>VLOOKUP(AD4,'CAM Variables'!$E$13:$G$15,3,FALSE)</f>
        <v>1739</v>
      </c>
      <c r="AE7" s="166">
        <f>VLOOKUP(AE4,'CAM Variables'!$E$13:$G$15,3,FALSE)</f>
        <v>1419</v>
      </c>
    </row>
    <row r="8" spans="1:33" ht="18.75" customHeight="1">
      <c r="A8" s="1074" t="s">
        <v>30</v>
      </c>
      <c r="B8" s="1075"/>
      <c r="C8" s="1076"/>
      <c r="D8" s="163">
        <f t="shared" ref="D8:AE8" si="0">D6+D7</f>
        <v>9818</v>
      </c>
      <c r="E8" s="163">
        <f t="shared" si="0"/>
        <v>9818</v>
      </c>
      <c r="F8" s="163">
        <f t="shared" si="0"/>
        <v>9818</v>
      </c>
      <c r="G8" s="163">
        <f t="shared" si="0"/>
        <v>9818</v>
      </c>
      <c r="H8" s="163">
        <f t="shared" si="0"/>
        <v>9818</v>
      </c>
      <c r="I8" s="163">
        <f t="shared" si="0"/>
        <v>9818</v>
      </c>
      <c r="J8" s="163">
        <f t="shared" si="0"/>
        <v>9818</v>
      </c>
      <c r="K8" s="163">
        <f t="shared" ref="K8" si="1">K6+K7</f>
        <v>9818</v>
      </c>
      <c r="L8" s="164">
        <f t="shared" si="0"/>
        <v>9818</v>
      </c>
      <c r="M8" s="164">
        <f t="shared" si="0"/>
        <v>9818</v>
      </c>
      <c r="N8" s="164">
        <f t="shared" si="0"/>
        <v>9818</v>
      </c>
      <c r="O8" s="164">
        <f t="shared" si="0"/>
        <v>9818</v>
      </c>
      <c r="P8" s="164">
        <f t="shared" si="0"/>
        <v>7998</v>
      </c>
      <c r="Q8" s="164">
        <f t="shared" si="0"/>
        <v>7998</v>
      </c>
      <c r="R8" s="165">
        <f t="shared" si="0"/>
        <v>9818</v>
      </c>
      <c r="S8" s="163">
        <f t="shared" si="0"/>
        <v>7998</v>
      </c>
      <c r="T8" s="163">
        <f t="shared" si="0"/>
        <v>7998</v>
      </c>
      <c r="U8" s="164">
        <f t="shared" si="0"/>
        <v>6778</v>
      </c>
      <c r="V8" s="165">
        <f>V6+V7</f>
        <v>9818</v>
      </c>
      <c r="W8" s="166">
        <f>W6+W7</f>
        <v>7998</v>
      </c>
      <c r="X8" s="163">
        <f t="shared" si="0"/>
        <v>9818</v>
      </c>
      <c r="Y8" s="163">
        <f t="shared" si="0"/>
        <v>9818</v>
      </c>
      <c r="Z8" s="164">
        <f t="shared" si="0"/>
        <v>9818</v>
      </c>
      <c r="AA8" s="164">
        <f t="shared" si="0"/>
        <v>9818</v>
      </c>
      <c r="AB8" s="164">
        <f t="shared" si="0"/>
        <v>6778</v>
      </c>
      <c r="AC8" s="165">
        <f t="shared" si="0"/>
        <v>9818</v>
      </c>
      <c r="AD8" s="163">
        <f t="shared" si="0"/>
        <v>9818</v>
      </c>
      <c r="AE8" s="166">
        <f t="shared" si="0"/>
        <v>7998</v>
      </c>
    </row>
    <row r="9" spans="1:33" s="168" customFormat="1" ht="18.75" customHeight="1">
      <c r="A9" s="1077" t="s">
        <v>31</v>
      </c>
      <c r="B9" s="1078"/>
      <c r="C9" s="1079"/>
      <c r="D9" s="169"/>
      <c r="E9" s="169"/>
      <c r="F9" s="169"/>
      <c r="G9" s="169"/>
      <c r="H9" s="169"/>
      <c r="I9" s="169"/>
      <c r="J9" s="169"/>
      <c r="K9" s="169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247"/>
      <c r="W9" s="172"/>
      <c r="X9" s="170"/>
      <c r="Y9" s="170"/>
      <c r="Z9" s="170"/>
      <c r="AA9" s="170"/>
      <c r="AB9" s="170"/>
      <c r="AC9" s="247"/>
      <c r="AD9" s="170"/>
      <c r="AE9" s="172"/>
    </row>
    <row r="10" spans="1:33" s="168" customFormat="1" ht="18.75" customHeight="1">
      <c r="A10" s="1077" t="s">
        <v>32</v>
      </c>
      <c r="B10" s="1078"/>
      <c r="C10" s="1079"/>
      <c r="D10" s="169"/>
      <c r="E10" s="169"/>
      <c r="F10" s="169"/>
      <c r="G10" s="169"/>
      <c r="H10" s="169"/>
      <c r="I10" s="169"/>
      <c r="J10" s="169"/>
      <c r="K10" s="169"/>
      <c r="L10" s="170"/>
      <c r="M10" s="170"/>
      <c r="N10" s="170"/>
      <c r="O10" s="170"/>
      <c r="P10" s="170"/>
      <c r="Q10" s="170"/>
      <c r="R10" s="171"/>
      <c r="S10" s="169"/>
      <c r="T10" s="169"/>
      <c r="U10" s="170"/>
      <c r="V10" s="171"/>
      <c r="W10" s="172"/>
      <c r="X10" s="169"/>
      <c r="Y10" s="169"/>
      <c r="Z10" s="170"/>
      <c r="AA10" s="170"/>
      <c r="AB10" s="170"/>
      <c r="AC10" s="171"/>
      <c r="AD10" s="169"/>
      <c r="AE10" s="172"/>
    </row>
    <row r="11" spans="1:33" s="168" customFormat="1" ht="18.75" customHeight="1">
      <c r="A11" s="1077" t="s">
        <v>33</v>
      </c>
      <c r="B11" s="1078"/>
      <c r="C11" s="1079"/>
      <c r="D11" s="169">
        <v>4103.0687022900747</v>
      </c>
      <c r="E11" s="169">
        <v>2067.4452926208651</v>
      </c>
      <c r="F11" s="169">
        <v>2067.4452926208651</v>
      </c>
      <c r="G11" s="169">
        <v>2067.4452926208651</v>
      </c>
      <c r="H11" s="169">
        <v>2067.4452926208651</v>
      </c>
      <c r="I11" s="169">
        <v>2067.4452926208651</v>
      </c>
      <c r="J11" s="169">
        <v>2067.4452926208651</v>
      </c>
      <c r="K11" s="169">
        <v>2067.4452926208651</v>
      </c>
      <c r="L11" s="169">
        <v>2067.4452926208651</v>
      </c>
      <c r="M11" s="169">
        <v>2067.4452926208651</v>
      </c>
      <c r="N11" s="169">
        <v>2067.4452926208651</v>
      </c>
      <c r="O11" s="169">
        <v>2067.4452926208651</v>
      </c>
      <c r="P11" s="170">
        <v>650.80407124682074</v>
      </c>
      <c r="Q11" s="170">
        <v>2686.4274809160352</v>
      </c>
      <c r="R11" s="169">
        <v>5120.8804071246814</v>
      </c>
      <c r="S11" s="170">
        <v>1668.6157760814272</v>
      </c>
      <c r="T11" s="170">
        <v>1668.6157760814272</v>
      </c>
      <c r="U11" s="170">
        <v>730.85496183206249</v>
      </c>
      <c r="V11" s="169">
        <v>4103.0687022900747</v>
      </c>
      <c r="W11" s="170">
        <v>1668.6157760814272</v>
      </c>
      <c r="X11" s="169"/>
      <c r="Y11" s="170"/>
      <c r="Z11" s="170"/>
      <c r="AA11" s="169"/>
      <c r="AB11" s="170"/>
      <c r="AC11" s="169"/>
      <c r="AD11" s="169"/>
      <c r="AE11" s="172"/>
    </row>
    <row r="12" spans="1:33" s="176" customFormat="1" ht="18.75" customHeight="1" thickBot="1">
      <c r="A12" s="1080" t="s">
        <v>34</v>
      </c>
      <c r="B12" s="1081"/>
      <c r="C12" s="1082"/>
      <c r="D12" s="173">
        <f t="shared" ref="D12:AE12" si="2">SUM(D8:D11)</f>
        <v>13921.068702290075</v>
      </c>
      <c r="E12" s="173">
        <f t="shared" si="2"/>
        <v>11885.445292620865</v>
      </c>
      <c r="F12" s="173">
        <f t="shared" si="2"/>
        <v>11885.445292620865</v>
      </c>
      <c r="G12" s="173">
        <f t="shared" si="2"/>
        <v>11885.445292620865</v>
      </c>
      <c r="H12" s="173">
        <f t="shared" si="2"/>
        <v>11885.445292620865</v>
      </c>
      <c r="I12" s="173">
        <f t="shared" si="2"/>
        <v>11885.445292620865</v>
      </c>
      <c r="J12" s="173">
        <f t="shared" si="2"/>
        <v>11885.445292620865</v>
      </c>
      <c r="K12" s="173">
        <f t="shared" ref="K12" si="3">SUM(K8:K11)</f>
        <v>11885.445292620865</v>
      </c>
      <c r="L12" s="174">
        <f t="shared" si="2"/>
        <v>11885.445292620865</v>
      </c>
      <c r="M12" s="174">
        <f t="shared" si="2"/>
        <v>11885.445292620865</v>
      </c>
      <c r="N12" s="174">
        <f t="shared" si="2"/>
        <v>11885.445292620865</v>
      </c>
      <c r="O12" s="174">
        <f t="shared" si="2"/>
        <v>11885.445292620865</v>
      </c>
      <c r="P12" s="174">
        <f t="shared" si="2"/>
        <v>8648.804071246821</v>
      </c>
      <c r="Q12" s="174">
        <f t="shared" si="2"/>
        <v>10684.427480916034</v>
      </c>
      <c r="R12" s="175">
        <f t="shared" si="2"/>
        <v>14938.880407124681</v>
      </c>
      <c r="S12" s="173">
        <f t="shared" si="2"/>
        <v>9666.6157760814276</v>
      </c>
      <c r="T12" s="173">
        <f t="shared" si="2"/>
        <v>9666.6157760814276</v>
      </c>
      <c r="U12" s="174">
        <f t="shared" si="2"/>
        <v>7508.8549618320621</v>
      </c>
      <c r="V12" s="175">
        <f>SUM(V8:V11)</f>
        <v>13921.068702290075</v>
      </c>
      <c r="W12" s="775">
        <f>SUM(W8:W11)</f>
        <v>9666.6157760814276</v>
      </c>
      <c r="X12" s="173">
        <f t="shared" si="2"/>
        <v>9818</v>
      </c>
      <c r="Y12" s="173">
        <f t="shared" si="2"/>
        <v>9818</v>
      </c>
      <c r="Z12" s="174">
        <f t="shared" si="2"/>
        <v>9818</v>
      </c>
      <c r="AA12" s="174">
        <f t="shared" si="2"/>
        <v>9818</v>
      </c>
      <c r="AB12" s="174">
        <f t="shared" si="2"/>
        <v>6778</v>
      </c>
      <c r="AC12" s="175">
        <f t="shared" si="2"/>
        <v>9818</v>
      </c>
      <c r="AD12" s="173">
        <f t="shared" si="2"/>
        <v>9818</v>
      </c>
      <c r="AE12" s="775">
        <f t="shared" si="2"/>
        <v>7998</v>
      </c>
    </row>
    <row r="13" spans="1:33" ht="18.75" customHeight="1">
      <c r="A13" s="177" t="s">
        <v>35</v>
      </c>
      <c r="B13" s="178"/>
      <c r="C13" s="179"/>
      <c r="D13" s="180"/>
      <c r="E13" s="180"/>
      <c r="F13" s="180"/>
      <c r="G13" s="180"/>
      <c r="H13" s="180"/>
      <c r="I13" s="180"/>
      <c r="J13" s="180"/>
      <c r="K13" s="180"/>
      <c r="L13" s="181"/>
      <c r="M13" s="181"/>
      <c r="N13" s="181"/>
      <c r="O13" s="181"/>
      <c r="P13" s="181"/>
      <c r="Q13" s="181"/>
      <c r="R13" s="182"/>
      <c r="S13" s="180"/>
      <c r="T13" s="180"/>
      <c r="U13" s="181"/>
      <c r="V13" s="182"/>
      <c r="W13" s="183"/>
      <c r="X13" s="180"/>
      <c r="Y13" s="180"/>
      <c r="Z13" s="181"/>
      <c r="AA13" s="181"/>
      <c r="AB13" s="181"/>
      <c r="AC13" s="182"/>
      <c r="AD13" s="180"/>
      <c r="AE13" s="183"/>
    </row>
    <row r="14" spans="1:33" ht="18.75" customHeight="1">
      <c r="A14" s="1058" t="s">
        <v>36</v>
      </c>
      <c r="B14" s="645" t="s">
        <v>37</v>
      </c>
      <c r="C14" s="184">
        <v>1.7500000000000002E-2</v>
      </c>
      <c r="D14" s="163">
        <f t="shared" ref="D14:AE14" si="4">IF(D12&lt;15000,1.75%*D12,0)</f>
        <v>243.61870229007633</v>
      </c>
      <c r="E14" s="163">
        <f t="shared" si="4"/>
        <v>207.99529262086517</v>
      </c>
      <c r="F14" s="163">
        <f t="shared" si="4"/>
        <v>207.99529262086517</v>
      </c>
      <c r="G14" s="163">
        <f t="shared" si="4"/>
        <v>207.99529262086517</v>
      </c>
      <c r="H14" s="163">
        <f t="shared" si="4"/>
        <v>207.99529262086517</v>
      </c>
      <c r="I14" s="163">
        <f t="shared" si="4"/>
        <v>207.99529262086517</v>
      </c>
      <c r="J14" s="163">
        <f t="shared" si="4"/>
        <v>207.99529262086517</v>
      </c>
      <c r="K14" s="163">
        <f t="shared" ref="K14" si="5">IF(K12&lt;15000,1.75%*K12,0)</f>
        <v>207.99529262086517</v>
      </c>
      <c r="L14" s="164">
        <f t="shared" si="4"/>
        <v>207.99529262086517</v>
      </c>
      <c r="M14" s="164">
        <f t="shared" si="4"/>
        <v>207.99529262086517</v>
      </c>
      <c r="N14" s="164">
        <f t="shared" si="4"/>
        <v>207.99529262086517</v>
      </c>
      <c r="O14" s="164">
        <f t="shared" si="4"/>
        <v>207.99529262086517</v>
      </c>
      <c r="P14" s="164">
        <f t="shared" si="4"/>
        <v>151.35407124681939</v>
      </c>
      <c r="Q14" s="164">
        <f t="shared" si="4"/>
        <v>186.97748091603063</v>
      </c>
      <c r="R14" s="165">
        <f t="shared" si="4"/>
        <v>261.43040712468195</v>
      </c>
      <c r="S14" s="163">
        <f t="shared" si="4"/>
        <v>169.16577608142501</v>
      </c>
      <c r="T14" s="163">
        <f t="shared" si="4"/>
        <v>169.16577608142501</v>
      </c>
      <c r="U14" s="164">
        <f t="shared" si="4"/>
        <v>131.4049618320611</v>
      </c>
      <c r="V14" s="165">
        <f>IF(V12&lt;15000,1.75%*V12,0)</f>
        <v>243.61870229007633</v>
      </c>
      <c r="W14" s="166">
        <f>IF(W12&lt;15000,1.75%*W12,0)</f>
        <v>169.16577608142501</v>
      </c>
      <c r="X14" s="163">
        <f t="shared" si="4"/>
        <v>171.81500000000003</v>
      </c>
      <c r="Y14" s="163">
        <f t="shared" si="4"/>
        <v>171.81500000000003</v>
      </c>
      <c r="Z14" s="164">
        <f t="shared" si="4"/>
        <v>171.81500000000003</v>
      </c>
      <c r="AA14" s="164">
        <f t="shared" si="4"/>
        <v>171.81500000000003</v>
      </c>
      <c r="AB14" s="164">
        <f t="shared" si="4"/>
        <v>118.61500000000001</v>
      </c>
      <c r="AC14" s="165">
        <f t="shared" si="4"/>
        <v>171.81500000000003</v>
      </c>
      <c r="AD14" s="163">
        <f t="shared" si="4"/>
        <v>171.81500000000003</v>
      </c>
      <c r="AE14" s="166">
        <f t="shared" si="4"/>
        <v>139.965</v>
      </c>
    </row>
    <row r="15" spans="1:33" ht="18.75" customHeight="1">
      <c r="A15" s="1058"/>
      <c r="B15" s="645" t="s">
        <v>38</v>
      </c>
      <c r="C15" s="185">
        <v>0.12</v>
      </c>
      <c r="D15" s="163">
        <f t="shared" ref="D15:AE15" si="6">ROUND(D6*12%,0)</f>
        <v>969</v>
      </c>
      <c r="E15" s="163">
        <f t="shared" si="6"/>
        <v>969</v>
      </c>
      <c r="F15" s="163">
        <f t="shared" si="6"/>
        <v>969</v>
      </c>
      <c r="G15" s="163">
        <f t="shared" si="6"/>
        <v>969</v>
      </c>
      <c r="H15" s="163">
        <f t="shared" si="6"/>
        <v>969</v>
      </c>
      <c r="I15" s="163">
        <f t="shared" si="6"/>
        <v>969</v>
      </c>
      <c r="J15" s="163">
        <f t="shared" si="6"/>
        <v>969</v>
      </c>
      <c r="K15" s="163">
        <f t="shared" ref="K15" si="7">ROUND(K6*12%,0)</f>
        <v>969</v>
      </c>
      <c r="L15" s="164">
        <f t="shared" si="6"/>
        <v>969</v>
      </c>
      <c r="M15" s="164">
        <f t="shared" si="6"/>
        <v>969</v>
      </c>
      <c r="N15" s="164">
        <f t="shared" si="6"/>
        <v>969</v>
      </c>
      <c r="O15" s="164">
        <f t="shared" si="6"/>
        <v>969</v>
      </c>
      <c r="P15" s="164">
        <f t="shared" si="6"/>
        <v>789</v>
      </c>
      <c r="Q15" s="164">
        <f t="shared" si="6"/>
        <v>789</v>
      </c>
      <c r="R15" s="165">
        <f t="shared" si="6"/>
        <v>969</v>
      </c>
      <c r="S15" s="163">
        <f t="shared" si="6"/>
        <v>789</v>
      </c>
      <c r="T15" s="163">
        <f t="shared" si="6"/>
        <v>789</v>
      </c>
      <c r="U15" s="164">
        <f t="shared" si="6"/>
        <v>669</v>
      </c>
      <c r="V15" s="165">
        <f>ROUND(V6*12%,0)</f>
        <v>969</v>
      </c>
      <c r="W15" s="166">
        <f>ROUND(W6*12%,0)</f>
        <v>789</v>
      </c>
      <c r="X15" s="163">
        <f t="shared" si="6"/>
        <v>969</v>
      </c>
      <c r="Y15" s="163">
        <f t="shared" si="6"/>
        <v>969</v>
      </c>
      <c r="Z15" s="164">
        <f t="shared" si="6"/>
        <v>969</v>
      </c>
      <c r="AA15" s="164">
        <f t="shared" si="6"/>
        <v>969</v>
      </c>
      <c r="AB15" s="164">
        <f t="shared" si="6"/>
        <v>669</v>
      </c>
      <c r="AC15" s="165">
        <f t="shared" si="6"/>
        <v>969</v>
      </c>
      <c r="AD15" s="163">
        <f t="shared" si="6"/>
        <v>969</v>
      </c>
      <c r="AE15" s="166">
        <f t="shared" si="6"/>
        <v>789</v>
      </c>
    </row>
    <row r="16" spans="1:33" s="176" customFormat="1" ht="18.75" customHeight="1">
      <c r="A16" s="186" t="s">
        <v>34</v>
      </c>
      <c r="B16" s="649"/>
      <c r="C16" s="187"/>
      <c r="D16" s="188">
        <f t="shared" ref="D16:S16" si="8">SUM(D14:D15)</f>
        <v>1212.6187022900763</v>
      </c>
      <c r="E16" s="188">
        <f>SUM(E14:E15)</f>
        <v>1176.9952926208653</v>
      </c>
      <c r="F16" s="188">
        <f t="shared" ref="F16" si="9">SUM(F14:F15)</f>
        <v>1176.9952926208653</v>
      </c>
      <c r="G16" s="188">
        <f t="shared" si="8"/>
        <v>1176.9952926208653</v>
      </c>
      <c r="H16" s="188">
        <f t="shared" si="8"/>
        <v>1176.9952926208653</v>
      </c>
      <c r="I16" s="188">
        <f t="shared" si="8"/>
        <v>1176.9952926208653</v>
      </c>
      <c r="J16" s="188">
        <f t="shared" si="8"/>
        <v>1176.9952926208653</v>
      </c>
      <c r="K16" s="188">
        <f>SUM(K14:K15)</f>
        <v>1176.9952926208653</v>
      </c>
      <c r="L16" s="189">
        <f t="shared" ref="L16:Q16" si="10">SUM(L14:L15)</f>
        <v>1176.9952926208653</v>
      </c>
      <c r="M16" s="189">
        <f t="shared" si="10"/>
        <v>1176.9952926208653</v>
      </c>
      <c r="N16" s="189">
        <f t="shared" si="10"/>
        <v>1176.9952926208653</v>
      </c>
      <c r="O16" s="189">
        <f t="shared" si="10"/>
        <v>1176.9952926208653</v>
      </c>
      <c r="P16" s="189">
        <f t="shared" si="10"/>
        <v>940.35407124681933</v>
      </c>
      <c r="Q16" s="189">
        <f t="shared" si="10"/>
        <v>975.97748091603057</v>
      </c>
      <c r="R16" s="190">
        <f t="shared" si="8"/>
        <v>1230.430407124682</v>
      </c>
      <c r="S16" s="188">
        <f t="shared" si="8"/>
        <v>958.16577608142507</v>
      </c>
      <c r="T16" s="188">
        <f>SUM(T14:T15)</f>
        <v>958.16577608142507</v>
      </c>
      <c r="U16" s="189">
        <f t="shared" ref="U16:AB16" si="11">SUM(U14:U15)</f>
        <v>800.40496183206108</v>
      </c>
      <c r="V16" s="190">
        <f>SUM(V14:V15)</f>
        <v>1212.6187022900763</v>
      </c>
      <c r="W16" s="191">
        <f>SUM(W14:W15)</f>
        <v>958.16577608142507</v>
      </c>
      <c r="X16" s="188">
        <f t="shared" si="11"/>
        <v>1140.8150000000001</v>
      </c>
      <c r="Y16" s="188">
        <f t="shared" si="11"/>
        <v>1140.8150000000001</v>
      </c>
      <c r="Z16" s="189">
        <f t="shared" si="11"/>
        <v>1140.8150000000001</v>
      </c>
      <c r="AA16" s="189">
        <f t="shared" si="11"/>
        <v>1140.8150000000001</v>
      </c>
      <c r="AB16" s="189">
        <f t="shared" si="11"/>
        <v>787.61500000000001</v>
      </c>
      <c r="AC16" s="190">
        <f t="shared" ref="AC16:AE16" si="12">SUM(AC14:AC15)</f>
        <v>1140.8150000000001</v>
      </c>
      <c r="AD16" s="188">
        <f t="shared" si="12"/>
        <v>1140.8150000000001</v>
      </c>
      <c r="AE16" s="191">
        <f t="shared" si="12"/>
        <v>928.96500000000003</v>
      </c>
    </row>
    <row r="17" spans="1:31" ht="18.75" customHeight="1">
      <c r="A17" s="1058" t="s">
        <v>39</v>
      </c>
      <c r="B17" s="645" t="s">
        <v>37</v>
      </c>
      <c r="C17" s="184">
        <v>4.7500000000000001E-2</v>
      </c>
      <c r="D17" s="163">
        <f t="shared" ref="D17:AE17" si="13">IF(D12&lt;15000,4.75%*D12,0)</f>
        <v>661.25076335877861</v>
      </c>
      <c r="E17" s="163">
        <f>IF(E12&lt;15000,4.75%*E12,0)</f>
        <v>564.55865139949105</v>
      </c>
      <c r="F17" s="163">
        <f t="shared" ref="F17" si="14">IF(F12&lt;15000,4.75%*F12,0)</f>
        <v>564.55865139949105</v>
      </c>
      <c r="G17" s="163">
        <f t="shared" si="13"/>
        <v>564.55865139949105</v>
      </c>
      <c r="H17" s="163">
        <f t="shared" si="13"/>
        <v>564.55865139949105</v>
      </c>
      <c r="I17" s="163">
        <f t="shared" si="13"/>
        <v>564.55865139949105</v>
      </c>
      <c r="J17" s="163">
        <f t="shared" si="13"/>
        <v>564.55865139949105</v>
      </c>
      <c r="K17" s="163">
        <f>IF(K12&lt;15000,4.75%*K12,0)</f>
        <v>564.55865139949105</v>
      </c>
      <c r="L17" s="164">
        <f t="shared" ref="L17:Q17" si="15">IF(L12&lt;15000,4.75%*L12,0)</f>
        <v>564.55865139949105</v>
      </c>
      <c r="M17" s="164">
        <f t="shared" si="15"/>
        <v>564.55865139949105</v>
      </c>
      <c r="N17" s="164">
        <f t="shared" si="15"/>
        <v>564.55865139949105</v>
      </c>
      <c r="O17" s="164">
        <f t="shared" si="15"/>
        <v>564.55865139949105</v>
      </c>
      <c r="P17" s="164">
        <f t="shared" si="15"/>
        <v>410.818193384224</v>
      </c>
      <c r="Q17" s="164">
        <f t="shared" si="15"/>
        <v>507.51030534351162</v>
      </c>
      <c r="R17" s="165">
        <f t="shared" si="13"/>
        <v>709.59681933842239</v>
      </c>
      <c r="S17" s="163">
        <f t="shared" si="13"/>
        <v>459.16424936386784</v>
      </c>
      <c r="T17" s="163">
        <f>IF(T12&lt;15000,4.75%*T12,0)</f>
        <v>459.16424936386784</v>
      </c>
      <c r="U17" s="164">
        <f t="shared" ref="U17:AB17" si="16">IF(U12&lt;15000,4.75%*U12,0)</f>
        <v>356.67061068702293</v>
      </c>
      <c r="V17" s="165">
        <f>IF(V12&lt;15000,4.75%*V12,0)</f>
        <v>661.25076335877861</v>
      </c>
      <c r="W17" s="166">
        <f>IF(W12&lt;15000,4.75%*W12,0)</f>
        <v>459.16424936386784</v>
      </c>
      <c r="X17" s="163">
        <f t="shared" si="16"/>
        <v>466.35500000000002</v>
      </c>
      <c r="Y17" s="163">
        <f t="shared" si="16"/>
        <v>466.35500000000002</v>
      </c>
      <c r="Z17" s="164">
        <f t="shared" si="16"/>
        <v>466.35500000000002</v>
      </c>
      <c r="AA17" s="164">
        <f t="shared" si="16"/>
        <v>466.35500000000002</v>
      </c>
      <c r="AB17" s="164">
        <f t="shared" si="16"/>
        <v>321.95499999999998</v>
      </c>
      <c r="AC17" s="165">
        <f t="shared" si="13"/>
        <v>466.35500000000002</v>
      </c>
      <c r="AD17" s="163">
        <f t="shared" si="13"/>
        <v>466.35500000000002</v>
      </c>
      <c r="AE17" s="166">
        <f t="shared" si="13"/>
        <v>379.90500000000003</v>
      </c>
    </row>
    <row r="18" spans="1:31" ht="18.75" customHeight="1">
      <c r="A18" s="1058"/>
      <c r="B18" s="645" t="s">
        <v>38</v>
      </c>
      <c r="C18" s="184">
        <v>0.1361</v>
      </c>
      <c r="D18" s="163">
        <f t="shared" ref="D18:J18" si="17">ROUND(D6*13.61%,0)</f>
        <v>1100</v>
      </c>
      <c r="E18" s="163">
        <f>ROUND(E6*13.61%,0)</f>
        <v>1100</v>
      </c>
      <c r="F18" s="163">
        <f t="shared" ref="F18" si="18">ROUND(F6*13.61%,0)</f>
        <v>1100</v>
      </c>
      <c r="G18" s="163">
        <f t="shared" si="17"/>
        <v>1100</v>
      </c>
      <c r="H18" s="163">
        <f t="shared" si="17"/>
        <v>1100</v>
      </c>
      <c r="I18" s="163">
        <f t="shared" si="17"/>
        <v>1100</v>
      </c>
      <c r="J18" s="163">
        <f t="shared" si="17"/>
        <v>1100</v>
      </c>
      <c r="K18" s="163">
        <f>ROUND(K6*13.61%,0)</f>
        <v>1100</v>
      </c>
      <c r="L18" s="164">
        <f t="shared" ref="L18:Q18" si="19">ROUND(L6*13.61%,0)</f>
        <v>1100</v>
      </c>
      <c r="M18" s="164">
        <f t="shared" si="19"/>
        <v>1100</v>
      </c>
      <c r="N18" s="164">
        <f t="shared" si="19"/>
        <v>1100</v>
      </c>
      <c r="O18" s="164">
        <f t="shared" si="19"/>
        <v>1100</v>
      </c>
      <c r="P18" s="164">
        <f t="shared" si="19"/>
        <v>895</v>
      </c>
      <c r="Q18" s="164">
        <f t="shared" si="19"/>
        <v>895</v>
      </c>
      <c r="R18" s="165">
        <f>ROUND(R6*13.61%,0)</f>
        <v>1100</v>
      </c>
      <c r="S18" s="163">
        <f>ROUND(S6*13.61%,0)</f>
        <v>895</v>
      </c>
      <c r="T18" s="163">
        <f>ROUND(T6*13.61%,0)</f>
        <v>895</v>
      </c>
      <c r="U18" s="164">
        <f t="shared" ref="U18:AE18" si="20">ROUND(U6*13.61%,0)</f>
        <v>759</v>
      </c>
      <c r="V18" s="165">
        <f>ROUND(V6*13.61%,0)</f>
        <v>1100</v>
      </c>
      <c r="W18" s="166">
        <f>ROUND(W6*13.61%,0)</f>
        <v>895</v>
      </c>
      <c r="X18" s="163">
        <f t="shared" si="20"/>
        <v>1100</v>
      </c>
      <c r="Y18" s="163">
        <f t="shared" si="20"/>
        <v>1100</v>
      </c>
      <c r="Z18" s="164">
        <f t="shared" si="20"/>
        <v>1100</v>
      </c>
      <c r="AA18" s="164">
        <f t="shared" si="20"/>
        <v>1100</v>
      </c>
      <c r="AB18" s="164">
        <f t="shared" si="20"/>
        <v>759</v>
      </c>
      <c r="AC18" s="165">
        <f t="shared" si="20"/>
        <v>1100</v>
      </c>
      <c r="AD18" s="163">
        <f t="shared" si="20"/>
        <v>1100</v>
      </c>
      <c r="AE18" s="166">
        <f t="shared" si="20"/>
        <v>895</v>
      </c>
    </row>
    <row r="19" spans="1:31" s="176" customFormat="1" ht="18.75" customHeight="1" thickBot="1">
      <c r="A19" s="192" t="s">
        <v>34</v>
      </c>
      <c r="B19" s="650"/>
      <c r="C19" s="776"/>
      <c r="D19" s="173">
        <f t="shared" ref="D19:S19" si="21">SUM(D17:D18)</f>
        <v>1761.2507633587786</v>
      </c>
      <c r="E19" s="173">
        <f>SUM(E17:E18)</f>
        <v>1664.5586513994911</v>
      </c>
      <c r="F19" s="173">
        <f t="shared" ref="F19" si="22">SUM(F17:F18)</f>
        <v>1664.5586513994911</v>
      </c>
      <c r="G19" s="173">
        <f t="shared" si="21"/>
        <v>1664.5586513994911</v>
      </c>
      <c r="H19" s="173">
        <f t="shared" si="21"/>
        <v>1664.5586513994911</v>
      </c>
      <c r="I19" s="173">
        <f t="shared" si="21"/>
        <v>1664.5586513994911</v>
      </c>
      <c r="J19" s="173">
        <f t="shared" si="21"/>
        <v>1664.5586513994911</v>
      </c>
      <c r="K19" s="173">
        <f>SUM(K17:K18)</f>
        <v>1664.5586513994911</v>
      </c>
      <c r="L19" s="174">
        <f t="shared" ref="L19:Q19" si="23">SUM(L17:L18)</f>
        <v>1664.5586513994911</v>
      </c>
      <c r="M19" s="174">
        <f t="shared" si="23"/>
        <v>1664.5586513994911</v>
      </c>
      <c r="N19" s="174">
        <f t="shared" si="23"/>
        <v>1664.5586513994911</v>
      </c>
      <c r="O19" s="174">
        <f t="shared" si="23"/>
        <v>1664.5586513994911</v>
      </c>
      <c r="P19" s="174">
        <f t="shared" si="23"/>
        <v>1305.8181933842241</v>
      </c>
      <c r="Q19" s="174">
        <f t="shared" si="23"/>
        <v>1402.5103053435116</v>
      </c>
      <c r="R19" s="175">
        <f t="shared" si="21"/>
        <v>1809.5968193384224</v>
      </c>
      <c r="S19" s="173">
        <f t="shared" si="21"/>
        <v>1354.1642493638678</v>
      </c>
      <c r="T19" s="173">
        <f>SUM(T17:T18)</f>
        <v>1354.1642493638678</v>
      </c>
      <c r="U19" s="174">
        <f t="shared" ref="U19:AB19" si="24">SUM(U17:U18)</f>
        <v>1115.6706106870229</v>
      </c>
      <c r="V19" s="175">
        <f>SUM(V17:V18)</f>
        <v>1761.2507633587786</v>
      </c>
      <c r="W19" s="775">
        <f>SUM(W17:W18)</f>
        <v>1354.1642493638678</v>
      </c>
      <c r="X19" s="173">
        <f t="shared" si="24"/>
        <v>1566.355</v>
      </c>
      <c r="Y19" s="173">
        <f t="shared" si="24"/>
        <v>1566.355</v>
      </c>
      <c r="Z19" s="174">
        <f t="shared" si="24"/>
        <v>1566.355</v>
      </c>
      <c r="AA19" s="174">
        <f t="shared" si="24"/>
        <v>1566.355</v>
      </c>
      <c r="AB19" s="174">
        <f t="shared" si="24"/>
        <v>1080.9549999999999</v>
      </c>
      <c r="AC19" s="175">
        <f t="shared" ref="AC19:AE19" si="25">SUM(AC17:AC18)</f>
        <v>1566.355</v>
      </c>
      <c r="AD19" s="173">
        <f t="shared" si="25"/>
        <v>1566.355</v>
      </c>
      <c r="AE19" s="775">
        <f t="shared" si="25"/>
        <v>1274.905</v>
      </c>
    </row>
    <row r="20" spans="1:31" ht="18.75" customHeight="1">
      <c r="A20" s="193" t="s">
        <v>40</v>
      </c>
      <c r="B20" s="178"/>
      <c r="C20" s="194"/>
      <c r="D20" s="180"/>
      <c r="E20" s="180"/>
      <c r="F20" s="180"/>
      <c r="G20" s="180"/>
      <c r="H20" s="180"/>
      <c r="I20" s="180"/>
      <c r="J20" s="180"/>
      <c r="K20" s="180"/>
      <c r="L20" s="181"/>
      <c r="M20" s="181"/>
      <c r="N20" s="181"/>
      <c r="O20" s="181"/>
      <c r="P20" s="181"/>
      <c r="Q20" s="181"/>
      <c r="R20" s="182"/>
      <c r="S20" s="180"/>
      <c r="T20" s="180"/>
      <c r="U20" s="181"/>
      <c r="V20" s="182"/>
      <c r="W20" s="183"/>
      <c r="X20" s="180"/>
      <c r="Y20" s="180"/>
      <c r="Z20" s="181"/>
      <c r="AA20" s="181"/>
      <c r="AB20" s="181"/>
      <c r="AC20" s="182"/>
      <c r="AD20" s="180"/>
      <c r="AE20" s="183"/>
    </row>
    <row r="21" spans="1:31" ht="18.75" customHeight="1">
      <c r="A21" s="1045" t="s">
        <v>41</v>
      </c>
      <c r="B21" s="1046"/>
      <c r="C21" s="184">
        <v>8.3299999999999999E-2</v>
      </c>
      <c r="D21" s="163">
        <f t="shared" ref="D21:AE21" si="26">IF(D8&gt;3500,(3500*$C$21),(D8*$C$21))</f>
        <v>291.55</v>
      </c>
      <c r="E21" s="163">
        <f t="shared" si="26"/>
        <v>291.55</v>
      </c>
      <c r="F21" s="163">
        <f t="shared" si="26"/>
        <v>291.55</v>
      </c>
      <c r="G21" s="163">
        <f t="shared" si="26"/>
        <v>291.55</v>
      </c>
      <c r="H21" s="163">
        <f t="shared" si="26"/>
        <v>291.55</v>
      </c>
      <c r="I21" s="163">
        <f t="shared" si="26"/>
        <v>291.55</v>
      </c>
      <c r="J21" s="163">
        <f t="shared" si="26"/>
        <v>291.55</v>
      </c>
      <c r="K21" s="163">
        <f t="shared" ref="K21" si="27">IF(K8&gt;3500,(3500*$C$21),(K8*$C$21))</f>
        <v>291.55</v>
      </c>
      <c r="L21" s="164">
        <f t="shared" si="26"/>
        <v>291.55</v>
      </c>
      <c r="M21" s="164">
        <f t="shared" si="26"/>
        <v>291.55</v>
      </c>
      <c r="N21" s="164">
        <f t="shared" si="26"/>
        <v>291.55</v>
      </c>
      <c r="O21" s="164">
        <f t="shared" si="26"/>
        <v>291.55</v>
      </c>
      <c r="P21" s="164">
        <f t="shared" si="26"/>
        <v>291.55</v>
      </c>
      <c r="Q21" s="164">
        <f t="shared" si="26"/>
        <v>291.55</v>
      </c>
      <c r="R21" s="165">
        <f t="shared" si="26"/>
        <v>291.55</v>
      </c>
      <c r="S21" s="163">
        <f t="shared" si="26"/>
        <v>291.55</v>
      </c>
      <c r="T21" s="163">
        <f t="shared" si="26"/>
        <v>291.55</v>
      </c>
      <c r="U21" s="164">
        <f t="shared" si="26"/>
        <v>291.55</v>
      </c>
      <c r="V21" s="165">
        <f>IF(V8&gt;3500,(3500*$C$21),(V8*$C$21))</f>
        <v>291.55</v>
      </c>
      <c r="W21" s="166">
        <f>IF(W8&gt;3500,(3500*$C$21),(W8*$C$21))</f>
        <v>291.55</v>
      </c>
      <c r="X21" s="163">
        <f t="shared" si="26"/>
        <v>291.55</v>
      </c>
      <c r="Y21" s="163">
        <f t="shared" si="26"/>
        <v>291.55</v>
      </c>
      <c r="Z21" s="164">
        <f t="shared" si="26"/>
        <v>291.55</v>
      </c>
      <c r="AA21" s="164">
        <f t="shared" si="26"/>
        <v>291.55</v>
      </c>
      <c r="AB21" s="164">
        <f t="shared" si="26"/>
        <v>291.55</v>
      </c>
      <c r="AC21" s="165">
        <f t="shared" si="26"/>
        <v>291.55</v>
      </c>
      <c r="AD21" s="163">
        <f t="shared" si="26"/>
        <v>291.55</v>
      </c>
      <c r="AE21" s="166">
        <f t="shared" si="26"/>
        <v>291.55</v>
      </c>
    </row>
    <row r="22" spans="1:31" ht="18.75" customHeight="1">
      <c r="A22" s="1045" t="s">
        <v>94</v>
      </c>
      <c r="B22" s="1046"/>
      <c r="C22" s="184">
        <v>8.3299999999999999E-2</v>
      </c>
      <c r="D22" s="163">
        <f t="shared" ref="D22:AE22" si="28">D8*$C$22</f>
        <v>817.83939999999996</v>
      </c>
      <c r="E22" s="163">
        <f t="shared" si="28"/>
        <v>817.83939999999996</v>
      </c>
      <c r="F22" s="163">
        <f t="shared" si="28"/>
        <v>817.83939999999996</v>
      </c>
      <c r="G22" s="163">
        <f t="shared" si="28"/>
        <v>817.83939999999996</v>
      </c>
      <c r="H22" s="163">
        <f t="shared" si="28"/>
        <v>817.83939999999996</v>
      </c>
      <c r="I22" s="163">
        <f t="shared" si="28"/>
        <v>817.83939999999996</v>
      </c>
      <c r="J22" s="163">
        <f t="shared" si="28"/>
        <v>817.83939999999996</v>
      </c>
      <c r="K22" s="163">
        <f t="shared" ref="K22" si="29">K8*$C$22</f>
        <v>817.83939999999996</v>
      </c>
      <c r="L22" s="164">
        <f t="shared" si="28"/>
        <v>817.83939999999996</v>
      </c>
      <c r="M22" s="164">
        <f t="shared" si="28"/>
        <v>817.83939999999996</v>
      </c>
      <c r="N22" s="164">
        <f t="shared" si="28"/>
        <v>817.83939999999996</v>
      </c>
      <c r="O22" s="164">
        <f t="shared" si="28"/>
        <v>817.83939999999996</v>
      </c>
      <c r="P22" s="164">
        <f t="shared" si="28"/>
        <v>666.23339999999996</v>
      </c>
      <c r="Q22" s="164">
        <f t="shared" si="28"/>
        <v>666.23339999999996</v>
      </c>
      <c r="R22" s="165">
        <f t="shared" si="28"/>
        <v>817.83939999999996</v>
      </c>
      <c r="S22" s="163">
        <f t="shared" si="28"/>
        <v>666.23339999999996</v>
      </c>
      <c r="T22" s="163">
        <f t="shared" si="28"/>
        <v>666.23339999999996</v>
      </c>
      <c r="U22" s="164">
        <f t="shared" si="28"/>
        <v>564.60739999999998</v>
      </c>
      <c r="V22" s="165">
        <f>V8*$C$22</f>
        <v>817.83939999999996</v>
      </c>
      <c r="W22" s="166">
        <f>W8*$C$22</f>
        <v>666.23339999999996</v>
      </c>
      <c r="X22" s="163">
        <f t="shared" si="28"/>
        <v>817.83939999999996</v>
      </c>
      <c r="Y22" s="163">
        <f t="shared" si="28"/>
        <v>817.83939999999996</v>
      </c>
      <c r="Z22" s="164">
        <f t="shared" si="28"/>
        <v>817.83939999999996</v>
      </c>
      <c r="AA22" s="164">
        <f t="shared" si="28"/>
        <v>817.83939999999996</v>
      </c>
      <c r="AB22" s="164">
        <f t="shared" si="28"/>
        <v>564.60739999999998</v>
      </c>
      <c r="AC22" s="165">
        <f t="shared" si="28"/>
        <v>817.83939999999996</v>
      </c>
      <c r="AD22" s="163">
        <f t="shared" si="28"/>
        <v>817.83939999999996</v>
      </c>
      <c r="AE22" s="166">
        <f t="shared" si="28"/>
        <v>666.23339999999996</v>
      </c>
    </row>
    <row r="23" spans="1:31" ht="18.75" customHeight="1" thickBot="1">
      <c r="A23" s="1050" t="s">
        <v>42</v>
      </c>
      <c r="B23" s="1051"/>
      <c r="C23" s="195" t="s">
        <v>43</v>
      </c>
      <c r="D23" s="196">
        <v>150</v>
      </c>
      <c r="E23" s="196">
        <v>150</v>
      </c>
      <c r="F23" s="196">
        <v>150</v>
      </c>
      <c r="G23" s="196">
        <v>150</v>
      </c>
      <c r="H23" s="196">
        <v>150</v>
      </c>
      <c r="I23" s="196">
        <v>150</v>
      </c>
      <c r="J23" s="196">
        <v>150</v>
      </c>
      <c r="K23" s="196">
        <v>150</v>
      </c>
      <c r="L23" s="197">
        <v>150</v>
      </c>
      <c r="M23" s="197">
        <v>151</v>
      </c>
      <c r="N23" s="197">
        <v>152</v>
      </c>
      <c r="O23" s="197">
        <v>155</v>
      </c>
      <c r="P23" s="197">
        <v>156</v>
      </c>
      <c r="Q23" s="197">
        <v>158</v>
      </c>
      <c r="R23" s="165">
        <v>150</v>
      </c>
      <c r="S23" s="163">
        <v>150</v>
      </c>
      <c r="T23" s="163">
        <v>150</v>
      </c>
      <c r="U23" s="164">
        <v>150</v>
      </c>
      <c r="V23" s="165">
        <v>150</v>
      </c>
      <c r="W23" s="166">
        <v>150</v>
      </c>
      <c r="X23" s="163">
        <v>150</v>
      </c>
      <c r="Y23" s="163">
        <v>150</v>
      </c>
      <c r="Z23" s="164">
        <v>150</v>
      </c>
      <c r="AA23" s="164">
        <v>150</v>
      </c>
      <c r="AB23" s="164">
        <v>150</v>
      </c>
      <c r="AC23" s="165">
        <v>150</v>
      </c>
      <c r="AD23" s="163">
        <v>150</v>
      </c>
      <c r="AE23" s="166">
        <v>150</v>
      </c>
    </row>
    <row r="24" spans="1:31" s="176" customFormat="1" ht="18.75" customHeight="1" thickBot="1">
      <c r="A24" s="198" t="s">
        <v>34</v>
      </c>
      <c r="B24" s="199"/>
      <c r="C24" s="200"/>
      <c r="D24" s="201">
        <f t="shared" ref="D24:AE24" si="30">SUM(D21:D23)</f>
        <v>1259.3894</v>
      </c>
      <c r="E24" s="201">
        <f t="shared" si="30"/>
        <v>1259.3894</v>
      </c>
      <c r="F24" s="201">
        <f t="shared" si="30"/>
        <v>1259.3894</v>
      </c>
      <c r="G24" s="201">
        <f t="shared" si="30"/>
        <v>1259.3894</v>
      </c>
      <c r="H24" s="201">
        <f t="shared" si="30"/>
        <v>1259.3894</v>
      </c>
      <c r="I24" s="201">
        <f t="shared" si="30"/>
        <v>1259.3894</v>
      </c>
      <c r="J24" s="201">
        <f t="shared" si="30"/>
        <v>1259.3894</v>
      </c>
      <c r="K24" s="201">
        <f t="shared" ref="K24" si="31">SUM(K21:K23)</f>
        <v>1259.3894</v>
      </c>
      <c r="L24" s="202">
        <f t="shared" si="30"/>
        <v>1259.3894</v>
      </c>
      <c r="M24" s="202">
        <f t="shared" si="30"/>
        <v>1260.3894</v>
      </c>
      <c r="N24" s="202">
        <f t="shared" si="30"/>
        <v>1261.3894</v>
      </c>
      <c r="O24" s="202">
        <f t="shared" si="30"/>
        <v>1264.3894</v>
      </c>
      <c r="P24" s="202">
        <f t="shared" si="30"/>
        <v>1113.7834</v>
      </c>
      <c r="Q24" s="202">
        <f t="shared" si="30"/>
        <v>1115.7834</v>
      </c>
      <c r="R24" s="175">
        <f t="shared" si="30"/>
        <v>1259.3894</v>
      </c>
      <c r="S24" s="173">
        <f t="shared" si="30"/>
        <v>1107.7834</v>
      </c>
      <c r="T24" s="173">
        <f t="shared" si="30"/>
        <v>1107.7834</v>
      </c>
      <c r="U24" s="174">
        <f t="shared" si="30"/>
        <v>1006.1574000000001</v>
      </c>
      <c r="V24" s="175">
        <f>SUM(V21:V23)</f>
        <v>1259.3894</v>
      </c>
      <c r="W24" s="775">
        <f>SUM(W21:W23)</f>
        <v>1107.7834</v>
      </c>
      <c r="X24" s="173">
        <f t="shared" si="30"/>
        <v>1259.3894</v>
      </c>
      <c r="Y24" s="173">
        <f t="shared" si="30"/>
        <v>1259.3894</v>
      </c>
      <c r="Z24" s="174">
        <f t="shared" si="30"/>
        <v>1259.3894</v>
      </c>
      <c r="AA24" s="174">
        <f t="shared" si="30"/>
        <v>1259.3894</v>
      </c>
      <c r="AB24" s="174">
        <f t="shared" si="30"/>
        <v>1006.1574000000001</v>
      </c>
      <c r="AC24" s="175">
        <f t="shared" si="30"/>
        <v>1259.3894</v>
      </c>
      <c r="AD24" s="173">
        <f t="shared" si="30"/>
        <v>1259.3894</v>
      </c>
      <c r="AE24" s="775">
        <f t="shared" si="30"/>
        <v>1107.7834</v>
      </c>
    </row>
    <row r="25" spans="1:31" ht="18.75" customHeight="1">
      <c r="A25" s="203" t="s">
        <v>288</v>
      </c>
      <c r="B25" s="204"/>
      <c r="C25" s="205"/>
      <c r="D25" s="206"/>
      <c r="E25" s="206"/>
      <c r="F25" s="206"/>
      <c r="G25" s="206"/>
      <c r="H25" s="206"/>
      <c r="I25" s="206"/>
      <c r="J25" s="206"/>
      <c r="K25" s="206"/>
      <c r="L25" s="208"/>
      <c r="M25" s="208"/>
      <c r="N25" s="208"/>
      <c r="O25" s="208"/>
      <c r="P25" s="208"/>
      <c r="Q25" s="208"/>
      <c r="R25" s="209"/>
      <c r="S25" s="206"/>
      <c r="T25" s="206"/>
      <c r="U25" s="208"/>
      <c r="V25" s="209"/>
      <c r="W25" s="207"/>
      <c r="X25" s="206"/>
      <c r="Y25" s="206"/>
      <c r="Z25" s="208"/>
      <c r="AA25" s="208"/>
      <c r="AB25" s="208"/>
      <c r="AC25" s="209"/>
      <c r="AD25" s="206"/>
      <c r="AE25" s="207"/>
    </row>
    <row r="26" spans="1:31" ht="18.75" customHeight="1">
      <c r="A26" s="1052" t="s">
        <v>289</v>
      </c>
      <c r="B26" s="1053"/>
      <c r="C26" s="1054"/>
      <c r="D26" s="167">
        <v>100</v>
      </c>
      <c r="E26" s="167">
        <v>100</v>
      </c>
      <c r="F26" s="167">
        <v>100</v>
      </c>
      <c r="G26" s="167">
        <v>100</v>
      </c>
      <c r="H26" s="167">
        <v>100</v>
      </c>
      <c r="I26" s="167">
        <v>100</v>
      </c>
      <c r="J26" s="167">
        <v>100</v>
      </c>
      <c r="K26" s="167">
        <v>100</v>
      </c>
      <c r="L26" s="210">
        <v>100</v>
      </c>
      <c r="M26" s="210">
        <v>101</v>
      </c>
      <c r="N26" s="210">
        <v>102</v>
      </c>
      <c r="O26" s="210">
        <v>105</v>
      </c>
      <c r="P26" s="210">
        <v>106</v>
      </c>
      <c r="Q26" s="210">
        <v>108</v>
      </c>
      <c r="R26" s="165">
        <v>100</v>
      </c>
      <c r="S26" s="163">
        <v>100</v>
      </c>
      <c r="T26" s="163">
        <v>100</v>
      </c>
      <c r="U26" s="164">
        <v>100</v>
      </c>
      <c r="V26" s="165">
        <v>100</v>
      </c>
      <c r="W26" s="166">
        <v>100</v>
      </c>
      <c r="X26" s="163">
        <v>100</v>
      </c>
      <c r="Y26" s="163">
        <v>100</v>
      </c>
      <c r="Z26" s="164">
        <v>100</v>
      </c>
      <c r="AA26" s="164">
        <v>100</v>
      </c>
      <c r="AB26" s="164">
        <v>100</v>
      </c>
      <c r="AC26" s="165">
        <v>100</v>
      </c>
      <c r="AD26" s="163">
        <v>100</v>
      </c>
      <c r="AE26" s="166">
        <v>100</v>
      </c>
    </row>
    <row r="27" spans="1:31" ht="18.75" customHeight="1" thickBot="1">
      <c r="A27" s="1052" t="s">
        <v>290</v>
      </c>
      <c r="B27" s="1053"/>
      <c r="C27" s="1054"/>
      <c r="D27" s="167"/>
      <c r="E27" s="167"/>
      <c r="F27" s="167"/>
      <c r="G27" s="167"/>
      <c r="H27" s="167"/>
      <c r="I27" s="167"/>
      <c r="J27" s="167"/>
      <c r="K27" s="167"/>
      <c r="L27" s="210"/>
      <c r="M27" s="210"/>
      <c r="N27" s="210"/>
      <c r="O27" s="210"/>
      <c r="P27" s="210"/>
      <c r="Q27" s="210"/>
      <c r="R27" s="165"/>
      <c r="S27" s="163"/>
      <c r="T27" s="163"/>
      <c r="U27" s="164"/>
      <c r="V27" s="165"/>
      <c r="W27" s="166"/>
      <c r="X27" s="163"/>
      <c r="Y27" s="163"/>
      <c r="Z27" s="164"/>
      <c r="AA27" s="164"/>
      <c r="AB27" s="164"/>
      <c r="AC27" s="165"/>
      <c r="AD27" s="163"/>
      <c r="AE27" s="166"/>
    </row>
    <row r="28" spans="1:31" s="176" customFormat="1" ht="18.75" customHeight="1" thickBot="1">
      <c r="A28" s="198" t="s">
        <v>34</v>
      </c>
      <c r="B28" s="199"/>
      <c r="C28" s="200"/>
      <c r="D28" s="211">
        <f t="shared" ref="D28:AE28" si="32">SUM(D26:D27)</f>
        <v>100</v>
      </c>
      <c r="E28" s="211">
        <f t="shared" si="32"/>
        <v>100</v>
      </c>
      <c r="F28" s="211">
        <f t="shared" si="32"/>
        <v>100</v>
      </c>
      <c r="G28" s="211">
        <f t="shared" si="32"/>
        <v>100</v>
      </c>
      <c r="H28" s="211">
        <f t="shared" si="32"/>
        <v>100</v>
      </c>
      <c r="I28" s="211">
        <f t="shared" si="32"/>
        <v>100</v>
      </c>
      <c r="J28" s="211">
        <f t="shared" si="32"/>
        <v>100</v>
      </c>
      <c r="K28" s="211">
        <f t="shared" ref="K28" si="33">SUM(K26:K27)</f>
        <v>100</v>
      </c>
      <c r="L28" s="212">
        <f t="shared" si="32"/>
        <v>100</v>
      </c>
      <c r="M28" s="212">
        <f t="shared" si="32"/>
        <v>101</v>
      </c>
      <c r="N28" s="212">
        <f t="shared" si="32"/>
        <v>102</v>
      </c>
      <c r="O28" s="212">
        <f t="shared" si="32"/>
        <v>105</v>
      </c>
      <c r="P28" s="212">
        <f t="shared" si="32"/>
        <v>106</v>
      </c>
      <c r="Q28" s="212">
        <f t="shared" si="32"/>
        <v>108</v>
      </c>
      <c r="R28" s="190">
        <f t="shared" si="32"/>
        <v>100</v>
      </c>
      <c r="S28" s="188">
        <f t="shared" si="32"/>
        <v>100</v>
      </c>
      <c r="T28" s="188">
        <f t="shared" si="32"/>
        <v>100</v>
      </c>
      <c r="U28" s="189">
        <f t="shared" si="32"/>
        <v>100</v>
      </c>
      <c r="V28" s="190">
        <f>SUM(V26:V27)</f>
        <v>100</v>
      </c>
      <c r="W28" s="191">
        <f>SUM(W26:W27)</f>
        <v>100</v>
      </c>
      <c r="X28" s="188">
        <f t="shared" si="32"/>
        <v>100</v>
      </c>
      <c r="Y28" s="188">
        <f t="shared" si="32"/>
        <v>100</v>
      </c>
      <c r="Z28" s="189">
        <f t="shared" si="32"/>
        <v>100</v>
      </c>
      <c r="AA28" s="189">
        <f t="shared" si="32"/>
        <v>100</v>
      </c>
      <c r="AB28" s="189">
        <f t="shared" si="32"/>
        <v>100</v>
      </c>
      <c r="AC28" s="190">
        <f t="shared" si="32"/>
        <v>100</v>
      </c>
      <c r="AD28" s="188">
        <f t="shared" si="32"/>
        <v>100</v>
      </c>
      <c r="AE28" s="191">
        <f t="shared" si="32"/>
        <v>100</v>
      </c>
    </row>
    <row r="29" spans="1:31" ht="18.75" customHeight="1">
      <c r="A29" s="203" t="s">
        <v>44</v>
      </c>
      <c r="B29" s="204"/>
      <c r="C29" s="205"/>
      <c r="D29" s="206"/>
      <c r="E29" s="206"/>
      <c r="F29" s="206"/>
      <c r="G29" s="206"/>
      <c r="H29" s="206"/>
      <c r="I29" s="206"/>
      <c r="J29" s="206"/>
      <c r="K29" s="206"/>
      <c r="L29" s="208"/>
      <c r="M29" s="208"/>
      <c r="N29" s="208"/>
      <c r="O29" s="208"/>
      <c r="P29" s="208"/>
      <c r="Q29" s="208"/>
      <c r="R29" s="213"/>
      <c r="S29" s="214"/>
      <c r="T29" s="214"/>
      <c r="U29" s="216"/>
      <c r="V29" s="213"/>
      <c r="W29" s="215"/>
      <c r="X29" s="214"/>
      <c r="Y29" s="214"/>
      <c r="Z29" s="216"/>
      <c r="AA29" s="216"/>
      <c r="AB29" s="216"/>
      <c r="AC29" s="213"/>
      <c r="AD29" s="214"/>
      <c r="AE29" s="215"/>
    </row>
    <row r="30" spans="1:31" ht="18.75" customHeight="1">
      <c r="A30" s="1055" t="s">
        <v>45</v>
      </c>
      <c r="B30" s="1056"/>
      <c r="C30" s="1057"/>
      <c r="D30" s="165">
        <f t="shared" ref="D30:AE30" si="34">D31-D16-D19-D24+D21-D28</f>
        <v>13000</v>
      </c>
      <c r="E30" s="165">
        <f t="shared" si="34"/>
        <v>10999.999999999998</v>
      </c>
      <c r="F30" s="165">
        <f t="shared" si="34"/>
        <v>10999.999999999998</v>
      </c>
      <c r="G30" s="165">
        <f t="shared" si="34"/>
        <v>10999.999999999998</v>
      </c>
      <c r="H30" s="165">
        <f t="shared" si="34"/>
        <v>10999.999999999998</v>
      </c>
      <c r="I30" s="165">
        <f t="shared" si="34"/>
        <v>10999.999999999998</v>
      </c>
      <c r="J30" s="165">
        <f t="shared" si="34"/>
        <v>10999.999999999998</v>
      </c>
      <c r="K30" s="165">
        <f t="shared" ref="K30" si="35">K31-K16-K19-K24+K21-K28</f>
        <v>10999.999999999998</v>
      </c>
      <c r="L30" s="217">
        <f t="shared" si="34"/>
        <v>10999.999999999998</v>
      </c>
      <c r="M30" s="217">
        <f t="shared" si="34"/>
        <v>10999.999999999998</v>
      </c>
      <c r="N30" s="217">
        <f t="shared" si="34"/>
        <v>10999.999999999998</v>
      </c>
      <c r="O30" s="217">
        <f t="shared" si="34"/>
        <v>10999.999999999998</v>
      </c>
      <c r="P30" s="217">
        <f t="shared" si="34"/>
        <v>8000.0000000000009</v>
      </c>
      <c r="Q30" s="217">
        <f t="shared" si="34"/>
        <v>10000.000000000004</v>
      </c>
      <c r="R30" s="165">
        <f t="shared" si="34"/>
        <v>14000</v>
      </c>
      <c r="S30" s="163">
        <f t="shared" si="34"/>
        <v>9000.0000000000018</v>
      </c>
      <c r="T30" s="163">
        <f t="shared" si="34"/>
        <v>9000.0000000000018</v>
      </c>
      <c r="U30" s="164">
        <f t="shared" si="34"/>
        <v>7000.0000000000027</v>
      </c>
      <c r="V30" s="165">
        <f>V31-V16-V19-V24+V21-V28</f>
        <v>13000</v>
      </c>
      <c r="W30" s="166">
        <f>W31-W16-W19-W24+W21-W28</f>
        <v>9000.0000000000018</v>
      </c>
      <c r="X30" s="163">
        <f t="shared" si="34"/>
        <v>8968.7349999999988</v>
      </c>
      <c r="Y30" s="163">
        <f t="shared" si="34"/>
        <v>8968.7349999999988</v>
      </c>
      <c r="Z30" s="164">
        <f t="shared" si="34"/>
        <v>8968.7349999999988</v>
      </c>
      <c r="AA30" s="164">
        <f t="shared" si="34"/>
        <v>8968.7349999999988</v>
      </c>
      <c r="AB30" s="164">
        <f t="shared" si="34"/>
        <v>6281.9350000000004</v>
      </c>
      <c r="AC30" s="165">
        <f t="shared" si="34"/>
        <v>8968.7349999999988</v>
      </c>
      <c r="AD30" s="163">
        <f t="shared" si="34"/>
        <v>8968.7349999999988</v>
      </c>
      <c r="AE30" s="166">
        <f t="shared" si="34"/>
        <v>7360.585</v>
      </c>
    </row>
    <row r="31" spans="1:31" ht="18.75" customHeight="1">
      <c r="A31" s="218" t="s">
        <v>46</v>
      </c>
      <c r="B31" s="219"/>
      <c r="C31" s="220"/>
      <c r="D31" s="190">
        <f t="shared" ref="D31:AE31" si="36">D12+D19+D24+D28</f>
        <v>17041.708865648856</v>
      </c>
      <c r="E31" s="190">
        <f t="shared" si="36"/>
        <v>14909.393344020356</v>
      </c>
      <c r="F31" s="190">
        <f t="shared" si="36"/>
        <v>14909.393344020356</v>
      </c>
      <c r="G31" s="190">
        <f t="shared" si="36"/>
        <v>14909.393344020356</v>
      </c>
      <c r="H31" s="190">
        <f t="shared" si="36"/>
        <v>14909.393344020356</v>
      </c>
      <c r="I31" s="190">
        <f t="shared" si="36"/>
        <v>14909.393344020356</v>
      </c>
      <c r="J31" s="190">
        <f t="shared" si="36"/>
        <v>14909.393344020356</v>
      </c>
      <c r="K31" s="190">
        <f t="shared" ref="K31" si="37">K12+K19+K24+K28</f>
        <v>14909.393344020356</v>
      </c>
      <c r="L31" s="221">
        <f t="shared" si="36"/>
        <v>14909.393344020356</v>
      </c>
      <c r="M31" s="221">
        <f t="shared" si="36"/>
        <v>14911.393344020356</v>
      </c>
      <c r="N31" s="221">
        <f t="shared" si="36"/>
        <v>14913.393344020356</v>
      </c>
      <c r="O31" s="221">
        <f t="shared" si="36"/>
        <v>14919.393344020356</v>
      </c>
      <c r="P31" s="221">
        <f t="shared" si="36"/>
        <v>11174.405664631046</v>
      </c>
      <c r="Q31" s="221">
        <f t="shared" si="36"/>
        <v>13310.721186259547</v>
      </c>
      <c r="R31" s="190">
        <f t="shared" si="36"/>
        <v>18107.866626463103</v>
      </c>
      <c r="S31" s="188">
        <f t="shared" si="36"/>
        <v>12228.563425445296</v>
      </c>
      <c r="T31" s="188">
        <f t="shared" si="36"/>
        <v>12228.563425445296</v>
      </c>
      <c r="U31" s="189">
        <f t="shared" si="36"/>
        <v>9730.6829725190855</v>
      </c>
      <c r="V31" s="190">
        <f>V12+V19+V24+V28</f>
        <v>17041.708865648856</v>
      </c>
      <c r="W31" s="191">
        <f>W12+W19+W24+W28</f>
        <v>12228.563425445296</v>
      </c>
      <c r="X31" s="188">
        <f t="shared" si="36"/>
        <v>12743.7444</v>
      </c>
      <c r="Y31" s="188">
        <f t="shared" si="36"/>
        <v>12743.7444</v>
      </c>
      <c r="Z31" s="189">
        <f t="shared" si="36"/>
        <v>12743.7444</v>
      </c>
      <c r="AA31" s="189">
        <f t="shared" si="36"/>
        <v>12743.7444</v>
      </c>
      <c r="AB31" s="189">
        <f t="shared" si="36"/>
        <v>8965.1124</v>
      </c>
      <c r="AC31" s="190">
        <f t="shared" si="36"/>
        <v>12743.7444</v>
      </c>
      <c r="AD31" s="188">
        <f t="shared" si="36"/>
        <v>12743.7444</v>
      </c>
      <c r="AE31" s="191">
        <f t="shared" si="36"/>
        <v>10480.688400000001</v>
      </c>
    </row>
    <row r="32" spans="1:31" ht="18.75" customHeight="1">
      <c r="A32" s="222" t="s">
        <v>47</v>
      </c>
      <c r="B32" s="223"/>
      <c r="C32" s="224"/>
      <c r="D32" s="214"/>
      <c r="E32" s="214"/>
      <c r="F32" s="214"/>
      <c r="G32" s="214"/>
      <c r="H32" s="214"/>
      <c r="I32" s="214"/>
      <c r="J32" s="214"/>
      <c r="K32" s="214"/>
      <c r="L32" s="216"/>
      <c r="M32" s="216"/>
      <c r="N32" s="216"/>
      <c r="O32" s="216"/>
      <c r="P32" s="216"/>
      <c r="Q32" s="216"/>
      <c r="R32" s="213"/>
      <c r="S32" s="214"/>
      <c r="T32" s="214"/>
      <c r="U32" s="216"/>
      <c r="V32" s="213"/>
      <c r="W32" s="215"/>
      <c r="X32" s="214"/>
      <c r="Y32" s="214"/>
      <c r="Z32" s="216"/>
      <c r="AA32" s="216"/>
      <c r="AB32" s="216"/>
      <c r="AC32" s="213"/>
      <c r="AD32" s="214"/>
      <c r="AE32" s="215"/>
    </row>
    <row r="33" spans="1:31" ht="18.75" customHeight="1">
      <c r="A33" s="1045" t="s">
        <v>48</v>
      </c>
      <c r="B33" s="1046"/>
      <c r="C33" s="225">
        <v>0.1</v>
      </c>
      <c r="D33" s="226">
        <f t="shared" ref="D33:AE33" si="38">D31*$C$33</f>
        <v>1704.1708865648857</v>
      </c>
      <c r="E33" s="226">
        <f t="shared" si="38"/>
        <v>1490.9393344020357</v>
      </c>
      <c r="F33" s="226">
        <f t="shared" si="38"/>
        <v>1490.9393344020357</v>
      </c>
      <c r="G33" s="226">
        <f t="shared" si="38"/>
        <v>1490.9393344020357</v>
      </c>
      <c r="H33" s="226">
        <f t="shared" si="38"/>
        <v>1490.9393344020357</v>
      </c>
      <c r="I33" s="226">
        <f t="shared" si="38"/>
        <v>1490.9393344020357</v>
      </c>
      <c r="J33" s="226">
        <f t="shared" si="38"/>
        <v>1490.9393344020357</v>
      </c>
      <c r="K33" s="226">
        <f t="shared" ref="K33" si="39">K31*$C$33</f>
        <v>1490.9393344020357</v>
      </c>
      <c r="L33" s="228">
        <f t="shared" si="38"/>
        <v>1490.9393344020357</v>
      </c>
      <c r="M33" s="228">
        <f t="shared" si="38"/>
        <v>1491.1393344020357</v>
      </c>
      <c r="N33" s="228">
        <f t="shared" si="38"/>
        <v>1491.3393344020358</v>
      </c>
      <c r="O33" s="228">
        <f t="shared" si="38"/>
        <v>1491.9393344020357</v>
      </c>
      <c r="P33" s="228">
        <f t="shared" si="38"/>
        <v>1117.4405664631047</v>
      </c>
      <c r="Q33" s="228">
        <f t="shared" si="38"/>
        <v>1331.0721186259548</v>
      </c>
      <c r="R33" s="229">
        <f t="shared" si="38"/>
        <v>1810.7866626463103</v>
      </c>
      <c r="S33" s="226">
        <f t="shared" si="38"/>
        <v>1222.8563425445298</v>
      </c>
      <c r="T33" s="226">
        <f t="shared" si="38"/>
        <v>1222.8563425445298</v>
      </c>
      <c r="U33" s="228">
        <f t="shared" si="38"/>
        <v>973.06829725190858</v>
      </c>
      <c r="V33" s="229">
        <f>V31*$C$33</f>
        <v>1704.1708865648857</v>
      </c>
      <c r="W33" s="227">
        <f>W31*$C$33</f>
        <v>1222.8563425445298</v>
      </c>
      <c r="X33" s="226">
        <f t="shared" si="38"/>
        <v>1274.37444</v>
      </c>
      <c r="Y33" s="226">
        <f t="shared" si="38"/>
        <v>1274.37444</v>
      </c>
      <c r="Z33" s="228">
        <f t="shared" si="38"/>
        <v>1274.37444</v>
      </c>
      <c r="AA33" s="228">
        <f t="shared" si="38"/>
        <v>1274.37444</v>
      </c>
      <c r="AB33" s="228">
        <f t="shared" si="38"/>
        <v>896.51124000000004</v>
      </c>
      <c r="AC33" s="229">
        <f t="shared" si="38"/>
        <v>1274.37444</v>
      </c>
      <c r="AD33" s="226">
        <f t="shared" si="38"/>
        <v>1274.37444</v>
      </c>
      <c r="AE33" s="227">
        <f t="shared" si="38"/>
        <v>1048.0688400000001</v>
      </c>
    </row>
    <row r="34" spans="1:31" s="233" customFormat="1" ht="18.75" customHeight="1" thickBot="1">
      <c r="A34" s="1047" t="s">
        <v>49</v>
      </c>
      <c r="B34" s="1048"/>
      <c r="C34" s="1049"/>
      <c r="D34" s="230">
        <f t="shared" ref="D34:AE34" si="40">ROUND(D31+D33,0)</f>
        <v>18746</v>
      </c>
      <c r="E34" s="230">
        <f t="shared" si="40"/>
        <v>16400</v>
      </c>
      <c r="F34" s="230">
        <f t="shared" si="40"/>
        <v>16400</v>
      </c>
      <c r="G34" s="230">
        <f t="shared" si="40"/>
        <v>16400</v>
      </c>
      <c r="H34" s="230">
        <f t="shared" si="40"/>
        <v>16400</v>
      </c>
      <c r="I34" s="230">
        <f t="shared" si="40"/>
        <v>16400</v>
      </c>
      <c r="J34" s="230">
        <f t="shared" si="40"/>
        <v>16400</v>
      </c>
      <c r="K34" s="230">
        <f t="shared" ref="K34" si="41">ROUND(K31+K33,0)</f>
        <v>16400</v>
      </c>
      <c r="L34" s="231">
        <f t="shared" si="40"/>
        <v>16400</v>
      </c>
      <c r="M34" s="231">
        <f t="shared" si="40"/>
        <v>16403</v>
      </c>
      <c r="N34" s="231">
        <f t="shared" si="40"/>
        <v>16405</v>
      </c>
      <c r="O34" s="231">
        <f t="shared" si="40"/>
        <v>16411</v>
      </c>
      <c r="P34" s="231">
        <f t="shared" si="40"/>
        <v>12292</v>
      </c>
      <c r="Q34" s="231">
        <f t="shared" si="40"/>
        <v>14642</v>
      </c>
      <c r="R34" s="232">
        <f t="shared" si="40"/>
        <v>19919</v>
      </c>
      <c r="S34" s="230">
        <f t="shared" si="40"/>
        <v>13451</v>
      </c>
      <c r="T34" s="230">
        <f t="shared" si="40"/>
        <v>13451</v>
      </c>
      <c r="U34" s="231">
        <f t="shared" si="40"/>
        <v>10704</v>
      </c>
      <c r="V34" s="232">
        <f>ROUND(V31+V33,0)</f>
        <v>18746</v>
      </c>
      <c r="W34" s="777">
        <f>ROUND(W31+W33,0)</f>
        <v>13451</v>
      </c>
      <c r="X34" s="230">
        <f t="shared" si="40"/>
        <v>14018</v>
      </c>
      <c r="Y34" s="230">
        <f t="shared" si="40"/>
        <v>14018</v>
      </c>
      <c r="Z34" s="231">
        <f t="shared" si="40"/>
        <v>14018</v>
      </c>
      <c r="AA34" s="231">
        <f t="shared" si="40"/>
        <v>14018</v>
      </c>
      <c r="AB34" s="231">
        <f t="shared" si="40"/>
        <v>9862</v>
      </c>
      <c r="AC34" s="232">
        <f t="shared" si="40"/>
        <v>14018</v>
      </c>
      <c r="AD34" s="230">
        <f t="shared" si="40"/>
        <v>14018</v>
      </c>
      <c r="AE34" s="777">
        <f t="shared" si="40"/>
        <v>11529</v>
      </c>
    </row>
    <row r="35" spans="1:31" ht="18.75" customHeight="1">
      <c r="D35" s="148">
        <v>13000</v>
      </c>
      <c r="E35" s="148">
        <v>11000</v>
      </c>
      <c r="F35" s="148">
        <v>11000</v>
      </c>
      <c r="G35" s="148">
        <v>11000</v>
      </c>
      <c r="H35" s="148">
        <v>11000</v>
      </c>
      <c r="I35" s="148">
        <v>11000</v>
      </c>
      <c r="J35" s="148">
        <v>11000</v>
      </c>
      <c r="K35" s="148">
        <v>11000</v>
      </c>
      <c r="L35" s="148">
        <v>11000</v>
      </c>
      <c r="M35" s="148">
        <v>11000</v>
      </c>
      <c r="N35" s="148">
        <v>11000</v>
      </c>
      <c r="O35" s="148">
        <v>11000</v>
      </c>
      <c r="P35" s="148">
        <v>8000</v>
      </c>
      <c r="Q35" s="148">
        <v>10000</v>
      </c>
      <c r="R35" s="148">
        <v>12000</v>
      </c>
      <c r="S35" s="148">
        <v>9000</v>
      </c>
      <c r="T35" s="148">
        <v>9000</v>
      </c>
      <c r="U35" s="148">
        <v>7000</v>
      </c>
      <c r="V35" s="148">
        <v>13000</v>
      </c>
      <c r="W35" s="148">
        <v>9000</v>
      </c>
      <c r="X35" s="148">
        <v>13000</v>
      </c>
      <c r="Y35" s="148">
        <v>10000</v>
      </c>
      <c r="Z35" s="148">
        <v>10000</v>
      </c>
      <c r="AA35" s="148">
        <v>12000</v>
      </c>
      <c r="AB35" s="148">
        <v>8000</v>
      </c>
      <c r="AC35" s="148">
        <v>12000</v>
      </c>
      <c r="AD35" s="148">
        <v>11000</v>
      </c>
      <c r="AE35" s="148">
        <v>10000</v>
      </c>
    </row>
  </sheetData>
  <sheetProtection formatCells="0" formatColumns="0" formatRows="0" insertColumns="0" insertRows="0" insertHyperlinks="0" deleteColumns="0" deleteRows="0" selectLockedCells="1" sort="0" autoFilter="0" pivotTables="0"/>
  <mergeCells count="26">
    <mergeCell ref="AC2:AE2"/>
    <mergeCell ref="D2:Q2"/>
    <mergeCell ref="A2:C2"/>
    <mergeCell ref="R2:U2"/>
    <mergeCell ref="X2:AB2"/>
    <mergeCell ref="V2:W2"/>
    <mergeCell ref="A17:A18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4:A15"/>
    <mergeCell ref="A33:B33"/>
    <mergeCell ref="A34:C34"/>
    <mergeCell ref="A21:B21"/>
    <mergeCell ref="A22:B22"/>
    <mergeCell ref="A23:B23"/>
    <mergeCell ref="A26:C26"/>
    <mergeCell ref="A27:C27"/>
    <mergeCell ref="A30:C30"/>
  </mergeCells>
  <hyperlinks>
    <hyperlink ref="AG2" location="INDEX!A1" display="INDEX" xr:uid="{00000000-0004-0000-0F00-000000000000}"/>
  </hyperlinks>
  <pageMargins left="0.7" right="0.7" top="0.65" bottom="0.36" header="0.51" footer="0.3"/>
  <pageSetup scale="80" fitToWidth="4" orientation="landscape" r:id="rId1"/>
  <colBreaks count="2" manualBreakCount="2">
    <brk id="12" max="33" man="1"/>
    <brk id="21" max="33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K22"/>
  <sheetViews>
    <sheetView zoomScale="90" zoomScaleNormal="90" workbookViewId="0">
      <selection activeCell="M11" sqref="M11"/>
    </sheetView>
  </sheetViews>
  <sheetFormatPr defaultRowHeight="19.5" customHeight="1"/>
  <cols>
    <col min="1" max="1" width="6.7109375" style="111" customWidth="1"/>
    <col min="2" max="2" width="38" style="111" customWidth="1"/>
    <col min="3" max="3" width="10.140625" style="111" customWidth="1"/>
    <col min="4" max="4" width="9.140625" style="111"/>
    <col min="5" max="5" width="13.7109375" style="143" bestFit="1" customWidth="1"/>
    <col min="6" max="6" width="8.5703125" style="111" bestFit="1" customWidth="1"/>
    <col min="7" max="7" width="5.5703125" style="111" bestFit="1" customWidth="1"/>
    <col min="8" max="8" width="10.42578125" style="111" bestFit="1" customWidth="1"/>
    <col min="9" max="9" width="6.7109375" style="111" bestFit="1" customWidth="1"/>
    <col min="10" max="10" width="14.28515625" style="111" customWidth="1"/>
    <col min="11" max="251" width="9.140625" style="111"/>
    <col min="252" max="252" width="35.7109375" style="111" bestFit="1" customWidth="1"/>
    <col min="253" max="253" width="10.140625" style="111" customWidth="1"/>
    <col min="254" max="256" width="9.140625" style="111"/>
    <col min="257" max="257" width="13.7109375" style="111" bestFit="1" customWidth="1"/>
    <col min="258" max="258" width="14.7109375" style="111" bestFit="1" customWidth="1"/>
    <col min="259" max="507" width="9.140625" style="111"/>
    <col min="508" max="508" width="35.7109375" style="111" bestFit="1" customWidth="1"/>
    <col min="509" max="509" width="10.140625" style="111" customWidth="1"/>
    <col min="510" max="512" width="9.140625" style="111"/>
    <col min="513" max="513" width="13.7109375" style="111" bestFit="1" customWidth="1"/>
    <col min="514" max="514" width="14.7109375" style="111" bestFit="1" customWidth="1"/>
    <col min="515" max="763" width="9.140625" style="111"/>
    <col min="764" max="764" width="35.7109375" style="111" bestFit="1" customWidth="1"/>
    <col min="765" max="765" width="10.140625" style="111" customWidth="1"/>
    <col min="766" max="768" width="9.140625" style="111"/>
    <col min="769" max="769" width="13.7109375" style="111" bestFit="1" customWidth="1"/>
    <col min="770" max="770" width="14.7109375" style="111" bestFit="1" customWidth="1"/>
    <col min="771" max="1019" width="9.140625" style="111"/>
    <col min="1020" max="1020" width="35.7109375" style="111" bestFit="1" customWidth="1"/>
    <col min="1021" max="1021" width="10.140625" style="111" customWidth="1"/>
    <col min="1022" max="1024" width="9.140625" style="111"/>
    <col min="1025" max="1025" width="13.7109375" style="111" bestFit="1" customWidth="1"/>
    <col min="1026" max="1026" width="14.7109375" style="111" bestFit="1" customWidth="1"/>
    <col min="1027" max="1275" width="9.140625" style="111"/>
    <col min="1276" max="1276" width="35.7109375" style="111" bestFit="1" customWidth="1"/>
    <col min="1277" max="1277" width="10.140625" style="111" customWidth="1"/>
    <col min="1278" max="1280" width="9.140625" style="111"/>
    <col min="1281" max="1281" width="13.7109375" style="111" bestFit="1" customWidth="1"/>
    <col min="1282" max="1282" width="14.7109375" style="111" bestFit="1" customWidth="1"/>
    <col min="1283" max="1531" width="9.140625" style="111"/>
    <col min="1532" max="1532" width="35.7109375" style="111" bestFit="1" customWidth="1"/>
    <col min="1533" max="1533" width="10.140625" style="111" customWidth="1"/>
    <col min="1534" max="1536" width="9.140625" style="111"/>
    <col min="1537" max="1537" width="13.7109375" style="111" bestFit="1" customWidth="1"/>
    <col min="1538" max="1538" width="14.7109375" style="111" bestFit="1" customWidth="1"/>
    <col min="1539" max="1787" width="9.140625" style="111"/>
    <col min="1788" max="1788" width="35.7109375" style="111" bestFit="1" customWidth="1"/>
    <col min="1789" max="1789" width="10.140625" style="111" customWidth="1"/>
    <col min="1790" max="1792" width="9.140625" style="111"/>
    <col min="1793" max="1793" width="13.7109375" style="111" bestFit="1" customWidth="1"/>
    <col min="1794" max="1794" width="14.7109375" style="111" bestFit="1" customWidth="1"/>
    <col min="1795" max="2043" width="9.140625" style="111"/>
    <col min="2044" max="2044" width="35.7109375" style="111" bestFit="1" customWidth="1"/>
    <col min="2045" max="2045" width="10.140625" style="111" customWidth="1"/>
    <col min="2046" max="2048" width="9.140625" style="111"/>
    <col min="2049" max="2049" width="13.7109375" style="111" bestFit="1" customWidth="1"/>
    <col min="2050" max="2050" width="14.7109375" style="111" bestFit="1" customWidth="1"/>
    <col min="2051" max="2299" width="9.140625" style="111"/>
    <col min="2300" max="2300" width="35.7109375" style="111" bestFit="1" customWidth="1"/>
    <col min="2301" max="2301" width="10.140625" style="111" customWidth="1"/>
    <col min="2302" max="2304" width="9.140625" style="111"/>
    <col min="2305" max="2305" width="13.7109375" style="111" bestFit="1" customWidth="1"/>
    <col min="2306" max="2306" width="14.7109375" style="111" bestFit="1" customWidth="1"/>
    <col min="2307" max="2555" width="9.140625" style="111"/>
    <col min="2556" max="2556" width="35.7109375" style="111" bestFit="1" customWidth="1"/>
    <col min="2557" max="2557" width="10.140625" style="111" customWidth="1"/>
    <col min="2558" max="2560" width="9.140625" style="111"/>
    <col min="2561" max="2561" width="13.7109375" style="111" bestFit="1" customWidth="1"/>
    <col min="2562" max="2562" width="14.7109375" style="111" bestFit="1" customWidth="1"/>
    <col min="2563" max="2811" width="9.140625" style="111"/>
    <col min="2812" max="2812" width="35.7109375" style="111" bestFit="1" customWidth="1"/>
    <col min="2813" max="2813" width="10.140625" style="111" customWidth="1"/>
    <col min="2814" max="2816" width="9.140625" style="111"/>
    <col min="2817" max="2817" width="13.7109375" style="111" bestFit="1" customWidth="1"/>
    <col min="2818" max="2818" width="14.7109375" style="111" bestFit="1" customWidth="1"/>
    <col min="2819" max="3067" width="9.140625" style="111"/>
    <col min="3068" max="3068" width="35.7109375" style="111" bestFit="1" customWidth="1"/>
    <col min="3069" max="3069" width="10.140625" style="111" customWidth="1"/>
    <col min="3070" max="3072" width="9.140625" style="111"/>
    <col min="3073" max="3073" width="13.7109375" style="111" bestFit="1" customWidth="1"/>
    <col min="3074" max="3074" width="14.7109375" style="111" bestFit="1" customWidth="1"/>
    <col min="3075" max="3323" width="9.140625" style="111"/>
    <col min="3324" max="3324" width="35.7109375" style="111" bestFit="1" customWidth="1"/>
    <col min="3325" max="3325" width="10.140625" style="111" customWidth="1"/>
    <col min="3326" max="3328" width="9.140625" style="111"/>
    <col min="3329" max="3329" width="13.7109375" style="111" bestFit="1" customWidth="1"/>
    <col min="3330" max="3330" width="14.7109375" style="111" bestFit="1" customWidth="1"/>
    <col min="3331" max="3579" width="9.140625" style="111"/>
    <col min="3580" max="3580" width="35.7109375" style="111" bestFit="1" customWidth="1"/>
    <col min="3581" max="3581" width="10.140625" style="111" customWidth="1"/>
    <col min="3582" max="3584" width="9.140625" style="111"/>
    <col min="3585" max="3585" width="13.7109375" style="111" bestFit="1" customWidth="1"/>
    <col min="3586" max="3586" width="14.7109375" style="111" bestFit="1" customWidth="1"/>
    <col min="3587" max="3835" width="9.140625" style="111"/>
    <col min="3836" max="3836" width="35.7109375" style="111" bestFit="1" customWidth="1"/>
    <col min="3837" max="3837" width="10.140625" style="111" customWidth="1"/>
    <col min="3838" max="3840" width="9.140625" style="111"/>
    <col min="3841" max="3841" width="13.7109375" style="111" bestFit="1" customWidth="1"/>
    <col min="3842" max="3842" width="14.7109375" style="111" bestFit="1" customWidth="1"/>
    <col min="3843" max="4091" width="9.140625" style="111"/>
    <col min="4092" max="4092" width="35.7109375" style="111" bestFit="1" customWidth="1"/>
    <col min="4093" max="4093" width="10.140625" style="111" customWidth="1"/>
    <col min="4094" max="4096" width="9.140625" style="111"/>
    <col min="4097" max="4097" width="13.7109375" style="111" bestFit="1" customWidth="1"/>
    <col min="4098" max="4098" width="14.7109375" style="111" bestFit="1" customWidth="1"/>
    <col min="4099" max="4347" width="9.140625" style="111"/>
    <col min="4348" max="4348" width="35.7109375" style="111" bestFit="1" customWidth="1"/>
    <col min="4349" max="4349" width="10.140625" style="111" customWidth="1"/>
    <col min="4350" max="4352" width="9.140625" style="111"/>
    <col min="4353" max="4353" width="13.7109375" style="111" bestFit="1" customWidth="1"/>
    <col min="4354" max="4354" width="14.7109375" style="111" bestFit="1" customWidth="1"/>
    <col min="4355" max="4603" width="9.140625" style="111"/>
    <col min="4604" max="4604" width="35.7109375" style="111" bestFit="1" customWidth="1"/>
    <col min="4605" max="4605" width="10.140625" style="111" customWidth="1"/>
    <col min="4606" max="4608" width="9.140625" style="111"/>
    <col min="4609" max="4609" width="13.7109375" style="111" bestFit="1" customWidth="1"/>
    <col min="4610" max="4610" width="14.7109375" style="111" bestFit="1" customWidth="1"/>
    <col min="4611" max="4859" width="9.140625" style="111"/>
    <col min="4860" max="4860" width="35.7109375" style="111" bestFit="1" customWidth="1"/>
    <col min="4861" max="4861" width="10.140625" style="111" customWidth="1"/>
    <col min="4862" max="4864" width="9.140625" style="111"/>
    <col min="4865" max="4865" width="13.7109375" style="111" bestFit="1" customWidth="1"/>
    <col min="4866" max="4866" width="14.7109375" style="111" bestFit="1" customWidth="1"/>
    <col min="4867" max="5115" width="9.140625" style="111"/>
    <col min="5116" max="5116" width="35.7109375" style="111" bestFit="1" customWidth="1"/>
    <col min="5117" max="5117" width="10.140625" style="111" customWidth="1"/>
    <col min="5118" max="5120" width="9.140625" style="111"/>
    <col min="5121" max="5121" width="13.7109375" style="111" bestFit="1" customWidth="1"/>
    <col min="5122" max="5122" width="14.7109375" style="111" bestFit="1" customWidth="1"/>
    <col min="5123" max="5371" width="9.140625" style="111"/>
    <col min="5372" max="5372" width="35.7109375" style="111" bestFit="1" customWidth="1"/>
    <col min="5373" max="5373" width="10.140625" style="111" customWidth="1"/>
    <col min="5374" max="5376" width="9.140625" style="111"/>
    <col min="5377" max="5377" width="13.7109375" style="111" bestFit="1" customWidth="1"/>
    <col min="5378" max="5378" width="14.7109375" style="111" bestFit="1" customWidth="1"/>
    <col min="5379" max="5627" width="9.140625" style="111"/>
    <col min="5628" max="5628" width="35.7109375" style="111" bestFit="1" customWidth="1"/>
    <col min="5629" max="5629" width="10.140625" style="111" customWidth="1"/>
    <col min="5630" max="5632" width="9.140625" style="111"/>
    <col min="5633" max="5633" width="13.7109375" style="111" bestFit="1" customWidth="1"/>
    <col min="5634" max="5634" width="14.7109375" style="111" bestFit="1" customWidth="1"/>
    <col min="5635" max="5883" width="9.140625" style="111"/>
    <col min="5884" max="5884" width="35.7109375" style="111" bestFit="1" customWidth="1"/>
    <col min="5885" max="5885" width="10.140625" style="111" customWidth="1"/>
    <col min="5886" max="5888" width="9.140625" style="111"/>
    <col min="5889" max="5889" width="13.7109375" style="111" bestFit="1" customWidth="1"/>
    <col min="5890" max="5890" width="14.7109375" style="111" bestFit="1" customWidth="1"/>
    <col min="5891" max="6139" width="9.140625" style="111"/>
    <col min="6140" max="6140" width="35.7109375" style="111" bestFit="1" customWidth="1"/>
    <col min="6141" max="6141" width="10.140625" style="111" customWidth="1"/>
    <col min="6142" max="6144" width="9.140625" style="111"/>
    <col min="6145" max="6145" width="13.7109375" style="111" bestFit="1" customWidth="1"/>
    <col min="6146" max="6146" width="14.7109375" style="111" bestFit="1" customWidth="1"/>
    <col min="6147" max="6395" width="9.140625" style="111"/>
    <col min="6396" max="6396" width="35.7109375" style="111" bestFit="1" customWidth="1"/>
    <col min="6397" max="6397" width="10.140625" style="111" customWidth="1"/>
    <col min="6398" max="6400" width="9.140625" style="111"/>
    <col min="6401" max="6401" width="13.7109375" style="111" bestFit="1" customWidth="1"/>
    <col min="6402" max="6402" width="14.7109375" style="111" bestFit="1" customWidth="1"/>
    <col min="6403" max="6651" width="9.140625" style="111"/>
    <col min="6652" max="6652" width="35.7109375" style="111" bestFit="1" customWidth="1"/>
    <col min="6653" max="6653" width="10.140625" style="111" customWidth="1"/>
    <col min="6654" max="6656" width="9.140625" style="111"/>
    <col min="6657" max="6657" width="13.7109375" style="111" bestFit="1" customWidth="1"/>
    <col min="6658" max="6658" width="14.7109375" style="111" bestFit="1" customWidth="1"/>
    <col min="6659" max="6907" width="9.140625" style="111"/>
    <col min="6908" max="6908" width="35.7109375" style="111" bestFit="1" customWidth="1"/>
    <col min="6909" max="6909" width="10.140625" style="111" customWidth="1"/>
    <col min="6910" max="6912" width="9.140625" style="111"/>
    <col min="6913" max="6913" width="13.7109375" style="111" bestFit="1" customWidth="1"/>
    <col min="6914" max="6914" width="14.7109375" style="111" bestFit="1" customWidth="1"/>
    <col min="6915" max="7163" width="9.140625" style="111"/>
    <col min="7164" max="7164" width="35.7109375" style="111" bestFit="1" customWidth="1"/>
    <col min="7165" max="7165" width="10.140625" style="111" customWidth="1"/>
    <col min="7166" max="7168" width="9.140625" style="111"/>
    <col min="7169" max="7169" width="13.7109375" style="111" bestFit="1" customWidth="1"/>
    <col min="7170" max="7170" width="14.7109375" style="111" bestFit="1" customWidth="1"/>
    <col min="7171" max="7419" width="9.140625" style="111"/>
    <col min="7420" max="7420" width="35.7109375" style="111" bestFit="1" customWidth="1"/>
    <col min="7421" max="7421" width="10.140625" style="111" customWidth="1"/>
    <col min="7422" max="7424" width="9.140625" style="111"/>
    <col min="7425" max="7425" width="13.7109375" style="111" bestFit="1" customWidth="1"/>
    <col min="7426" max="7426" width="14.7109375" style="111" bestFit="1" customWidth="1"/>
    <col min="7427" max="7675" width="9.140625" style="111"/>
    <col min="7676" max="7676" width="35.7109375" style="111" bestFit="1" customWidth="1"/>
    <col min="7677" max="7677" width="10.140625" style="111" customWidth="1"/>
    <col min="7678" max="7680" width="9.140625" style="111"/>
    <col min="7681" max="7681" width="13.7109375" style="111" bestFit="1" customWidth="1"/>
    <col min="7682" max="7682" width="14.7109375" style="111" bestFit="1" customWidth="1"/>
    <col min="7683" max="7931" width="9.140625" style="111"/>
    <col min="7932" max="7932" width="35.7109375" style="111" bestFit="1" customWidth="1"/>
    <col min="7933" max="7933" width="10.140625" style="111" customWidth="1"/>
    <col min="7934" max="7936" width="9.140625" style="111"/>
    <col min="7937" max="7937" width="13.7109375" style="111" bestFit="1" customWidth="1"/>
    <col min="7938" max="7938" width="14.7109375" style="111" bestFit="1" customWidth="1"/>
    <col min="7939" max="8187" width="9.140625" style="111"/>
    <col min="8188" max="8188" width="35.7109375" style="111" bestFit="1" customWidth="1"/>
    <col min="8189" max="8189" width="10.140625" style="111" customWidth="1"/>
    <col min="8190" max="8192" width="9.140625" style="111"/>
    <col min="8193" max="8193" width="13.7109375" style="111" bestFit="1" customWidth="1"/>
    <col min="8194" max="8194" width="14.7109375" style="111" bestFit="1" customWidth="1"/>
    <col min="8195" max="8443" width="9.140625" style="111"/>
    <col min="8444" max="8444" width="35.7109375" style="111" bestFit="1" customWidth="1"/>
    <col min="8445" max="8445" width="10.140625" style="111" customWidth="1"/>
    <col min="8446" max="8448" width="9.140625" style="111"/>
    <col min="8449" max="8449" width="13.7109375" style="111" bestFit="1" customWidth="1"/>
    <col min="8450" max="8450" width="14.7109375" style="111" bestFit="1" customWidth="1"/>
    <col min="8451" max="8699" width="9.140625" style="111"/>
    <col min="8700" max="8700" width="35.7109375" style="111" bestFit="1" customWidth="1"/>
    <col min="8701" max="8701" width="10.140625" style="111" customWidth="1"/>
    <col min="8702" max="8704" width="9.140625" style="111"/>
    <col min="8705" max="8705" width="13.7109375" style="111" bestFit="1" customWidth="1"/>
    <col min="8706" max="8706" width="14.7109375" style="111" bestFit="1" customWidth="1"/>
    <col min="8707" max="8955" width="9.140625" style="111"/>
    <col min="8956" max="8956" width="35.7109375" style="111" bestFit="1" customWidth="1"/>
    <col min="8957" max="8957" width="10.140625" style="111" customWidth="1"/>
    <col min="8958" max="8960" width="9.140625" style="111"/>
    <col min="8961" max="8961" width="13.7109375" style="111" bestFit="1" customWidth="1"/>
    <col min="8962" max="8962" width="14.7109375" style="111" bestFit="1" customWidth="1"/>
    <col min="8963" max="9211" width="9.140625" style="111"/>
    <col min="9212" max="9212" width="35.7109375" style="111" bestFit="1" customWidth="1"/>
    <col min="9213" max="9213" width="10.140625" style="111" customWidth="1"/>
    <col min="9214" max="9216" width="9.140625" style="111"/>
    <col min="9217" max="9217" width="13.7109375" style="111" bestFit="1" customWidth="1"/>
    <col min="9218" max="9218" width="14.7109375" style="111" bestFit="1" customWidth="1"/>
    <col min="9219" max="9467" width="9.140625" style="111"/>
    <col min="9468" max="9468" width="35.7109375" style="111" bestFit="1" customWidth="1"/>
    <col min="9469" max="9469" width="10.140625" style="111" customWidth="1"/>
    <col min="9470" max="9472" width="9.140625" style="111"/>
    <col min="9473" max="9473" width="13.7109375" style="111" bestFit="1" customWidth="1"/>
    <col min="9474" max="9474" width="14.7109375" style="111" bestFit="1" customWidth="1"/>
    <col min="9475" max="9723" width="9.140625" style="111"/>
    <col min="9724" max="9724" width="35.7109375" style="111" bestFit="1" customWidth="1"/>
    <col min="9725" max="9725" width="10.140625" style="111" customWidth="1"/>
    <col min="9726" max="9728" width="9.140625" style="111"/>
    <col min="9729" max="9729" width="13.7109375" style="111" bestFit="1" customWidth="1"/>
    <col min="9730" max="9730" width="14.7109375" style="111" bestFit="1" customWidth="1"/>
    <col min="9731" max="9979" width="9.140625" style="111"/>
    <col min="9980" max="9980" width="35.7109375" style="111" bestFit="1" customWidth="1"/>
    <col min="9981" max="9981" width="10.140625" style="111" customWidth="1"/>
    <col min="9982" max="9984" width="9.140625" style="111"/>
    <col min="9985" max="9985" width="13.7109375" style="111" bestFit="1" customWidth="1"/>
    <col min="9986" max="9986" width="14.7109375" style="111" bestFit="1" customWidth="1"/>
    <col min="9987" max="10235" width="9.140625" style="111"/>
    <col min="10236" max="10236" width="35.7109375" style="111" bestFit="1" customWidth="1"/>
    <col min="10237" max="10237" width="10.140625" style="111" customWidth="1"/>
    <col min="10238" max="10240" width="9.140625" style="111"/>
    <col min="10241" max="10241" width="13.7109375" style="111" bestFit="1" customWidth="1"/>
    <col min="10242" max="10242" width="14.7109375" style="111" bestFit="1" customWidth="1"/>
    <col min="10243" max="10491" width="9.140625" style="111"/>
    <col min="10492" max="10492" width="35.7109375" style="111" bestFit="1" customWidth="1"/>
    <col min="10493" max="10493" width="10.140625" style="111" customWidth="1"/>
    <col min="10494" max="10496" width="9.140625" style="111"/>
    <col min="10497" max="10497" width="13.7109375" style="111" bestFit="1" customWidth="1"/>
    <col min="10498" max="10498" width="14.7109375" style="111" bestFit="1" customWidth="1"/>
    <col min="10499" max="10747" width="9.140625" style="111"/>
    <col min="10748" max="10748" width="35.7109375" style="111" bestFit="1" customWidth="1"/>
    <col min="10749" max="10749" width="10.140625" style="111" customWidth="1"/>
    <col min="10750" max="10752" width="9.140625" style="111"/>
    <col min="10753" max="10753" width="13.7109375" style="111" bestFit="1" customWidth="1"/>
    <col min="10754" max="10754" width="14.7109375" style="111" bestFit="1" customWidth="1"/>
    <col min="10755" max="11003" width="9.140625" style="111"/>
    <col min="11004" max="11004" width="35.7109375" style="111" bestFit="1" customWidth="1"/>
    <col min="11005" max="11005" width="10.140625" style="111" customWidth="1"/>
    <col min="11006" max="11008" width="9.140625" style="111"/>
    <col min="11009" max="11009" width="13.7109375" style="111" bestFit="1" customWidth="1"/>
    <col min="11010" max="11010" width="14.7109375" style="111" bestFit="1" customWidth="1"/>
    <col min="11011" max="11259" width="9.140625" style="111"/>
    <col min="11260" max="11260" width="35.7109375" style="111" bestFit="1" customWidth="1"/>
    <col min="11261" max="11261" width="10.140625" style="111" customWidth="1"/>
    <col min="11262" max="11264" width="9.140625" style="111"/>
    <col min="11265" max="11265" width="13.7109375" style="111" bestFit="1" customWidth="1"/>
    <col min="11266" max="11266" width="14.7109375" style="111" bestFit="1" customWidth="1"/>
    <col min="11267" max="11515" width="9.140625" style="111"/>
    <col min="11516" max="11516" width="35.7109375" style="111" bestFit="1" customWidth="1"/>
    <col min="11517" max="11517" width="10.140625" style="111" customWidth="1"/>
    <col min="11518" max="11520" width="9.140625" style="111"/>
    <col min="11521" max="11521" width="13.7109375" style="111" bestFit="1" customWidth="1"/>
    <col min="11522" max="11522" width="14.7109375" style="111" bestFit="1" customWidth="1"/>
    <col min="11523" max="11771" width="9.140625" style="111"/>
    <col min="11772" max="11772" width="35.7109375" style="111" bestFit="1" customWidth="1"/>
    <col min="11773" max="11773" width="10.140625" style="111" customWidth="1"/>
    <col min="11774" max="11776" width="9.140625" style="111"/>
    <col min="11777" max="11777" width="13.7109375" style="111" bestFit="1" customWidth="1"/>
    <col min="11778" max="11778" width="14.7109375" style="111" bestFit="1" customWidth="1"/>
    <col min="11779" max="12027" width="9.140625" style="111"/>
    <col min="12028" max="12028" width="35.7109375" style="111" bestFit="1" customWidth="1"/>
    <col min="12029" max="12029" width="10.140625" style="111" customWidth="1"/>
    <col min="12030" max="12032" width="9.140625" style="111"/>
    <col min="12033" max="12033" width="13.7109375" style="111" bestFit="1" customWidth="1"/>
    <col min="12034" max="12034" width="14.7109375" style="111" bestFit="1" customWidth="1"/>
    <col min="12035" max="12283" width="9.140625" style="111"/>
    <col min="12284" max="12284" width="35.7109375" style="111" bestFit="1" customWidth="1"/>
    <col min="12285" max="12285" width="10.140625" style="111" customWidth="1"/>
    <col min="12286" max="12288" width="9.140625" style="111"/>
    <col min="12289" max="12289" width="13.7109375" style="111" bestFit="1" customWidth="1"/>
    <col min="12290" max="12290" width="14.7109375" style="111" bestFit="1" customWidth="1"/>
    <col min="12291" max="12539" width="9.140625" style="111"/>
    <col min="12540" max="12540" width="35.7109375" style="111" bestFit="1" customWidth="1"/>
    <col min="12541" max="12541" width="10.140625" style="111" customWidth="1"/>
    <col min="12542" max="12544" width="9.140625" style="111"/>
    <col min="12545" max="12545" width="13.7109375" style="111" bestFit="1" customWidth="1"/>
    <col min="12546" max="12546" width="14.7109375" style="111" bestFit="1" customWidth="1"/>
    <col min="12547" max="12795" width="9.140625" style="111"/>
    <col min="12796" max="12796" width="35.7109375" style="111" bestFit="1" customWidth="1"/>
    <col min="12797" max="12797" width="10.140625" style="111" customWidth="1"/>
    <col min="12798" max="12800" width="9.140625" style="111"/>
    <col min="12801" max="12801" width="13.7109375" style="111" bestFit="1" customWidth="1"/>
    <col min="12802" max="12802" width="14.7109375" style="111" bestFit="1" customWidth="1"/>
    <col min="12803" max="13051" width="9.140625" style="111"/>
    <col min="13052" max="13052" width="35.7109375" style="111" bestFit="1" customWidth="1"/>
    <col min="13053" max="13053" width="10.140625" style="111" customWidth="1"/>
    <col min="13054" max="13056" width="9.140625" style="111"/>
    <col min="13057" max="13057" width="13.7109375" style="111" bestFit="1" customWidth="1"/>
    <col min="13058" max="13058" width="14.7109375" style="111" bestFit="1" customWidth="1"/>
    <col min="13059" max="13307" width="9.140625" style="111"/>
    <col min="13308" max="13308" width="35.7109375" style="111" bestFit="1" customWidth="1"/>
    <col min="13309" max="13309" width="10.140625" style="111" customWidth="1"/>
    <col min="13310" max="13312" width="9.140625" style="111"/>
    <col min="13313" max="13313" width="13.7109375" style="111" bestFit="1" customWidth="1"/>
    <col min="13314" max="13314" width="14.7109375" style="111" bestFit="1" customWidth="1"/>
    <col min="13315" max="13563" width="9.140625" style="111"/>
    <col min="13564" max="13564" width="35.7109375" style="111" bestFit="1" customWidth="1"/>
    <col min="13565" max="13565" width="10.140625" style="111" customWidth="1"/>
    <col min="13566" max="13568" width="9.140625" style="111"/>
    <col min="13569" max="13569" width="13.7109375" style="111" bestFit="1" customWidth="1"/>
    <col min="13570" max="13570" width="14.7109375" style="111" bestFit="1" customWidth="1"/>
    <col min="13571" max="13819" width="9.140625" style="111"/>
    <col min="13820" max="13820" width="35.7109375" style="111" bestFit="1" customWidth="1"/>
    <col min="13821" max="13821" width="10.140625" style="111" customWidth="1"/>
    <col min="13822" max="13824" width="9.140625" style="111"/>
    <col min="13825" max="13825" width="13.7109375" style="111" bestFit="1" customWidth="1"/>
    <col min="13826" max="13826" width="14.7109375" style="111" bestFit="1" customWidth="1"/>
    <col min="13827" max="14075" width="9.140625" style="111"/>
    <col min="14076" max="14076" width="35.7109375" style="111" bestFit="1" customWidth="1"/>
    <col min="14077" max="14077" width="10.140625" style="111" customWidth="1"/>
    <col min="14078" max="14080" width="9.140625" style="111"/>
    <col min="14081" max="14081" width="13.7109375" style="111" bestFit="1" customWidth="1"/>
    <col min="14082" max="14082" width="14.7109375" style="111" bestFit="1" customWidth="1"/>
    <col min="14083" max="14331" width="9.140625" style="111"/>
    <col min="14332" max="14332" width="35.7109375" style="111" bestFit="1" customWidth="1"/>
    <col min="14333" max="14333" width="10.140625" style="111" customWidth="1"/>
    <col min="14334" max="14336" width="9.140625" style="111"/>
    <col min="14337" max="14337" width="13.7109375" style="111" bestFit="1" customWidth="1"/>
    <col min="14338" max="14338" width="14.7109375" style="111" bestFit="1" customWidth="1"/>
    <col min="14339" max="14587" width="9.140625" style="111"/>
    <col min="14588" max="14588" width="35.7109375" style="111" bestFit="1" customWidth="1"/>
    <col min="14589" max="14589" width="10.140625" style="111" customWidth="1"/>
    <col min="14590" max="14592" width="9.140625" style="111"/>
    <col min="14593" max="14593" width="13.7109375" style="111" bestFit="1" customWidth="1"/>
    <col min="14594" max="14594" width="14.7109375" style="111" bestFit="1" customWidth="1"/>
    <col min="14595" max="14843" width="9.140625" style="111"/>
    <col min="14844" max="14844" width="35.7109375" style="111" bestFit="1" customWidth="1"/>
    <col min="14845" max="14845" width="10.140625" style="111" customWidth="1"/>
    <col min="14846" max="14848" width="9.140625" style="111"/>
    <col min="14849" max="14849" width="13.7109375" style="111" bestFit="1" customWidth="1"/>
    <col min="14850" max="14850" width="14.7109375" style="111" bestFit="1" customWidth="1"/>
    <col min="14851" max="15099" width="9.140625" style="111"/>
    <col min="15100" max="15100" width="35.7109375" style="111" bestFit="1" customWidth="1"/>
    <col min="15101" max="15101" width="10.140625" style="111" customWidth="1"/>
    <col min="15102" max="15104" width="9.140625" style="111"/>
    <col min="15105" max="15105" width="13.7109375" style="111" bestFit="1" customWidth="1"/>
    <col min="15106" max="15106" width="14.7109375" style="111" bestFit="1" customWidth="1"/>
    <col min="15107" max="15355" width="9.140625" style="111"/>
    <col min="15356" max="15356" width="35.7109375" style="111" bestFit="1" customWidth="1"/>
    <col min="15357" max="15357" width="10.140625" style="111" customWidth="1"/>
    <col min="15358" max="15360" width="9.140625" style="111"/>
    <col min="15361" max="15361" width="13.7109375" style="111" bestFit="1" customWidth="1"/>
    <col min="15362" max="15362" width="14.7109375" style="111" bestFit="1" customWidth="1"/>
    <col min="15363" max="15611" width="9.140625" style="111"/>
    <col min="15612" max="15612" width="35.7109375" style="111" bestFit="1" customWidth="1"/>
    <col min="15613" max="15613" width="10.140625" style="111" customWidth="1"/>
    <col min="15614" max="15616" width="9.140625" style="111"/>
    <col min="15617" max="15617" width="13.7109375" style="111" bestFit="1" customWidth="1"/>
    <col min="15618" max="15618" width="14.7109375" style="111" bestFit="1" customWidth="1"/>
    <col min="15619" max="15867" width="9.140625" style="111"/>
    <col min="15868" max="15868" width="35.7109375" style="111" bestFit="1" customWidth="1"/>
    <col min="15869" max="15869" width="10.140625" style="111" customWidth="1"/>
    <col min="15870" max="15872" width="9.140625" style="111"/>
    <col min="15873" max="15873" width="13.7109375" style="111" bestFit="1" customWidth="1"/>
    <col min="15874" max="15874" width="14.7109375" style="111" bestFit="1" customWidth="1"/>
    <col min="15875" max="16123" width="9.140625" style="111"/>
    <col min="16124" max="16124" width="35.7109375" style="111" bestFit="1" customWidth="1"/>
    <col min="16125" max="16125" width="10.140625" style="111" customWidth="1"/>
    <col min="16126" max="16128" width="9.140625" style="111"/>
    <col min="16129" max="16129" width="13.7109375" style="111" bestFit="1" customWidth="1"/>
    <col min="16130" max="16130" width="14.7109375" style="111" bestFit="1" customWidth="1"/>
    <col min="16131" max="16384" width="9.140625" style="111"/>
  </cols>
  <sheetData>
    <row r="1" spans="1:11" ht="19.5" customHeight="1">
      <c r="A1" s="108" t="s">
        <v>258</v>
      </c>
      <c r="B1" s="109"/>
      <c r="C1" s="109"/>
      <c r="D1" s="109"/>
      <c r="E1" s="109"/>
      <c r="F1" s="109"/>
      <c r="G1" s="109"/>
      <c r="H1" s="109"/>
      <c r="I1" s="109"/>
      <c r="J1" s="110"/>
    </row>
    <row r="2" spans="1:11" ht="19.5" customHeight="1">
      <c r="A2" s="778" t="s">
        <v>10</v>
      </c>
      <c r="B2" s="113" t="s">
        <v>11</v>
      </c>
      <c r="C2" s="112" t="s">
        <v>12</v>
      </c>
      <c r="D2" s="112" t="s">
        <v>51</v>
      </c>
      <c r="E2" s="112" t="s">
        <v>259</v>
      </c>
      <c r="F2" s="112" t="s">
        <v>214</v>
      </c>
      <c r="G2" s="112" t="s">
        <v>86</v>
      </c>
      <c r="H2" s="114" t="s">
        <v>91</v>
      </c>
      <c r="I2" s="114"/>
      <c r="J2" s="779" t="s">
        <v>260</v>
      </c>
      <c r="K2" s="270" t="s">
        <v>336</v>
      </c>
    </row>
    <row r="3" spans="1:11" ht="19.5" customHeight="1">
      <c r="A3" s="780">
        <v>1</v>
      </c>
      <c r="B3" s="116" t="s">
        <v>261</v>
      </c>
      <c r="C3" s="116" t="s">
        <v>58</v>
      </c>
      <c r="D3" s="117">
        <v>130000</v>
      </c>
      <c r="E3" s="115">
        <v>24</v>
      </c>
      <c r="F3" s="118">
        <v>1</v>
      </c>
      <c r="G3" s="118">
        <f t="shared" ref="G3:G10" si="0">SUM(F3:F3)</f>
        <v>1</v>
      </c>
      <c r="H3" s="119">
        <f t="shared" ref="H3:H10" si="1">G3*D3</f>
        <v>130000</v>
      </c>
      <c r="I3" s="119">
        <f>D3/E3</f>
        <v>5416.666666666667</v>
      </c>
      <c r="J3" s="129">
        <f t="shared" ref="J3:J10" si="2">H3/E3</f>
        <v>5416.666666666667</v>
      </c>
    </row>
    <row r="4" spans="1:11" ht="19.5" customHeight="1">
      <c r="A4" s="780">
        <v>1</v>
      </c>
      <c r="B4" s="116" t="s">
        <v>53</v>
      </c>
      <c r="C4" s="116" t="s">
        <v>58</v>
      </c>
      <c r="D4" s="117">
        <v>70000</v>
      </c>
      <c r="E4" s="115">
        <v>24</v>
      </c>
      <c r="F4" s="118">
        <v>2</v>
      </c>
      <c r="G4" s="118">
        <f t="shared" si="0"/>
        <v>2</v>
      </c>
      <c r="H4" s="119">
        <f t="shared" si="1"/>
        <v>140000</v>
      </c>
      <c r="I4" s="119">
        <f t="shared" ref="I4:I10" si="3">D4/E4</f>
        <v>2916.6666666666665</v>
      </c>
      <c r="J4" s="129">
        <f t="shared" si="2"/>
        <v>5833.333333333333</v>
      </c>
    </row>
    <row r="5" spans="1:11" ht="19.5" customHeight="1">
      <c r="A5" s="780">
        <v>2</v>
      </c>
      <c r="B5" s="116" t="s">
        <v>262</v>
      </c>
      <c r="C5" s="116" t="s">
        <v>68</v>
      </c>
      <c r="D5" s="117">
        <v>15000</v>
      </c>
      <c r="E5" s="115">
        <v>24</v>
      </c>
      <c r="F5" s="118">
        <v>1</v>
      </c>
      <c r="G5" s="118">
        <f t="shared" si="0"/>
        <v>1</v>
      </c>
      <c r="H5" s="119">
        <f t="shared" si="1"/>
        <v>15000</v>
      </c>
      <c r="I5" s="119">
        <f t="shared" si="3"/>
        <v>625</v>
      </c>
      <c r="J5" s="129">
        <f t="shared" si="2"/>
        <v>625</v>
      </c>
    </row>
    <row r="6" spans="1:11" ht="19.5" customHeight="1">
      <c r="A6" s="781">
        <v>3</v>
      </c>
      <c r="B6" s="116" t="s">
        <v>54</v>
      </c>
      <c r="C6" s="116" t="s">
        <v>59</v>
      </c>
      <c r="D6" s="117">
        <v>70000</v>
      </c>
      <c r="E6" s="115">
        <v>24</v>
      </c>
      <c r="F6" s="118">
        <v>1</v>
      </c>
      <c r="G6" s="118">
        <f t="shared" si="0"/>
        <v>1</v>
      </c>
      <c r="H6" s="119">
        <f t="shared" si="1"/>
        <v>70000</v>
      </c>
      <c r="I6" s="119">
        <f t="shared" si="3"/>
        <v>2916.6666666666665</v>
      </c>
      <c r="J6" s="129">
        <f t="shared" si="2"/>
        <v>2916.6666666666665</v>
      </c>
    </row>
    <row r="7" spans="1:11" ht="19.5" customHeight="1">
      <c r="A7" s="780">
        <v>4</v>
      </c>
      <c r="B7" s="116" t="s">
        <v>55</v>
      </c>
      <c r="C7" s="116" t="s">
        <v>60</v>
      </c>
      <c r="D7" s="117">
        <v>20000</v>
      </c>
      <c r="E7" s="115">
        <v>24</v>
      </c>
      <c r="F7" s="118">
        <v>2</v>
      </c>
      <c r="G7" s="118">
        <f t="shared" si="0"/>
        <v>2</v>
      </c>
      <c r="H7" s="119">
        <f t="shared" si="1"/>
        <v>40000</v>
      </c>
      <c r="I7" s="119">
        <f t="shared" si="3"/>
        <v>833.33333333333337</v>
      </c>
      <c r="J7" s="129">
        <f t="shared" si="2"/>
        <v>1666.6666666666667</v>
      </c>
    </row>
    <row r="8" spans="1:11" ht="19.5" customHeight="1">
      <c r="A8" s="780">
        <v>5</v>
      </c>
      <c r="B8" s="116" t="s">
        <v>56</v>
      </c>
      <c r="C8" s="116" t="s">
        <v>61</v>
      </c>
      <c r="D8" s="117">
        <v>5000</v>
      </c>
      <c r="E8" s="115">
        <v>12</v>
      </c>
      <c r="F8" s="118">
        <v>10</v>
      </c>
      <c r="G8" s="118">
        <f t="shared" si="0"/>
        <v>10</v>
      </c>
      <c r="H8" s="119">
        <f t="shared" si="1"/>
        <v>50000</v>
      </c>
      <c r="I8" s="119">
        <f>D8/E8</f>
        <v>416.66666666666669</v>
      </c>
      <c r="J8" s="129">
        <f t="shared" si="2"/>
        <v>4166.666666666667</v>
      </c>
    </row>
    <row r="9" spans="1:11" ht="19.5" customHeight="1">
      <c r="A9" s="781">
        <v>6</v>
      </c>
      <c r="B9" s="116" t="s">
        <v>263</v>
      </c>
      <c r="C9" s="116" t="s">
        <v>67</v>
      </c>
      <c r="D9" s="117">
        <v>10000</v>
      </c>
      <c r="E9" s="115">
        <v>12</v>
      </c>
      <c r="F9" s="118">
        <v>2</v>
      </c>
      <c r="G9" s="118">
        <f t="shared" si="0"/>
        <v>2</v>
      </c>
      <c r="H9" s="119">
        <f t="shared" si="1"/>
        <v>20000</v>
      </c>
      <c r="I9" s="119">
        <f t="shared" si="3"/>
        <v>833.33333333333337</v>
      </c>
      <c r="J9" s="129">
        <f t="shared" si="2"/>
        <v>1666.6666666666667</v>
      </c>
    </row>
    <row r="10" spans="1:11" ht="19.5" customHeight="1">
      <c r="A10" s="780">
        <v>7</v>
      </c>
      <c r="B10" s="116" t="s">
        <v>57</v>
      </c>
      <c r="C10" s="116" t="s">
        <v>62</v>
      </c>
      <c r="D10" s="117">
        <v>1000</v>
      </c>
      <c r="E10" s="115">
        <v>12</v>
      </c>
      <c r="F10" s="118">
        <v>10</v>
      </c>
      <c r="G10" s="118">
        <f t="shared" si="0"/>
        <v>10</v>
      </c>
      <c r="H10" s="119">
        <f t="shared" si="1"/>
        <v>10000</v>
      </c>
      <c r="I10" s="119">
        <f t="shared" si="3"/>
        <v>83.333333333333329</v>
      </c>
      <c r="J10" s="129">
        <f t="shared" si="2"/>
        <v>833.33333333333337</v>
      </c>
    </row>
    <row r="11" spans="1:11" ht="19.5" customHeight="1">
      <c r="A11" s="782" t="s">
        <v>5</v>
      </c>
      <c r="B11" s="120"/>
      <c r="C11" s="120"/>
      <c r="D11" s="121"/>
      <c r="E11" s="122"/>
      <c r="F11" s="123"/>
      <c r="G11" s="123"/>
      <c r="H11" s="124">
        <f>SUM(H4:H10)</f>
        <v>345000</v>
      </c>
      <c r="I11" s="124"/>
      <c r="J11" s="783">
        <f>SUM(J3:J10)</f>
        <v>23125</v>
      </c>
    </row>
    <row r="12" spans="1:11" ht="19.5" customHeight="1">
      <c r="A12" s="125"/>
      <c r="B12" s="116" t="s">
        <v>264</v>
      </c>
      <c r="C12" s="126"/>
      <c r="D12" s="127"/>
      <c r="E12" s="115"/>
      <c r="F12" s="127"/>
      <c r="G12" s="127"/>
      <c r="H12" s="127"/>
      <c r="I12" s="128"/>
      <c r="J12" s="129">
        <f>J11*20%</f>
        <v>4625</v>
      </c>
    </row>
    <row r="13" spans="1:11" ht="19.5" customHeight="1">
      <c r="A13" s="125"/>
      <c r="B13" s="116" t="s">
        <v>16</v>
      </c>
      <c r="C13" s="126"/>
      <c r="D13" s="127"/>
      <c r="E13" s="115"/>
      <c r="F13" s="127"/>
      <c r="G13" s="127"/>
      <c r="H13" s="127"/>
      <c r="I13" s="128"/>
      <c r="J13" s="129">
        <f>J11*12%</f>
        <v>2775</v>
      </c>
    </row>
    <row r="14" spans="1:11" ht="19.5" customHeight="1" thickBot="1">
      <c r="A14" s="130" t="s">
        <v>265</v>
      </c>
      <c r="B14" s="131"/>
      <c r="C14" s="131"/>
      <c r="D14" s="132"/>
      <c r="E14" s="133"/>
      <c r="F14" s="132"/>
      <c r="G14" s="132"/>
      <c r="H14" s="132"/>
      <c r="I14" s="134"/>
      <c r="J14" s="784">
        <f>SUM(J11:J13)</f>
        <v>30525</v>
      </c>
    </row>
    <row r="15" spans="1:11" ht="19.5" customHeight="1">
      <c r="A15" s="785"/>
      <c r="J15" s="786"/>
    </row>
    <row r="16" spans="1:11" ht="19.5" customHeight="1">
      <c r="A16" s="135" t="s">
        <v>305</v>
      </c>
      <c r="B16" s="136"/>
      <c r="C16" s="136"/>
      <c r="D16" s="136"/>
      <c r="E16" s="136"/>
      <c r="F16" s="136"/>
      <c r="G16" s="136"/>
      <c r="H16" s="136"/>
      <c r="I16" s="136"/>
      <c r="J16" s="787"/>
    </row>
    <row r="17" spans="1:10" ht="19.5" customHeight="1">
      <c r="A17" s="788" t="s">
        <v>266</v>
      </c>
      <c r="B17" s="138" t="s">
        <v>267</v>
      </c>
      <c r="C17" s="139"/>
      <c r="D17" s="139"/>
      <c r="E17" s="137" t="s">
        <v>268</v>
      </c>
      <c r="F17" s="140" t="s">
        <v>214</v>
      </c>
      <c r="G17" s="141" t="s">
        <v>86</v>
      </c>
      <c r="H17" s="137" t="s">
        <v>269</v>
      </c>
      <c r="I17" s="137"/>
      <c r="J17" s="789"/>
    </row>
    <row r="18" spans="1:10" ht="19.5" customHeight="1">
      <c r="A18" s="780">
        <v>1</v>
      </c>
      <c r="B18" s="399" t="s">
        <v>24</v>
      </c>
      <c r="C18" s="126"/>
      <c r="D18" s="126"/>
      <c r="E18" s="115">
        <v>2000</v>
      </c>
      <c r="F18" s="126"/>
      <c r="G18" s="118">
        <f>5+5</f>
        <v>10</v>
      </c>
      <c r="H18" s="142">
        <f>G18*E18</f>
        <v>20000</v>
      </c>
      <c r="I18" s="142"/>
      <c r="J18" s="129"/>
    </row>
    <row r="19" spans="1:10" ht="19.5" customHeight="1">
      <c r="A19" s="780">
        <v>2</v>
      </c>
      <c r="B19" s="399" t="s">
        <v>23</v>
      </c>
      <c r="C19" s="126"/>
      <c r="D19" s="126"/>
      <c r="E19" s="115">
        <v>800</v>
      </c>
      <c r="F19" s="126"/>
      <c r="G19" s="118">
        <f>G18</f>
        <v>10</v>
      </c>
      <c r="H19" s="142">
        <f>G19*E19</f>
        <v>8000</v>
      </c>
      <c r="I19" s="142"/>
      <c r="J19" s="129"/>
    </row>
    <row r="20" spans="1:10" ht="19.5" customHeight="1">
      <c r="A20" s="780">
        <v>3</v>
      </c>
      <c r="B20" s="399" t="s">
        <v>100</v>
      </c>
      <c r="C20" s="126"/>
      <c r="D20" s="126"/>
      <c r="E20" s="115">
        <v>1000</v>
      </c>
      <c r="F20" s="126"/>
      <c r="G20" s="118">
        <v>15</v>
      </c>
      <c r="H20" s="142">
        <f>G20*E20</f>
        <v>15000</v>
      </c>
      <c r="I20" s="142"/>
      <c r="J20" s="129"/>
    </row>
    <row r="21" spans="1:10" ht="19.5" customHeight="1">
      <c r="A21" s="780"/>
      <c r="B21" s="399" t="s">
        <v>101</v>
      </c>
      <c r="C21" s="126"/>
      <c r="D21" s="126"/>
      <c r="E21" s="115">
        <v>250</v>
      </c>
      <c r="F21" s="126"/>
      <c r="G21" s="118">
        <v>2</v>
      </c>
      <c r="H21" s="142">
        <f>G21*E21</f>
        <v>500</v>
      </c>
      <c r="I21" s="401"/>
      <c r="J21" s="790"/>
    </row>
    <row r="22" spans="1:10" ht="19.5" customHeight="1" thickBot="1">
      <c r="A22" s="791"/>
      <c r="B22" s="792" t="s">
        <v>200</v>
      </c>
      <c r="C22" s="793"/>
      <c r="D22" s="793"/>
      <c r="E22" s="794"/>
      <c r="F22" s="793"/>
      <c r="G22" s="795">
        <f t="shared" ref="G22:H22" si="4">SUM(G18:G20)</f>
        <v>35</v>
      </c>
      <c r="H22" s="795">
        <f t="shared" si="4"/>
        <v>43000</v>
      </c>
      <c r="I22" s="796"/>
      <c r="J22" s="784"/>
    </row>
  </sheetData>
  <hyperlinks>
    <hyperlink ref="K2" location="INDEX!A1" display="INDEX" xr:uid="{00000000-0004-0000-1000-000000000000}"/>
  </hyperlinks>
  <pageMargins left="0.7" right="0.7" top="0.75" bottom="0.75" header="0.3" footer="0.3"/>
  <pageSetup orientation="landscape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FF00"/>
    <pageSetUpPr fitToPage="1"/>
  </sheetPr>
  <dimension ref="A1:W41"/>
  <sheetViews>
    <sheetView tabSelected="1" topLeftCell="A10" zoomScale="85" zoomScaleNormal="85" workbookViewId="0">
      <selection activeCell="X15" sqref="X15"/>
    </sheetView>
  </sheetViews>
  <sheetFormatPr defaultColWidth="9.140625" defaultRowHeight="15.75"/>
  <cols>
    <col min="1" max="1" width="46.42578125" style="493" customWidth="1"/>
    <col min="2" max="5" width="6.5703125" style="493" customWidth="1"/>
    <col min="6" max="6" width="7.140625" style="493" bestFit="1" customWidth="1"/>
    <col min="7" max="8" width="7" style="493" bestFit="1" customWidth="1"/>
    <col min="9" max="9" width="6.5703125" style="493" customWidth="1"/>
    <col min="10" max="10" width="7" style="493" bestFit="1" customWidth="1"/>
    <col min="11" max="11" width="7.85546875" style="493" bestFit="1" customWidth="1"/>
    <col min="12" max="12" width="6.5703125" style="493" customWidth="1"/>
    <col min="13" max="13" width="7" style="493" bestFit="1" customWidth="1"/>
    <col min="14" max="14" width="6.5703125" style="493" customWidth="1"/>
    <col min="15" max="15" width="7.7109375" style="493" bestFit="1" customWidth="1"/>
    <col min="16" max="16" width="7.85546875" style="493" bestFit="1" customWidth="1"/>
    <col min="17" max="20" width="7.7109375" style="493" bestFit="1" customWidth="1"/>
    <col min="21" max="21" width="7.7109375" style="493" customWidth="1"/>
    <col min="22" max="16384" width="9.140625" style="493"/>
  </cols>
  <sheetData>
    <row r="1" spans="1:23" ht="33" customHeight="1" thickBot="1">
      <c r="A1" s="1097" t="s">
        <v>803</v>
      </c>
      <c r="B1" s="1098"/>
      <c r="C1" s="1098"/>
      <c r="D1" s="1098"/>
      <c r="E1" s="1098"/>
      <c r="F1" s="1098"/>
      <c r="G1" s="1098"/>
      <c r="H1" s="1098"/>
      <c r="I1" s="1098"/>
      <c r="J1" s="1098"/>
      <c r="K1" s="1098"/>
      <c r="L1" s="1098"/>
      <c r="M1" s="1098"/>
      <c r="N1" s="1098"/>
      <c r="O1" s="1098"/>
      <c r="P1" s="1098"/>
      <c r="Q1" s="1098"/>
      <c r="R1" s="1098"/>
      <c r="S1" s="1098"/>
      <c r="T1" s="1098"/>
      <c r="U1" s="1099"/>
    </row>
    <row r="2" spans="1:23" ht="31.5" customHeight="1" thickBot="1">
      <c r="A2" s="494" t="s">
        <v>313</v>
      </c>
      <c r="B2" s="1100"/>
      <c r="C2" s="1101"/>
      <c r="D2" s="1101"/>
      <c r="E2" s="1102"/>
      <c r="F2" s="1100"/>
      <c r="G2" s="1101"/>
      <c r="H2" s="1101"/>
      <c r="I2" s="1103"/>
      <c r="J2" s="1104" t="s">
        <v>314</v>
      </c>
      <c r="K2" s="1101"/>
      <c r="L2" s="1101"/>
      <c r="M2" s="1102"/>
      <c r="N2" s="1105" t="s">
        <v>315</v>
      </c>
      <c r="O2" s="1106"/>
      <c r="P2" s="1106"/>
      <c r="Q2" s="1107"/>
      <c r="R2" s="1105" t="s">
        <v>316</v>
      </c>
      <c r="S2" s="1106"/>
      <c r="T2" s="1106"/>
      <c r="U2" s="1108"/>
      <c r="V2" s="495" t="s">
        <v>336</v>
      </c>
    </row>
    <row r="3" spans="1:23" ht="15.75" customHeight="1">
      <c r="A3" s="496" t="s">
        <v>594</v>
      </c>
      <c r="B3" s="1116"/>
      <c r="C3" s="1116"/>
      <c r="D3" s="1116"/>
      <c r="E3" s="1116"/>
      <c r="F3" s="1117"/>
      <c r="G3" s="1117"/>
      <c r="H3" s="1117"/>
      <c r="I3" s="1117"/>
      <c r="J3" s="1118">
        <v>2.6742048</v>
      </c>
      <c r="K3" s="1118"/>
      <c r="L3" s="1118"/>
      <c r="M3" s="1118"/>
      <c r="N3" s="1119">
        <v>10</v>
      </c>
      <c r="O3" s="1119"/>
      <c r="P3" s="1119"/>
      <c r="Q3" s="1119"/>
      <c r="R3" s="1120">
        <v>0.25</v>
      </c>
      <c r="S3" s="1120"/>
      <c r="T3" s="1120"/>
      <c r="U3" s="1121"/>
      <c r="W3" s="497"/>
    </row>
    <row r="4" spans="1:23" ht="15.75" customHeight="1">
      <c r="A4" s="496" t="s">
        <v>297</v>
      </c>
      <c r="B4" s="1116"/>
      <c r="C4" s="1116"/>
      <c r="D4" s="1116"/>
      <c r="E4" s="1116"/>
      <c r="F4" s="1117"/>
      <c r="G4" s="1117"/>
      <c r="H4" s="1117"/>
      <c r="I4" s="1117"/>
      <c r="J4" s="1118">
        <v>1.5694631000000001</v>
      </c>
      <c r="K4" s="1118"/>
      <c r="L4" s="1118"/>
      <c r="M4" s="1118"/>
      <c r="N4" s="1119">
        <v>15</v>
      </c>
      <c r="O4" s="1119"/>
      <c r="P4" s="1119"/>
      <c r="Q4" s="1119"/>
      <c r="R4" s="1120">
        <v>0.5</v>
      </c>
      <c r="S4" s="1120"/>
      <c r="T4" s="1120"/>
      <c r="U4" s="1121"/>
      <c r="W4" s="497"/>
    </row>
    <row r="5" spans="1:23" ht="15.75" customHeight="1">
      <c r="A5" s="496" t="s">
        <v>586</v>
      </c>
      <c r="B5" s="1116"/>
      <c r="C5" s="1116"/>
      <c r="D5" s="1116"/>
      <c r="E5" s="1116"/>
      <c r="F5" s="1117"/>
      <c r="G5" s="1117"/>
      <c r="H5" s="1117"/>
      <c r="I5" s="1117"/>
      <c r="J5" s="1118">
        <v>3.0892181999999999</v>
      </c>
      <c r="K5" s="1118"/>
      <c r="L5" s="1118"/>
      <c r="M5" s="1118"/>
      <c r="N5" s="1119">
        <v>12</v>
      </c>
      <c r="O5" s="1119"/>
      <c r="P5" s="1119"/>
      <c r="Q5" s="1119"/>
      <c r="R5" s="1120">
        <v>0.4</v>
      </c>
      <c r="S5" s="1120"/>
      <c r="T5" s="1120"/>
      <c r="U5" s="1121"/>
      <c r="W5" s="497"/>
    </row>
    <row r="6" spans="1:23" ht="15.75" customHeight="1">
      <c r="A6" s="496" t="s">
        <v>588</v>
      </c>
      <c r="B6" s="1116"/>
      <c r="C6" s="1116"/>
      <c r="D6" s="1116"/>
      <c r="E6" s="1116"/>
      <c r="F6" s="1117"/>
      <c r="G6" s="1117"/>
      <c r="H6" s="1117"/>
      <c r="I6" s="1117"/>
      <c r="J6" s="1118">
        <v>0.88800000000000001</v>
      </c>
      <c r="K6" s="1118"/>
      <c r="L6" s="1118"/>
      <c r="M6" s="1118"/>
      <c r="N6" s="1119">
        <v>20</v>
      </c>
      <c r="O6" s="1119"/>
      <c r="P6" s="1119"/>
      <c r="Q6" s="1119"/>
      <c r="R6" s="1120">
        <v>0.5</v>
      </c>
      <c r="S6" s="1120"/>
      <c r="T6" s="1120"/>
      <c r="U6" s="1121"/>
      <c r="W6" s="497"/>
    </row>
    <row r="7" spans="1:23" ht="15.75" customHeight="1">
      <c r="A7" s="496" t="s">
        <v>215</v>
      </c>
      <c r="B7" s="1116"/>
      <c r="C7" s="1116"/>
      <c r="D7" s="1116"/>
      <c r="E7" s="1116"/>
      <c r="F7" s="1117"/>
      <c r="G7" s="1117"/>
      <c r="H7" s="1117"/>
      <c r="I7" s="1117"/>
      <c r="J7" s="1118">
        <f>6.3404717*60%</f>
        <v>3.8042830199999997</v>
      </c>
      <c r="K7" s="1118"/>
      <c r="L7" s="1118"/>
      <c r="M7" s="1118"/>
      <c r="N7" s="1119">
        <v>12</v>
      </c>
      <c r="O7" s="1119"/>
      <c r="P7" s="1119"/>
      <c r="Q7" s="1119"/>
      <c r="R7" s="1120">
        <v>0.3</v>
      </c>
      <c r="S7" s="1120"/>
      <c r="T7" s="1120"/>
      <c r="U7" s="1121"/>
      <c r="W7" s="497"/>
    </row>
    <row r="8" spans="1:23" ht="15.75" customHeight="1" thickBot="1">
      <c r="A8" s="496" t="s">
        <v>593</v>
      </c>
      <c r="B8" s="1116"/>
      <c r="C8" s="1116"/>
      <c r="D8" s="1116"/>
      <c r="E8" s="1116"/>
      <c r="F8" s="1117"/>
      <c r="G8" s="1117"/>
      <c r="H8" s="1117"/>
      <c r="I8" s="1117"/>
      <c r="J8" s="1118">
        <v>4.7743408000000001</v>
      </c>
      <c r="K8" s="1118"/>
      <c r="L8" s="1118"/>
      <c r="M8" s="1118"/>
      <c r="N8" s="1119">
        <v>15</v>
      </c>
      <c r="O8" s="1119"/>
      <c r="P8" s="1119"/>
      <c r="Q8" s="1119"/>
      <c r="R8" s="1120">
        <v>0.3</v>
      </c>
      <c r="S8" s="1120"/>
      <c r="T8" s="1120"/>
      <c r="U8" s="1121"/>
      <c r="W8" s="497"/>
    </row>
    <row r="9" spans="1:23" ht="15.75" customHeight="1" thickBot="1">
      <c r="A9" s="498" t="s">
        <v>317</v>
      </c>
      <c r="B9" s="1111"/>
      <c r="C9" s="1111"/>
      <c r="D9" s="1111"/>
      <c r="E9" s="1111"/>
      <c r="F9" s="1112"/>
      <c r="G9" s="1112"/>
      <c r="H9" s="1112"/>
      <c r="I9" s="1112"/>
      <c r="J9" s="1111">
        <f>SUM(J3:M8)</f>
        <v>16.799509919999998</v>
      </c>
      <c r="K9" s="1111"/>
      <c r="L9" s="1111"/>
      <c r="M9" s="1111"/>
      <c r="N9" s="1113"/>
      <c r="O9" s="1113"/>
      <c r="P9" s="1113"/>
      <c r="Q9" s="1113"/>
      <c r="R9" s="1114">
        <f>AVERAGE(R3:U8)</f>
        <v>0.375</v>
      </c>
      <c r="S9" s="1114"/>
      <c r="T9" s="1114"/>
      <c r="U9" s="1115"/>
    </row>
    <row r="10" spans="1:23" ht="15.75" customHeight="1">
      <c r="A10" s="499"/>
      <c r="B10" s="500"/>
      <c r="C10" s="501"/>
      <c r="D10" s="501"/>
      <c r="E10" s="501"/>
      <c r="F10" s="501"/>
      <c r="G10" s="501"/>
      <c r="H10" s="501"/>
      <c r="I10" s="501"/>
      <c r="J10" s="501"/>
      <c r="K10" s="501"/>
      <c r="L10" s="501"/>
      <c r="M10" s="501"/>
      <c r="N10" s="501"/>
      <c r="O10" s="501"/>
      <c r="P10" s="501"/>
      <c r="Q10" s="501"/>
      <c r="R10" s="501"/>
      <c r="S10" s="501"/>
      <c r="T10" s="501"/>
      <c r="U10" s="502"/>
    </row>
    <row r="11" spans="1:23" ht="15.75" customHeight="1">
      <c r="A11" s="503" t="s">
        <v>318</v>
      </c>
      <c r="B11" s="1109">
        <f>'[8]Area Details'!E4</f>
        <v>211750</v>
      </c>
      <c r="C11" s="1110"/>
      <c r="D11" s="501"/>
      <c r="E11" s="501"/>
      <c r="F11" s="501"/>
      <c r="G11" s="501"/>
      <c r="H11" s="501"/>
      <c r="I11" s="501"/>
      <c r="J11" s="501"/>
      <c r="K11" s="501"/>
      <c r="L11" s="501"/>
      <c r="M11" s="501"/>
      <c r="N11" s="501"/>
      <c r="O11" s="501"/>
      <c r="P11" s="501"/>
      <c r="Q11" s="501"/>
      <c r="R11" s="501"/>
      <c r="S11" s="501"/>
      <c r="T11" s="501"/>
      <c r="U11" s="502"/>
    </row>
    <row r="12" spans="1:23" ht="15.75" customHeight="1">
      <c r="A12" s="504" t="s">
        <v>319</v>
      </c>
      <c r="B12" s="505">
        <v>0.04</v>
      </c>
      <c r="C12" s="501"/>
      <c r="D12" s="501"/>
      <c r="E12" s="501"/>
      <c r="F12" s="501"/>
      <c r="G12" s="501"/>
      <c r="H12" s="501"/>
      <c r="I12" s="501"/>
      <c r="J12" s="501"/>
      <c r="K12" s="501"/>
      <c r="L12" s="501"/>
      <c r="M12" s="501"/>
      <c r="N12" s="501"/>
      <c r="O12" s="501"/>
      <c r="P12" s="501"/>
      <c r="Q12" s="501"/>
      <c r="R12" s="501"/>
      <c r="S12" s="501"/>
      <c r="T12" s="501"/>
      <c r="U12" s="502"/>
    </row>
    <row r="13" spans="1:23" ht="15.75" customHeight="1" thickBot="1">
      <c r="A13" s="504"/>
      <c r="B13" s="501"/>
      <c r="C13" s="501"/>
      <c r="D13" s="501"/>
      <c r="E13" s="501"/>
      <c r="F13" s="501"/>
      <c r="G13" s="501"/>
      <c r="H13" s="501"/>
      <c r="I13" s="501"/>
      <c r="J13" s="501"/>
      <c r="K13" s="501"/>
      <c r="L13" s="501"/>
      <c r="M13" s="501"/>
      <c r="N13" s="501"/>
      <c r="O13" s="501"/>
      <c r="P13" s="501"/>
      <c r="Q13" s="501"/>
      <c r="R13" s="501"/>
      <c r="S13" s="501"/>
      <c r="T13" s="501"/>
      <c r="U13" s="502"/>
    </row>
    <row r="14" spans="1:23" ht="15.75" customHeight="1">
      <c r="A14" s="506" t="s">
        <v>320</v>
      </c>
      <c r="B14" s="507">
        <v>1</v>
      </c>
      <c r="C14" s="507">
        <v>2</v>
      </c>
      <c r="D14" s="507">
        <v>3</v>
      </c>
      <c r="E14" s="507">
        <v>4</v>
      </c>
      <c r="F14" s="507">
        <v>5</v>
      </c>
      <c r="G14" s="507">
        <v>6</v>
      </c>
      <c r="H14" s="507">
        <v>7</v>
      </c>
      <c r="I14" s="507">
        <v>8</v>
      </c>
      <c r="J14" s="507">
        <v>9</v>
      </c>
      <c r="K14" s="507">
        <v>10</v>
      </c>
      <c r="L14" s="507">
        <v>11</v>
      </c>
      <c r="M14" s="507">
        <v>12</v>
      </c>
      <c r="N14" s="507">
        <v>13</v>
      </c>
      <c r="O14" s="507">
        <v>14</v>
      </c>
      <c r="P14" s="507">
        <v>15</v>
      </c>
      <c r="Q14" s="507">
        <v>16</v>
      </c>
      <c r="R14" s="507">
        <v>17</v>
      </c>
      <c r="S14" s="507">
        <v>18</v>
      </c>
      <c r="T14" s="507">
        <v>19</v>
      </c>
      <c r="U14" s="508">
        <v>20</v>
      </c>
    </row>
    <row r="15" spans="1:23" ht="15.75" customHeight="1">
      <c r="A15" s="509" t="str">
        <f t="shared" ref="A15:A20" si="0">A3</f>
        <v>FAS,CCTV,IBMS&amp;PAS</v>
      </c>
      <c r="B15" s="491" t="str">
        <f t="shared" ref="B15:U15" si="1">IF(ISNUMBER(SEARCH(".",B14/$N$3)),"0",($R$3*$J$3*(1+$B$12)^B14))</f>
        <v>0</v>
      </c>
      <c r="C15" s="491" t="str">
        <f t="shared" si="1"/>
        <v>0</v>
      </c>
      <c r="D15" s="491" t="str">
        <f t="shared" si="1"/>
        <v>0</v>
      </c>
      <c r="E15" s="491" t="str">
        <f t="shared" si="1"/>
        <v>0</v>
      </c>
      <c r="F15" s="491" t="str">
        <f t="shared" si="1"/>
        <v>0</v>
      </c>
      <c r="G15" s="491" t="str">
        <f t="shared" si="1"/>
        <v>0</v>
      </c>
      <c r="H15" s="491" t="str">
        <f t="shared" si="1"/>
        <v>0</v>
      </c>
      <c r="I15" s="491" t="str">
        <f t="shared" si="1"/>
        <v>0</v>
      </c>
      <c r="J15" s="491" t="str">
        <f t="shared" si="1"/>
        <v>0</v>
      </c>
      <c r="K15" s="491">
        <f t="shared" si="1"/>
        <v>0.98961909297530115</v>
      </c>
      <c r="L15" s="491" t="str">
        <f t="shared" si="1"/>
        <v>0</v>
      </c>
      <c r="M15" s="491" t="str">
        <f t="shared" si="1"/>
        <v>0</v>
      </c>
      <c r="N15" s="491" t="str">
        <f t="shared" si="1"/>
        <v>0</v>
      </c>
      <c r="O15" s="491" t="str">
        <f t="shared" si="1"/>
        <v>0</v>
      </c>
      <c r="P15" s="491" t="str">
        <f t="shared" si="1"/>
        <v>0</v>
      </c>
      <c r="Q15" s="491" t="str">
        <f t="shared" si="1"/>
        <v>0</v>
      </c>
      <c r="R15" s="491" t="str">
        <f t="shared" si="1"/>
        <v>0</v>
      </c>
      <c r="S15" s="491" t="str">
        <f t="shared" si="1"/>
        <v>0</v>
      </c>
      <c r="T15" s="491" t="str">
        <f t="shared" si="1"/>
        <v>0</v>
      </c>
      <c r="U15" s="492">
        <f t="shared" si="1"/>
        <v>1.4648780066227653</v>
      </c>
    </row>
    <row r="16" spans="1:23" ht="15.75" customHeight="1">
      <c r="A16" s="509" t="str">
        <f t="shared" si="0"/>
        <v>Chillers</v>
      </c>
      <c r="B16" s="491" t="str">
        <f t="shared" ref="B16:U16" si="2">IF(ISNUMBER(SEARCH(".",B14/$N$4)),"0",($R$4*$J$4*(1+$B$12)^B14))</f>
        <v>0</v>
      </c>
      <c r="C16" s="491" t="str">
        <f t="shared" si="2"/>
        <v>0</v>
      </c>
      <c r="D16" s="491" t="str">
        <f t="shared" si="2"/>
        <v>0</v>
      </c>
      <c r="E16" s="491" t="str">
        <f t="shared" si="2"/>
        <v>0</v>
      </c>
      <c r="F16" s="491" t="str">
        <f t="shared" si="2"/>
        <v>0</v>
      </c>
      <c r="G16" s="491" t="str">
        <f t="shared" si="2"/>
        <v>0</v>
      </c>
      <c r="H16" s="491" t="str">
        <f t="shared" si="2"/>
        <v>0</v>
      </c>
      <c r="I16" s="491" t="str">
        <f t="shared" si="2"/>
        <v>0</v>
      </c>
      <c r="J16" s="491" t="str">
        <f t="shared" si="2"/>
        <v>0</v>
      </c>
      <c r="K16" s="491" t="str">
        <f t="shared" si="2"/>
        <v>0</v>
      </c>
      <c r="L16" s="491" t="str">
        <f t="shared" si="2"/>
        <v>0</v>
      </c>
      <c r="M16" s="491" t="str">
        <f t="shared" si="2"/>
        <v>0</v>
      </c>
      <c r="N16" s="491" t="str">
        <f t="shared" si="2"/>
        <v>0</v>
      </c>
      <c r="O16" s="491" t="str">
        <f t="shared" si="2"/>
        <v>0</v>
      </c>
      <c r="P16" s="491">
        <f t="shared" si="2"/>
        <v>1.4132571885388765</v>
      </c>
      <c r="Q16" s="491" t="str">
        <f t="shared" si="2"/>
        <v>0</v>
      </c>
      <c r="R16" s="491" t="str">
        <f t="shared" si="2"/>
        <v>0</v>
      </c>
      <c r="S16" s="491" t="str">
        <f t="shared" si="2"/>
        <v>0</v>
      </c>
      <c r="T16" s="491" t="str">
        <f t="shared" si="2"/>
        <v>0</v>
      </c>
      <c r="U16" s="492" t="str">
        <f t="shared" si="2"/>
        <v>0</v>
      </c>
    </row>
    <row r="17" spans="1:22" ht="15.75" customHeight="1">
      <c r="A17" s="509" t="str">
        <f t="shared" si="0"/>
        <v>Package Units</v>
      </c>
      <c r="B17" s="491" t="str">
        <f t="shared" ref="B17:U17" si="3">IF(ISNUMBER(SEARCH(".",B14/$N$5)),"0",($R$5*$J$5*(1+$B$12)^B14))</f>
        <v>0</v>
      </c>
      <c r="C17" s="491" t="str">
        <f t="shared" si="3"/>
        <v>0</v>
      </c>
      <c r="D17" s="491" t="str">
        <f t="shared" si="3"/>
        <v>0</v>
      </c>
      <c r="E17" s="491" t="str">
        <f t="shared" si="3"/>
        <v>0</v>
      </c>
      <c r="F17" s="491" t="str">
        <f t="shared" si="3"/>
        <v>0</v>
      </c>
      <c r="G17" s="491" t="str">
        <f t="shared" si="3"/>
        <v>0</v>
      </c>
      <c r="H17" s="491" t="str">
        <f t="shared" si="3"/>
        <v>0</v>
      </c>
      <c r="I17" s="491" t="str">
        <f t="shared" si="3"/>
        <v>0</v>
      </c>
      <c r="J17" s="491" t="str">
        <f t="shared" si="3"/>
        <v>0</v>
      </c>
      <c r="K17" s="491" t="str">
        <f t="shared" si="3"/>
        <v>0</v>
      </c>
      <c r="L17" s="491" t="str">
        <f t="shared" si="3"/>
        <v>0</v>
      </c>
      <c r="M17" s="491">
        <f t="shared" si="3"/>
        <v>1.9783751473542643</v>
      </c>
      <c r="N17" s="491" t="str">
        <f t="shared" si="3"/>
        <v>0</v>
      </c>
      <c r="O17" s="491" t="str">
        <f t="shared" si="3"/>
        <v>0</v>
      </c>
      <c r="P17" s="491" t="str">
        <f t="shared" si="3"/>
        <v>0</v>
      </c>
      <c r="Q17" s="491" t="str">
        <f t="shared" si="3"/>
        <v>0</v>
      </c>
      <c r="R17" s="491" t="str">
        <f t="shared" si="3"/>
        <v>0</v>
      </c>
      <c r="S17" s="491" t="str">
        <f t="shared" si="3"/>
        <v>0</v>
      </c>
      <c r="T17" s="491" t="str">
        <f t="shared" si="3"/>
        <v>0</v>
      </c>
      <c r="U17" s="492" t="str">
        <f t="shared" si="3"/>
        <v>0</v>
      </c>
    </row>
    <row r="18" spans="1:22" ht="15.75" customHeight="1">
      <c r="A18" s="509" t="str">
        <f t="shared" si="0"/>
        <v>33KV Transformers</v>
      </c>
      <c r="B18" s="491" t="str">
        <f t="shared" ref="B18:U18" si="4">IF(ISNUMBER(SEARCH(".",B14/$N$6)),"0",($R$6*$J$6*(1+$B$12)^B14))</f>
        <v>0</v>
      </c>
      <c r="C18" s="491" t="str">
        <f t="shared" si="4"/>
        <v>0</v>
      </c>
      <c r="D18" s="491" t="str">
        <f t="shared" si="4"/>
        <v>0</v>
      </c>
      <c r="E18" s="491" t="str">
        <f t="shared" si="4"/>
        <v>0</v>
      </c>
      <c r="F18" s="491" t="str">
        <f t="shared" si="4"/>
        <v>0</v>
      </c>
      <c r="G18" s="491" t="str">
        <f t="shared" si="4"/>
        <v>0</v>
      </c>
      <c r="H18" s="491" t="str">
        <f t="shared" si="4"/>
        <v>0</v>
      </c>
      <c r="I18" s="491" t="str">
        <f t="shared" si="4"/>
        <v>0</v>
      </c>
      <c r="J18" s="491" t="str">
        <f t="shared" si="4"/>
        <v>0</v>
      </c>
      <c r="K18" s="491" t="str">
        <f t="shared" si="4"/>
        <v>0</v>
      </c>
      <c r="L18" s="491" t="str">
        <f t="shared" si="4"/>
        <v>0</v>
      </c>
      <c r="M18" s="491" t="str">
        <f t="shared" si="4"/>
        <v>0</v>
      </c>
      <c r="N18" s="491" t="str">
        <f t="shared" si="4"/>
        <v>0</v>
      </c>
      <c r="O18" s="491" t="str">
        <f t="shared" si="4"/>
        <v>0</v>
      </c>
      <c r="P18" s="491" t="str">
        <f t="shared" si="4"/>
        <v>0</v>
      </c>
      <c r="Q18" s="491" t="str">
        <f t="shared" si="4"/>
        <v>0</v>
      </c>
      <c r="R18" s="491" t="str">
        <f t="shared" si="4"/>
        <v>0</v>
      </c>
      <c r="S18" s="491" t="str">
        <f t="shared" si="4"/>
        <v>0</v>
      </c>
      <c r="T18" s="491" t="str">
        <f t="shared" si="4"/>
        <v>0</v>
      </c>
      <c r="U18" s="492">
        <f t="shared" si="4"/>
        <v>0.97285867550683902</v>
      </c>
    </row>
    <row r="19" spans="1:22" ht="15.75" customHeight="1">
      <c r="A19" s="509" t="str">
        <f t="shared" si="0"/>
        <v>Elevators</v>
      </c>
      <c r="B19" s="491" t="str">
        <f t="shared" ref="B19:U19" si="5">IF(ISNUMBER(SEARCH(".",B14/$N$7)),"0",($R$7*$J$7*(1+$B$12)^B14))</f>
        <v>0</v>
      </c>
      <c r="C19" s="491" t="str">
        <f t="shared" si="5"/>
        <v>0</v>
      </c>
      <c r="D19" s="491" t="str">
        <f t="shared" si="5"/>
        <v>0</v>
      </c>
      <c r="E19" s="491" t="str">
        <f t="shared" si="5"/>
        <v>0</v>
      </c>
      <c r="F19" s="491" t="str">
        <f t="shared" si="5"/>
        <v>0</v>
      </c>
      <c r="G19" s="491" t="str">
        <f t="shared" si="5"/>
        <v>0</v>
      </c>
      <c r="H19" s="491" t="str">
        <f t="shared" si="5"/>
        <v>0</v>
      </c>
      <c r="I19" s="491" t="str">
        <f t="shared" si="5"/>
        <v>0</v>
      </c>
      <c r="J19" s="491" t="str">
        <f t="shared" si="5"/>
        <v>0</v>
      </c>
      <c r="K19" s="491" t="str">
        <f t="shared" si="5"/>
        <v>0</v>
      </c>
      <c r="L19" s="491" t="str">
        <f t="shared" si="5"/>
        <v>0</v>
      </c>
      <c r="M19" s="491">
        <f t="shared" si="5"/>
        <v>1.8272339050709878</v>
      </c>
      <c r="N19" s="491" t="str">
        <f t="shared" si="5"/>
        <v>0</v>
      </c>
      <c r="O19" s="491" t="str">
        <f t="shared" si="5"/>
        <v>0</v>
      </c>
      <c r="P19" s="491" t="str">
        <f t="shared" si="5"/>
        <v>0</v>
      </c>
      <c r="Q19" s="491" t="str">
        <f t="shared" si="5"/>
        <v>0</v>
      </c>
      <c r="R19" s="491" t="str">
        <f t="shared" si="5"/>
        <v>0</v>
      </c>
      <c r="S19" s="491" t="str">
        <f t="shared" si="5"/>
        <v>0</v>
      </c>
      <c r="T19" s="491" t="str">
        <f t="shared" si="5"/>
        <v>0</v>
      </c>
      <c r="U19" s="492" t="str">
        <f t="shared" si="5"/>
        <v>0</v>
      </c>
    </row>
    <row r="20" spans="1:22" ht="15.75" customHeight="1">
      <c r="A20" s="509" t="str">
        <f t="shared" si="0"/>
        <v>Diesel Generators</v>
      </c>
      <c r="B20" s="491" t="str">
        <f t="shared" ref="B20:U20" si="6">IF(ISNUMBER(SEARCH(".",B14/$N$8)),"0",($R$8*$J$8*(1+$B$12)^B14))</f>
        <v>0</v>
      </c>
      <c r="C20" s="491" t="str">
        <f t="shared" si="6"/>
        <v>0</v>
      </c>
      <c r="D20" s="491" t="str">
        <f t="shared" si="6"/>
        <v>0</v>
      </c>
      <c r="E20" s="491" t="str">
        <f t="shared" si="6"/>
        <v>0</v>
      </c>
      <c r="F20" s="491" t="str">
        <f t="shared" si="6"/>
        <v>0</v>
      </c>
      <c r="G20" s="491" t="str">
        <f t="shared" si="6"/>
        <v>0</v>
      </c>
      <c r="H20" s="491" t="str">
        <f t="shared" si="6"/>
        <v>0</v>
      </c>
      <c r="I20" s="491" t="str">
        <f t="shared" si="6"/>
        <v>0</v>
      </c>
      <c r="J20" s="491" t="str">
        <f t="shared" si="6"/>
        <v>0</v>
      </c>
      <c r="K20" s="491" t="str">
        <f t="shared" si="6"/>
        <v>0</v>
      </c>
      <c r="L20" s="491" t="str">
        <f t="shared" si="6"/>
        <v>0</v>
      </c>
      <c r="M20" s="491" t="str">
        <f t="shared" si="6"/>
        <v>0</v>
      </c>
      <c r="N20" s="491" t="str">
        <f t="shared" si="6"/>
        <v>0</v>
      </c>
      <c r="O20" s="491" t="str">
        <f t="shared" si="6"/>
        <v>0</v>
      </c>
      <c r="P20" s="491">
        <f t="shared" si="6"/>
        <v>2.5794954170510094</v>
      </c>
      <c r="Q20" s="491" t="str">
        <f t="shared" si="6"/>
        <v>0</v>
      </c>
      <c r="R20" s="491" t="str">
        <f t="shared" si="6"/>
        <v>0</v>
      </c>
      <c r="S20" s="491" t="str">
        <f t="shared" si="6"/>
        <v>0</v>
      </c>
      <c r="T20" s="491" t="str">
        <f t="shared" si="6"/>
        <v>0</v>
      </c>
      <c r="U20" s="492" t="str">
        <f t="shared" si="6"/>
        <v>0</v>
      </c>
    </row>
    <row r="21" spans="1:22" ht="15.75" customHeight="1">
      <c r="A21" s="510" t="s">
        <v>321</v>
      </c>
      <c r="B21" s="511">
        <f t="shared" ref="B21:U21" si="7">SUM(B15:B20)</f>
        <v>0</v>
      </c>
      <c r="C21" s="511">
        <f t="shared" si="7"/>
        <v>0</v>
      </c>
      <c r="D21" s="511">
        <f t="shared" si="7"/>
        <v>0</v>
      </c>
      <c r="E21" s="511">
        <f t="shared" si="7"/>
        <v>0</v>
      </c>
      <c r="F21" s="511">
        <f t="shared" si="7"/>
        <v>0</v>
      </c>
      <c r="G21" s="511">
        <f t="shared" si="7"/>
        <v>0</v>
      </c>
      <c r="H21" s="511">
        <f t="shared" si="7"/>
        <v>0</v>
      </c>
      <c r="I21" s="511">
        <f t="shared" si="7"/>
        <v>0</v>
      </c>
      <c r="J21" s="511">
        <f t="shared" si="7"/>
        <v>0</v>
      </c>
      <c r="K21" s="511">
        <f t="shared" si="7"/>
        <v>0.98961909297530115</v>
      </c>
      <c r="L21" s="511">
        <f t="shared" si="7"/>
        <v>0</v>
      </c>
      <c r="M21" s="511">
        <f t="shared" si="7"/>
        <v>3.8056090524252522</v>
      </c>
      <c r="N21" s="511">
        <f t="shared" si="7"/>
        <v>0</v>
      </c>
      <c r="O21" s="511">
        <f t="shared" si="7"/>
        <v>0</v>
      </c>
      <c r="P21" s="511">
        <f t="shared" si="7"/>
        <v>3.9927526055898861</v>
      </c>
      <c r="Q21" s="511">
        <f t="shared" si="7"/>
        <v>0</v>
      </c>
      <c r="R21" s="511">
        <f t="shared" si="7"/>
        <v>0</v>
      </c>
      <c r="S21" s="511">
        <f t="shared" si="7"/>
        <v>0</v>
      </c>
      <c r="T21" s="511">
        <f t="shared" si="7"/>
        <v>0</v>
      </c>
      <c r="U21" s="512">
        <f t="shared" si="7"/>
        <v>2.4377366821296045</v>
      </c>
    </row>
    <row r="22" spans="1:22" ht="15.75" customHeight="1">
      <c r="A22" s="504"/>
      <c r="B22" s="501"/>
      <c r="C22" s="501"/>
      <c r="D22" s="501"/>
      <c r="E22" s="501"/>
      <c r="F22" s="501"/>
      <c r="G22" s="501"/>
      <c r="H22" s="501"/>
      <c r="I22" s="501"/>
      <c r="J22" s="501"/>
      <c r="K22" s="501"/>
      <c r="L22" s="501"/>
      <c r="M22" s="501"/>
      <c r="N22" s="501"/>
      <c r="O22" s="501"/>
      <c r="P22" s="501"/>
      <c r="Q22" s="501"/>
      <c r="R22" s="501"/>
      <c r="S22" s="501"/>
      <c r="T22" s="501"/>
      <c r="U22" s="502"/>
    </row>
    <row r="23" spans="1:22" ht="15.75" customHeight="1" thickBot="1">
      <c r="A23" s="513"/>
      <c r="B23" s="514">
        <v>2016</v>
      </c>
      <c r="C23" s="514">
        <f t="shared" ref="C23:S24" si="8">B23+1</f>
        <v>2017</v>
      </c>
      <c r="D23" s="514">
        <f t="shared" si="8"/>
        <v>2018</v>
      </c>
      <c r="E23" s="514">
        <f t="shared" si="8"/>
        <v>2019</v>
      </c>
      <c r="F23" s="514">
        <f t="shared" si="8"/>
        <v>2020</v>
      </c>
      <c r="G23" s="514">
        <f t="shared" si="8"/>
        <v>2021</v>
      </c>
      <c r="H23" s="514">
        <f t="shared" si="8"/>
        <v>2022</v>
      </c>
      <c r="I23" s="514">
        <f t="shared" si="8"/>
        <v>2023</v>
      </c>
      <c r="J23" s="514">
        <f t="shared" si="8"/>
        <v>2024</v>
      </c>
      <c r="K23" s="514">
        <f t="shared" si="8"/>
        <v>2025</v>
      </c>
      <c r="L23" s="514">
        <f t="shared" si="8"/>
        <v>2026</v>
      </c>
      <c r="M23" s="514">
        <f t="shared" si="8"/>
        <v>2027</v>
      </c>
      <c r="N23" s="514">
        <f t="shared" si="8"/>
        <v>2028</v>
      </c>
      <c r="O23" s="514">
        <f t="shared" si="8"/>
        <v>2029</v>
      </c>
      <c r="P23" s="514">
        <f t="shared" si="8"/>
        <v>2030</v>
      </c>
      <c r="Q23" s="514">
        <f t="shared" si="8"/>
        <v>2031</v>
      </c>
      <c r="R23" s="514">
        <f t="shared" si="8"/>
        <v>2032</v>
      </c>
      <c r="S23" s="514">
        <f t="shared" si="8"/>
        <v>2033</v>
      </c>
      <c r="T23" s="514">
        <f t="shared" ref="T23:U24" si="9">S23+1</f>
        <v>2034</v>
      </c>
      <c r="U23" s="515">
        <f t="shared" si="9"/>
        <v>2035</v>
      </c>
    </row>
    <row r="24" spans="1:22" ht="15.75" customHeight="1" thickBot="1">
      <c r="A24" s="506" t="s">
        <v>322</v>
      </c>
      <c r="B24" s="507">
        <f>B14</f>
        <v>1</v>
      </c>
      <c r="C24" s="507">
        <f>B24+1</f>
        <v>2</v>
      </c>
      <c r="D24" s="507">
        <f t="shared" si="8"/>
        <v>3</v>
      </c>
      <c r="E24" s="507">
        <f t="shared" si="8"/>
        <v>4</v>
      </c>
      <c r="F24" s="507">
        <f t="shared" si="8"/>
        <v>5</v>
      </c>
      <c r="G24" s="507">
        <f t="shared" si="8"/>
        <v>6</v>
      </c>
      <c r="H24" s="507">
        <f t="shared" si="8"/>
        <v>7</v>
      </c>
      <c r="I24" s="507">
        <f t="shared" si="8"/>
        <v>8</v>
      </c>
      <c r="J24" s="507">
        <f t="shared" si="8"/>
        <v>9</v>
      </c>
      <c r="K24" s="507">
        <f t="shared" si="8"/>
        <v>10</v>
      </c>
      <c r="L24" s="507">
        <f t="shared" si="8"/>
        <v>11</v>
      </c>
      <c r="M24" s="507">
        <f t="shared" si="8"/>
        <v>12</v>
      </c>
      <c r="N24" s="507">
        <f t="shared" si="8"/>
        <v>13</v>
      </c>
      <c r="O24" s="507">
        <f t="shared" si="8"/>
        <v>14</v>
      </c>
      <c r="P24" s="507">
        <f t="shared" si="8"/>
        <v>15</v>
      </c>
      <c r="Q24" s="507">
        <f t="shared" si="8"/>
        <v>16</v>
      </c>
      <c r="R24" s="507">
        <f t="shared" si="8"/>
        <v>17</v>
      </c>
      <c r="S24" s="507">
        <f t="shared" si="8"/>
        <v>18</v>
      </c>
      <c r="T24" s="507">
        <f t="shared" si="9"/>
        <v>19</v>
      </c>
      <c r="U24" s="508">
        <f t="shared" si="9"/>
        <v>20</v>
      </c>
    </row>
    <row r="25" spans="1:22" ht="15.75" customHeight="1">
      <c r="A25" s="516" t="s">
        <v>323</v>
      </c>
      <c r="B25" s="517">
        <v>7.0000000000000007E-2</v>
      </c>
      <c r="C25" s="518"/>
      <c r="D25" s="518"/>
      <c r="E25" s="518"/>
      <c r="F25" s="518"/>
      <c r="G25" s="518"/>
      <c r="H25" s="518"/>
      <c r="I25" s="518"/>
      <c r="J25" s="518"/>
      <c r="K25" s="518"/>
      <c r="L25" s="518"/>
      <c r="M25" s="518"/>
      <c r="N25" s="518"/>
      <c r="O25" s="518"/>
      <c r="P25" s="518"/>
      <c r="Q25" s="518"/>
      <c r="R25" s="518"/>
      <c r="S25" s="518"/>
      <c r="T25" s="518"/>
      <c r="U25" s="519"/>
    </row>
    <row r="26" spans="1:22" ht="15.75" customHeight="1">
      <c r="A26" s="520" t="s">
        <v>324</v>
      </c>
      <c r="B26" s="521">
        <f>B12</f>
        <v>0.04</v>
      </c>
      <c r="U26" s="522"/>
    </row>
    <row r="27" spans="1:22" ht="15.75" customHeight="1">
      <c r="A27" s="520" t="s">
        <v>325</v>
      </c>
      <c r="B27" s="523">
        <v>1.1565950104196461</v>
      </c>
      <c r="C27" s="497">
        <f t="shared" ref="C27:U27" si="10">B27*(1+$B$26)</f>
        <v>1.202858810836432</v>
      </c>
      <c r="D27" s="497">
        <f t="shared" si="10"/>
        <v>1.2509731632698893</v>
      </c>
      <c r="E27" s="497">
        <f t="shared" si="10"/>
        <v>1.3010120898006849</v>
      </c>
      <c r="F27" s="497">
        <f t="shared" si="10"/>
        <v>1.3530525733927123</v>
      </c>
      <c r="G27" s="497">
        <f t="shared" si="10"/>
        <v>1.407174676328421</v>
      </c>
      <c r="H27" s="497">
        <f t="shared" si="10"/>
        <v>1.4634616633815578</v>
      </c>
      <c r="I27" s="497">
        <f t="shared" si="10"/>
        <v>1.5220001299168202</v>
      </c>
      <c r="J27" s="497">
        <f t="shared" si="10"/>
        <v>1.5828801351134931</v>
      </c>
      <c r="K27" s="497">
        <f t="shared" si="10"/>
        <v>1.646195340518033</v>
      </c>
      <c r="L27" s="497">
        <f t="shared" si="10"/>
        <v>1.7120431541387544</v>
      </c>
      <c r="M27" s="497">
        <f t="shared" si="10"/>
        <v>1.7805248803043046</v>
      </c>
      <c r="N27" s="497">
        <f t="shared" si="10"/>
        <v>1.8517458755164768</v>
      </c>
      <c r="O27" s="497">
        <f t="shared" si="10"/>
        <v>1.9258157105371361</v>
      </c>
      <c r="P27" s="497">
        <f t="shared" si="10"/>
        <v>2.0028483389586218</v>
      </c>
      <c r="Q27" s="497">
        <f t="shared" si="10"/>
        <v>2.0829622725169665</v>
      </c>
      <c r="R27" s="497">
        <f t="shared" si="10"/>
        <v>2.1662807634176451</v>
      </c>
      <c r="S27" s="497">
        <f t="shared" si="10"/>
        <v>2.2529319939543511</v>
      </c>
      <c r="T27" s="497">
        <f t="shared" si="10"/>
        <v>2.3430492737125252</v>
      </c>
      <c r="U27" s="524">
        <f t="shared" si="10"/>
        <v>2.4367712446610263</v>
      </c>
      <c r="V27" s="497"/>
    </row>
    <row r="28" spans="1:22" ht="15.75" customHeight="1">
      <c r="A28" s="520"/>
      <c r="U28" s="522"/>
    </row>
    <row r="29" spans="1:22" ht="15.75" customHeight="1">
      <c r="A29" s="520" t="s">
        <v>326</v>
      </c>
      <c r="B29" s="525">
        <f t="shared" ref="B29:U29" si="11">B27*$B$11*12/10^7</f>
        <v>0.29389079214763209</v>
      </c>
      <c r="C29" s="525">
        <f t="shared" si="11"/>
        <v>0.30564642383353741</v>
      </c>
      <c r="D29" s="525">
        <f t="shared" si="11"/>
        <v>0.3178722807868789</v>
      </c>
      <c r="E29" s="525">
        <f t="shared" si="11"/>
        <v>0.33058717201835408</v>
      </c>
      <c r="F29" s="525">
        <f t="shared" si="11"/>
        <v>0.34381065889908818</v>
      </c>
      <c r="G29" s="525">
        <f t="shared" si="11"/>
        <v>0.35756308525505176</v>
      </c>
      <c r="H29" s="525">
        <f t="shared" si="11"/>
        <v>0.37186560866525381</v>
      </c>
      <c r="I29" s="525">
        <f t="shared" si="11"/>
        <v>0.386740233011864</v>
      </c>
      <c r="J29" s="525">
        <f t="shared" si="11"/>
        <v>0.40220984233233864</v>
      </c>
      <c r="K29" s="525">
        <f t="shared" si="11"/>
        <v>0.41829823602563215</v>
      </c>
      <c r="L29" s="525">
        <f t="shared" si="11"/>
        <v>0.43503016546665746</v>
      </c>
      <c r="M29" s="525">
        <f t="shared" si="11"/>
        <v>0.45243137208532375</v>
      </c>
      <c r="N29" s="525">
        <f t="shared" si="11"/>
        <v>0.47052862696873676</v>
      </c>
      <c r="O29" s="525">
        <f t="shared" si="11"/>
        <v>0.48934977204748636</v>
      </c>
      <c r="P29" s="525">
        <f t="shared" si="11"/>
        <v>0.50892376292938579</v>
      </c>
      <c r="Q29" s="525">
        <f t="shared" si="11"/>
        <v>0.52928071344656125</v>
      </c>
      <c r="R29" s="525">
        <f t="shared" si="11"/>
        <v>0.5504519419844236</v>
      </c>
      <c r="S29" s="525">
        <f t="shared" si="11"/>
        <v>0.57247001966380062</v>
      </c>
      <c r="T29" s="525">
        <f t="shared" si="11"/>
        <v>0.59536882045035266</v>
      </c>
      <c r="U29" s="526">
        <f t="shared" si="11"/>
        <v>0.61918357326836682</v>
      </c>
    </row>
    <row r="30" spans="1:22" ht="15.75" customHeight="1">
      <c r="A30" s="520" t="s">
        <v>327</v>
      </c>
      <c r="B30" s="525">
        <v>0</v>
      </c>
      <c r="C30" s="525">
        <f>B33-B37</f>
        <v>0.31446314759796634</v>
      </c>
      <c r="D30" s="525">
        <f t="shared" ref="D30:U30" si="12">C33-C37</f>
        <v>0.66351724143170898</v>
      </c>
      <c r="E30" s="525">
        <f t="shared" si="12"/>
        <v>1.0500867887738889</v>
      </c>
      <c r="F30" s="525">
        <f t="shared" si="12"/>
        <v>1.4773211380476998</v>
      </c>
      <c r="G30" s="525">
        <f t="shared" si="12"/>
        <v>1.9486110227330631</v>
      </c>
      <c r="H30" s="525">
        <f t="shared" si="12"/>
        <v>2.4676062955472831</v>
      </c>
      <c r="I30" s="525">
        <f t="shared" si="12"/>
        <v>3.0382349375074145</v>
      </c>
      <c r="J30" s="525">
        <f t="shared" si="12"/>
        <v>3.6647234324556281</v>
      </c>
      <c r="K30" s="525">
        <f t="shared" si="12"/>
        <v>4.3516186040231251</v>
      </c>
      <c r="L30" s="525">
        <f t="shared" si="12"/>
        <v>4.1141919258768684</v>
      </c>
      <c r="M30" s="525">
        <f t="shared" si="12"/>
        <v>4.8676676377375729</v>
      </c>
      <c r="N30" s="525">
        <f t="shared" si="12"/>
        <v>1.8868968880852481</v>
      </c>
      <c r="O30" s="525">
        <f t="shared" si="12"/>
        <v>2.5224453011077639</v>
      </c>
      <c r="P30" s="525">
        <f t="shared" si="12"/>
        <v>3.2226207282761177</v>
      </c>
      <c r="Q30" s="525">
        <f t="shared" si="12"/>
        <v>0</v>
      </c>
      <c r="R30" s="525">
        <f t="shared" si="12"/>
        <v>0.5663303633878205</v>
      </c>
      <c r="S30" s="525">
        <f t="shared" si="12"/>
        <v>1.1949570667483012</v>
      </c>
      <c r="T30" s="525">
        <f t="shared" si="12"/>
        <v>1.8911469824609488</v>
      </c>
      <c r="U30" s="526">
        <f t="shared" si="12"/>
        <v>2.660571909115093</v>
      </c>
    </row>
    <row r="31" spans="1:22" ht="15.75" customHeight="1">
      <c r="A31" s="520" t="s">
        <v>328</v>
      </c>
      <c r="B31" s="525">
        <f>SUM(B29:B30)</f>
        <v>0.29389079214763209</v>
      </c>
      <c r="C31" s="525">
        <f t="shared" ref="C31:U31" si="13">SUM(C29:C30)</f>
        <v>0.62010957143150369</v>
      </c>
      <c r="D31" s="525">
        <f t="shared" si="13"/>
        <v>0.98138952221858788</v>
      </c>
      <c r="E31" s="525">
        <f t="shared" si="13"/>
        <v>1.3806739607922429</v>
      </c>
      <c r="F31" s="525">
        <f t="shared" si="13"/>
        <v>1.821131796946788</v>
      </c>
      <c r="G31" s="525">
        <f t="shared" si="13"/>
        <v>2.3061741079881148</v>
      </c>
      <c r="H31" s="525">
        <f t="shared" si="13"/>
        <v>2.8394719042125369</v>
      </c>
      <c r="I31" s="525">
        <f t="shared" si="13"/>
        <v>3.4249751705192786</v>
      </c>
      <c r="J31" s="525">
        <f t="shared" si="13"/>
        <v>4.0669332747879672</v>
      </c>
      <c r="K31" s="525">
        <f t="shared" si="13"/>
        <v>4.769916840048757</v>
      </c>
      <c r="L31" s="525">
        <f t="shared" si="13"/>
        <v>4.549222091343526</v>
      </c>
      <c r="M31" s="525">
        <f t="shared" si="13"/>
        <v>5.3200990098228971</v>
      </c>
      <c r="N31" s="525">
        <f t="shared" si="13"/>
        <v>2.3574255150539849</v>
      </c>
      <c r="O31" s="525">
        <f t="shared" si="13"/>
        <v>3.0117950731552501</v>
      </c>
      <c r="P31" s="525">
        <f t="shared" si="13"/>
        <v>3.7315444912055034</v>
      </c>
      <c r="Q31" s="525">
        <f t="shared" si="13"/>
        <v>0.52928071344656125</v>
      </c>
      <c r="R31" s="525">
        <f t="shared" si="13"/>
        <v>1.1167823053722441</v>
      </c>
      <c r="S31" s="525">
        <f t="shared" si="13"/>
        <v>1.7674270864121018</v>
      </c>
      <c r="T31" s="525">
        <f t="shared" si="13"/>
        <v>2.4865158029113017</v>
      </c>
      <c r="U31" s="526">
        <f t="shared" si="13"/>
        <v>3.27975548238346</v>
      </c>
    </row>
    <row r="32" spans="1:22" ht="15.75" customHeight="1">
      <c r="A32" s="520" t="s">
        <v>329</v>
      </c>
      <c r="B32" s="525">
        <f t="shared" ref="B32:U32" si="14">$B$25*B31</f>
        <v>2.057235545033425E-2</v>
      </c>
      <c r="C32" s="525">
        <f t="shared" si="14"/>
        <v>4.3407670000205262E-2</v>
      </c>
      <c r="D32" s="525">
        <f t="shared" si="14"/>
        <v>6.8697266555301159E-2</v>
      </c>
      <c r="E32" s="525">
        <f t="shared" si="14"/>
        <v>9.6647177255457017E-2</v>
      </c>
      <c r="F32" s="525">
        <f t="shared" si="14"/>
        <v>0.12747922578627516</v>
      </c>
      <c r="G32" s="525">
        <f t="shared" si="14"/>
        <v>0.16143218755916805</v>
      </c>
      <c r="H32" s="525">
        <f t="shared" si="14"/>
        <v>0.1987630332948776</v>
      </c>
      <c r="I32" s="525">
        <f t="shared" si="14"/>
        <v>0.23974826193634952</v>
      </c>
      <c r="J32" s="525">
        <f t="shared" si="14"/>
        <v>0.28468532923515771</v>
      </c>
      <c r="K32" s="525">
        <f t="shared" si="14"/>
        <v>0.33389417880341304</v>
      </c>
      <c r="L32" s="525">
        <f t="shared" si="14"/>
        <v>0.31844554639404687</v>
      </c>
      <c r="M32" s="525">
        <f t="shared" si="14"/>
        <v>0.37240693068760283</v>
      </c>
      <c r="N32" s="525">
        <f t="shared" si="14"/>
        <v>0.16501978605377896</v>
      </c>
      <c r="O32" s="525">
        <f t="shared" si="14"/>
        <v>0.21082565512086754</v>
      </c>
      <c r="P32" s="525">
        <f t="shared" si="14"/>
        <v>0.26120811438438524</v>
      </c>
      <c r="Q32" s="525">
        <f t="shared" si="14"/>
        <v>3.704964994125929E-2</v>
      </c>
      <c r="R32" s="525">
        <f t="shared" si="14"/>
        <v>7.8174761376057098E-2</v>
      </c>
      <c r="S32" s="525">
        <f t="shared" si="14"/>
        <v>0.12371989604884713</v>
      </c>
      <c r="T32" s="525">
        <f t="shared" si="14"/>
        <v>0.17405610620379114</v>
      </c>
      <c r="U32" s="526">
        <f t="shared" si="14"/>
        <v>0.22958288376684222</v>
      </c>
      <c r="V32" s="525"/>
    </row>
    <row r="33" spans="1:21" ht="15.75" customHeight="1" thickBot="1">
      <c r="A33" s="527" t="s">
        <v>330</v>
      </c>
      <c r="B33" s="528">
        <f>B31+B32</f>
        <v>0.31446314759796634</v>
      </c>
      <c r="C33" s="528">
        <f t="shared" ref="C33:U33" si="15">C31+C32</f>
        <v>0.66351724143170898</v>
      </c>
      <c r="D33" s="528">
        <f t="shared" si="15"/>
        <v>1.0500867887738889</v>
      </c>
      <c r="E33" s="528">
        <f t="shared" si="15"/>
        <v>1.4773211380476998</v>
      </c>
      <c r="F33" s="528">
        <f t="shared" si="15"/>
        <v>1.9486110227330631</v>
      </c>
      <c r="G33" s="528">
        <f t="shared" si="15"/>
        <v>2.4676062955472831</v>
      </c>
      <c r="H33" s="528">
        <f t="shared" si="15"/>
        <v>3.0382349375074145</v>
      </c>
      <c r="I33" s="528">
        <f t="shared" si="15"/>
        <v>3.6647234324556281</v>
      </c>
      <c r="J33" s="528">
        <f t="shared" si="15"/>
        <v>4.3516186040231251</v>
      </c>
      <c r="K33" s="528">
        <f t="shared" si="15"/>
        <v>5.1038110188521699</v>
      </c>
      <c r="L33" s="528">
        <f t="shared" si="15"/>
        <v>4.8676676377375729</v>
      </c>
      <c r="M33" s="528">
        <f t="shared" si="15"/>
        <v>5.6925059405105003</v>
      </c>
      <c r="N33" s="528">
        <f t="shared" si="15"/>
        <v>2.5224453011077639</v>
      </c>
      <c r="O33" s="528">
        <f t="shared" si="15"/>
        <v>3.2226207282761177</v>
      </c>
      <c r="P33" s="528">
        <f t="shared" si="15"/>
        <v>3.9927526055898888</v>
      </c>
      <c r="Q33" s="528">
        <f t="shared" si="15"/>
        <v>0.5663303633878205</v>
      </c>
      <c r="R33" s="528">
        <f t="shared" si="15"/>
        <v>1.1949570667483012</v>
      </c>
      <c r="S33" s="528">
        <f t="shared" si="15"/>
        <v>1.8911469824609488</v>
      </c>
      <c r="T33" s="528">
        <f t="shared" si="15"/>
        <v>2.660571909115093</v>
      </c>
      <c r="U33" s="529">
        <f t="shared" si="15"/>
        <v>3.5093383661503021</v>
      </c>
    </row>
    <row r="34" spans="1:21" ht="15.75" customHeight="1" thickBot="1">
      <c r="A34" s="520"/>
      <c r="U34" s="522"/>
    </row>
    <row r="35" spans="1:21" ht="15.75" customHeight="1">
      <c r="A35" s="506" t="s">
        <v>331</v>
      </c>
      <c r="B35" s="530">
        <f>B24</f>
        <v>1</v>
      </c>
      <c r="C35" s="530">
        <f t="shared" ref="C35:U35" si="16">C24</f>
        <v>2</v>
      </c>
      <c r="D35" s="530">
        <f t="shared" si="16"/>
        <v>3</v>
      </c>
      <c r="E35" s="530">
        <f t="shared" si="16"/>
        <v>4</v>
      </c>
      <c r="F35" s="530">
        <f t="shared" si="16"/>
        <v>5</v>
      </c>
      <c r="G35" s="530">
        <f t="shared" si="16"/>
        <v>6</v>
      </c>
      <c r="H35" s="530">
        <f t="shared" si="16"/>
        <v>7</v>
      </c>
      <c r="I35" s="530">
        <f t="shared" si="16"/>
        <v>8</v>
      </c>
      <c r="J35" s="530">
        <f t="shared" si="16"/>
        <v>9</v>
      </c>
      <c r="K35" s="530">
        <f t="shared" si="16"/>
        <v>10</v>
      </c>
      <c r="L35" s="530">
        <f t="shared" si="16"/>
        <v>11</v>
      </c>
      <c r="M35" s="530">
        <f t="shared" si="16"/>
        <v>12</v>
      </c>
      <c r="N35" s="530">
        <f t="shared" si="16"/>
        <v>13</v>
      </c>
      <c r="O35" s="530">
        <f t="shared" si="16"/>
        <v>14</v>
      </c>
      <c r="P35" s="530">
        <f t="shared" si="16"/>
        <v>15</v>
      </c>
      <c r="Q35" s="530">
        <f t="shared" si="16"/>
        <v>16</v>
      </c>
      <c r="R35" s="530">
        <f t="shared" si="16"/>
        <v>17</v>
      </c>
      <c r="S35" s="530">
        <f t="shared" si="16"/>
        <v>18</v>
      </c>
      <c r="T35" s="530">
        <f t="shared" si="16"/>
        <v>19</v>
      </c>
      <c r="U35" s="531">
        <f t="shared" si="16"/>
        <v>20</v>
      </c>
    </row>
    <row r="36" spans="1:21" ht="15.75" customHeight="1">
      <c r="A36" s="520" t="s">
        <v>332</v>
      </c>
      <c r="B36" s="532">
        <f>B33</f>
        <v>0.31446314759796634</v>
      </c>
      <c r="C36" s="532">
        <f t="shared" ref="C36:U36" si="17">C33</f>
        <v>0.66351724143170898</v>
      </c>
      <c r="D36" s="532">
        <f t="shared" si="17"/>
        <v>1.0500867887738889</v>
      </c>
      <c r="E36" s="532">
        <f t="shared" si="17"/>
        <v>1.4773211380476998</v>
      </c>
      <c r="F36" s="532">
        <f t="shared" si="17"/>
        <v>1.9486110227330631</v>
      </c>
      <c r="G36" s="532">
        <f t="shared" si="17"/>
        <v>2.4676062955472831</v>
      </c>
      <c r="H36" s="532">
        <f t="shared" si="17"/>
        <v>3.0382349375074145</v>
      </c>
      <c r="I36" s="532">
        <f t="shared" si="17"/>
        <v>3.6647234324556281</v>
      </c>
      <c r="J36" s="532">
        <f t="shared" si="17"/>
        <v>4.3516186040231251</v>
      </c>
      <c r="K36" s="532">
        <f t="shared" si="17"/>
        <v>5.1038110188521699</v>
      </c>
      <c r="L36" s="532">
        <f t="shared" si="17"/>
        <v>4.8676676377375729</v>
      </c>
      <c r="M36" s="532">
        <f t="shared" si="17"/>
        <v>5.6925059405105003</v>
      </c>
      <c r="N36" s="532">
        <f t="shared" si="17"/>
        <v>2.5224453011077639</v>
      </c>
      <c r="O36" s="532">
        <f t="shared" si="17"/>
        <v>3.2226207282761177</v>
      </c>
      <c r="P36" s="532">
        <f t="shared" si="17"/>
        <v>3.9927526055898888</v>
      </c>
      <c r="Q36" s="532">
        <f t="shared" si="17"/>
        <v>0.5663303633878205</v>
      </c>
      <c r="R36" s="532">
        <f t="shared" si="17"/>
        <v>1.1949570667483012</v>
      </c>
      <c r="S36" s="532">
        <f t="shared" si="17"/>
        <v>1.8911469824609488</v>
      </c>
      <c r="T36" s="532">
        <f t="shared" si="17"/>
        <v>2.660571909115093</v>
      </c>
      <c r="U36" s="533">
        <f t="shared" si="17"/>
        <v>3.5093383661503021</v>
      </c>
    </row>
    <row r="37" spans="1:21" ht="15.75" customHeight="1">
      <c r="A37" s="520" t="s">
        <v>333</v>
      </c>
      <c r="B37" s="532">
        <f t="shared" ref="B37:U37" si="18">B21</f>
        <v>0</v>
      </c>
      <c r="C37" s="532">
        <f t="shared" si="18"/>
        <v>0</v>
      </c>
      <c r="D37" s="532">
        <f t="shared" si="18"/>
        <v>0</v>
      </c>
      <c r="E37" s="532">
        <f t="shared" si="18"/>
        <v>0</v>
      </c>
      <c r="F37" s="532">
        <f t="shared" si="18"/>
        <v>0</v>
      </c>
      <c r="G37" s="532">
        <f t="shared" si="18"/>
        <v>0</v>
      </c>
      <c r="H37" s="532">
        <f t="shared" si="18"/>
        <v>0</v>
      </c>
      <c r="I37" s="532">
        <f t="shared" si="18"/>
        <v>0</v>
      </c>
      <c r="J37" s="532">
        <f t="shared" si="18"/>
        <v>0</v>
      </c>
      <c r="K37" s="532">
        <f t="shared" si="18"/>
        <v>0.98961909297530115</v>
      </c>
      <c r="L37" s="532">
        <f t="shared" si="18"/>
        <v>0</v>
      </c>
      <c r="M37" s="532">
        <f t="shared" si="18"/>
        <v>3.8056090524252522</v>
      </c>
      <c r="N37" s="532">
        <f t="shared" si="18"/>
        <v>0</v>
      </c>
      <c r="O37" s="532">
        <f t="shared" si="18"/>
        <v>0</v>
      </c>
      <c r="P37" s="532">
        <f t="shared" si="18"/>
        <v>3.9927526055898861</v>
      </c>
      <c r="Q37" s="532">
        <f t="shared" si="18"/>
        <v>0</v>
      </c>
      <c r="R37" s="532">
        <f t="shared" si="18"/>
        <v>0</v>
      </c>
      <c r="S37" s="532">
        <f t="shared" si="18"/>
        <v>0</v>
      </c>
      <c r="T37" s="532">
        <f t="shared" si="18"/>
        <v>0</v>
      </c>
      <c r="U37" s="533">
        <f t="shared" si="18"/>
        <v>2.4377366821296045</v>
      </c>
    </row>
    <row r="38" spans="1:21" ht="15.75" customHeight="1" thickBot="1">
      <c r="A38" s="527" t="s">
        <v>334</v>
      </c>
      <c r="B38" s="534">
        <f>B36-B37</f>
        <v>0.31446314759796634</v>
      </c>
      <c r="C38" s="534">
        <f t="shared" ref="C38:U38" si="19">C36-C37</f>
        <v>0.66351724143170898</v>
      </c>
      <c r="D38" s="534">
        <f t="shared" si="19"/>
        <v>1.0500867887738889</v>
      </c>
      <c r="E38" s="534">
        <f t="shared" si="19"/>
        <v>1.4773211380476998</v>
      </c>
      <c r="F38" s="534">
        <f t="shared" si="19"/>
        <v>1.9486110227330631</v>
      </c>
      <c r="G38" s="534">
        <f t="shared" si="19"/>
        <v>2.4676062955472831</v>
      </c>
      <c r="H38" s="534">
        <f t="shared" si="19"/>
        <v>3.0382349375074145</v>
      </c>
      <c r="I38" s="534">
        <f t="shared" si="19"/>
        <v>3.6647234324556281</v>
      </c>
      <c r="J38" s="534">
        <f t="shared" si="19"/>
        <v>4.3516186040231251</v>
      </c>
      <c r="K38" s="534">
        <f t="shared" si="19"/>
        <v>4.1141919258768684</v>
      </c>
      <c r="L38" s="534">
        <f t="shared" si="19"/>
        <v>4.8676676377375729</v>
      </c>
      <c r="M38" s="534">
        <f t="shared" si="19"/>
        <v>1.8868968880852481</v>
      </c>
      <c r="N38" s="534">
        <f t="shared" si="19"/>
        <v>2.5224453011077639</v>
      </c>
      <c r="O38" s="534">
        <f t="shared" si="19"/>
        <v>3.2226207282761177</v>
      </c>
      <c r="P38" s="534">
        <f t="shared" si="19"/>
        <v>0</v>
      </c>
      <c r="Q38" s="534">
        <f t="shared" si="19"/>
        <v>0.5663303633878205</v>
      </c>
      <c r="R38" s="534">
        <f t="shared" si="19"/>
        <v>1.1949570667483012</v>
      </c>
      <c r="S38" s="534">
        <f t="shared" si="19"/>
        <v>1.8911469824609488</v>
      </c>
      <c r="T38" s="534">
        <f t="shared" si="19"/>
        <v>2.660571909115093</v>
      </c>
      <c r="U38" s="535">
        <f t="shared" si="19"/>
        <v>1.0716016840206977</v>
      </c>
    </row>
    <row r="39" spans="1:21" ht="15.75" customHeight="1" thickBot="1">
      <c r="A39" s="527"/>
      <c r="B39" s="534"/>
      <c r="C39" s="534"/>
      <c r="D39" s="534"/>
      <c r="E39" s="534"/>
      <c r="F39" s="534"/>
      <c r="G39" s="534"/>
      <c r="H39" s="534"/>
      <c r="I39" s="534"/>
      <c r="J39" s="534"/>
      <c r="K39" s="534"/>
      <c r="L39" s="534"/>
      <c r="M39" s="534"/>
      <c r="N39" s="534"/>
      <c r="O39" s="534"/>
      <c r="P39" s="534"/>
      <c r="Q39" s="534"/>
      <c r="R39" s="534"/>
      <c r="S39" s="534"/>
      <c r="T39" s="534"/>
      <c r="U39" s="535"/>
    </row>
    <row r="40" spans="1:21" ht="15.75" customHeight="1" thickBot="1">
      <c r="A40" s="536" t="s">
        <v>335</v>
      </c>
      <c r="B40" s="537">
        <f>MIN(B38:U38)</f>
        <v>0</v>
      </c>
      <c r="C40" s="538"/>
      <c r="D40" s="538"/>
      <c r="E40" s="538"/>
      <c r="F40" s="538"/>
      <c r="G40" s="538"/>
      <c r="H40" s="538"/>
      <c r="I40" s="538"/>
      <c r="J40" s="538"/>
      <c r="K40" s="538"/>
      <c r="L40" s="538"/>
      <c r="M40" s="538"/>
      <c r="N40" s="538"/>
      <c r="O40" s="538"/>
      <c r="P40" s="538"/>
      <c r="Q40" s="538"/>
      <c r="R40" s="538"/>
      <c r="S40" s="538"/>
      <c r="T40" s="538"/>
      <c r="U40" s="539"/>
    </row>
    <row r="41" spans="1:21">
      <c r="B41" s="532"/>
      <c r="C41" s="532"/>
      <c r="D41" s="532"/>
      <c r="E41" s="532"/>
      <c r="F41" s="532"/>
      <c r="G41" s="532"/>
      <c r="H41" s="532"/>
      <c r="I41" s="532"/>
      <c r="J41" s="532"/>
      <c r="K41" s="532"/>
      <c r="L41" s="532"/>
      <c r="M41" s="532"/>
      <c r="N41" s="532"/>
      <c r="O41" s="532"/>
      <c r="P41" s="532"/>
      <c r="Q41" s="532"/>
      <c r="R41" s="532"/>
      <c r="S41" s="532"/>
      <c r="T41" s="532"/>
      <c r="U41" s="532"/>
    </row>
  </sheetData>
  <sheetProtection formatCells="0" formatColumns="0" formatRows="0" insertColumns="0" insertRows="0" insertHyperlinks="0" deleteColumns="0" deleteRows="0" selectLockedCells="1" sort="0" autoFilter="0" pivotTables="0"/>
  <mergeCells count="42">
    <mergeCell ref="B8:E8"/>
    <mergeCell ref="F8:I8"/>
    <mergeCell ref="J8:M8"/>
    <mergeCell ref="N8:Q8"/>
    <mergeCell ref="R8:U8"/>
    <mergeCell ref="B7:E7"/>
    <mergeCell ref="F7:I7"/>
    <mergeCell ref="J7:M7"/>
    <mergeCell ref="N7:Q7"/>
    <mergeCell ref="R7:U7"/>
    <mergeCell ref="J6:M6"/>
    <mergeCell ref="N6:Q6"/>
    <mergeCell ref="R6:U6"/>
    <mergeCell ref="B6:E6"/>
    <mergeCell ref="F6:I6"/>
    <mergeCell ref="R9:U9"/>
    <mergeCell ref="B3:E3"/>
    <mergeCell ref="F3:I3"/>
    <mergeCell ref="J3:M3"/>
    <mergeCell ref="N3:Q3"/>
    <mergeCell ref="R3:U3"/>
    <mergeCell ref="B4:E4"/>
    <mergeCell ref="F4:I4"/>
    <mergeCell ref="J4:M4"/>
    <mergeCell ref="N4:Q4"/>
    <mergeCell ref="B5:E5"/>
    <mergeCell ref="F5:I5"/>
    <mergeCell ref="J5:M5"/>
    <mergeCell ref="R4:U4"/>
    <mergeCell ref="N5:Q5"/>
    <mergeCell ref="R5:U5"/>
    <mergeCell ref="B11:C11"/>
    <mergeCell ref="B9:E9"/>
    <mergeCell ref="F9:I9"/>
    <mergeCell ref="J9:M9"/>
    <mergeCell ref="N9:Q9"/>
    <mergeCell ref="A1:U1"/>
    <mergeCell ref="B2:E2"/>
    <mergeCell ref="F2:I2"/>
    <mergeCell ref="J2:M2"/>
    <mergeCell ref="N2:Q2"/>
    <mergeCell ref="R2:U2"/>
  </mergeCells>
  <conditionalFormatting sqref="D42:M47 J48:S50">
    <cfRule type="cellIs" dxfId="0" priority="1" operator="greaterThan">
      <formula>0</formula>
    </cfRule>
  </conditionalFormatting>
  <hyperlinks>
    <hyperlink ref="V2" location="INDEX!A1" display="INDEX" xr:uid="{00000000-0004-0000-1100-000000000000}"/>
  </hyperlinks>
  <pageMargins left="0.7" right="0.7" top="0.75" bottom="0.75" header="0.3" footer="0.3"/>
  <pageSetup scale="65" orientation="landscape" r:id="rId1"/>
  <ignoredErrors>
    <ignoredError sqref="B15:U18 B24:U24 C23:U23 B19:U21 B28:U41 C27:U27 B26:U26 C25:U25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27</vt:i4>
      </vt:variant>
    </vt:vector>
  </HeadingPairs>
  <TitlesOfParts>
    <vt:vector size="45" baseType="lpstr">
      <vt:lpstr>INDEX</vt:lpstr>
      <vt:lpstr>Area Summary</vt:lpstr>
      <vt:lpstr>Area-Mall</vt:lpstr>
      <vt:lpstr>Area-Office</vt:lpstr>
      <vt:lpstr>Area-Comm</vt:lpstr>
      <vt:lpstr>Common Services</vt:lpstr>
      <vt:lpstr>CAM Variables</vt:lpstr>
      <vt:lpstr>CAM Charges Summary</vt:lpstr>
      <vt:lpstr>CAM Charges</vt:lpstr>
      <vt:lpstr>AMC Cost</vt:lpstr>
      <vt:lpstr>Comm Electrical load</vt:lpstr>
      <vt:lpstr>Load Breakup</vt:lpstr>
      <vt:lpstr>HVAC-Mall</vt:lpstr>
      <vt:lpstr>Mall AHU Load</vt:lpstr>
      <vt:lpstr>Manpower</vt:lpstr>
      <vt:lpstr>Salary Breakup</vt:lpstr>
      <vt:lpstr>HK - Secr Equipments</vt:lpstr>
      <vt:lpstr>SinkingFundEstimation</vt:lpstr>
      <vt:lpstr>'AMC Cost'!Print_Area</vt:lpstr>
      <vt:lpstr>'Area Summary'!Print_Area</vt:lpstr>
      <vt:lpstr>'Area-Comm'!Print_Area</vt:lpstr>
      <vt:lpstr>'Area-Mall'!Print_Area</vt:lpstr>
      <vt:lpstr>'Area-Office'!Print_Area</vt:lpstr>
      <vt:lpstr>'CAM Charges'!Print_Area</vt:lpstr>
      <vt:lpstr>'CAM Charges Summary'!Print_Area</vt:lpstr>
      <vt:lpstr>'CAM Variables'!Print_Area</vt:lpstr>
      <vt:lpstr>'Comm Electrical load'!Print_Area</vt:lpstr>
      <vt:lpstr>'Common Services'!Print_Area</vt:lpstr>
      <vt:lpstr>'HK - Secr Equipments'!Print_Area</vt:lpstr>
      <vt:lpstr>'HVAC-Mall'!Print_Area</vt:lpstr>
      <vt:lpstr>INDEX!Print_Area</vt:lpstr>
      <vt:lpstr>'Load Breakup'!Print_Area</vt:lpstr>
      <vt:lpstr>'Mall AHU Load'!Print_Area</vt:lpstr>
      <vt:lpstr>Manpower!Print_Area</vt:lpstr>
      <vt:lpstr>'Salary Breakup'!Print_Area</vt:lpstr>
      <vt:lpstr>SinkingFundEstimation!Print_Area</vt:lpstr>
      <vt:lpstr>'Area-Comm'!Print_Titles</vt:lpstr>
      <vt:lpstr>'Area-Mall'!Print_Titles</vt:lpstr>
      <vt:lpstr>'CAM Charges'!Print_Titles</vt:lpstr>
      <vt:lpstr>'CAM Charges Summary'!Print_Titles</vt:lpstr>
      <vt:lpstr>'CAM Variables'!Print_Titles</vt:lpstr>
      <vt:lpstr>'Load Breakup'!Print_Titles</vt:lpstr>
      <vt:lpstr>'Mall AHU Load'!Print_Titles</vt:lpstr>
      <vt:lpstr>Manpower!Print_Titles</vt:lpstr>
      <vt:lpstr>'Salary Breakup'!Print_Titles</vt:lpstr>
    </vt:vector>
  </TitlesOfParts>
  <Company>Cushman &amp; Wakefield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Yadav</dc:creator>
  <cp:lastModifiedBy>Venu</cp:lastModifiedBy>
  <cp:lastPrinted>2014-09-24T07:51:08Z</cp:lastPrinted>
  <dcterms:created xsi:type="dcterms:W3CDTF">2009-09-30T07:02:59Z</dcterms:created>
  <dcterms:modified xsi:type="dcterms:W3CDTF">2026-02-19T08:19:25Z</dcterms:modified>
</cp:coreProperties>
</file>