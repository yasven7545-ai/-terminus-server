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91459594-876B-45C2-9C16-F16B5F95530D}" xr6:coauthVersionLast="47" xr6:coauthVersionMax="47" xr10:uidLastSave="{00000000-0000-0000-0000-000000000000}"/>
  <bookViews>
    <workbookView xWindow="-120" yWindow="-120" windowWidth="29040" windowHeight="15840" firstSheet="1" activeTab="4" xr2:uid="{A81A2753-5747-4A97-A0C4-C0D05F8B5D44}"/>
  </bookViews>
  <sheets>
    <sheet name="ele_consumption" sheetId="1" r:id="rId1"/>
    <sheet name="dg_consumption" sheetId="3" r:id="rId2"/>
    <sheet name="ele_con_sft" sheetId="4" r:id="rId3"/>
    <sheet name="water_consumption" sheetId="2" r:id="rId4"/>
    <sheet name="Tank_c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2" i="5"/>
</calcChain>
</file>

<file path=xl/sharedStrings.xml><?xml version="1.0" encoding="utf-8"?>
<sst xmlns="http://schemas.openxmlformats.org/spreadsheetml/2006/main" count="40" uniqueCount="22">
  <si>
    <t>S.No</t>
  </si>
  <si>
    <t>Month</t>
  </si>
  <si>
    <t>HT Bill Units</t>
  </si>
  <si>
    <t>DG Consumption Report</t>
  </si>
  <si>
    <t>Sno</t>
  </si>
  <si>
    <t>DG Run Hrs</t>
  </si>
  <si>
    <t>DG Consumption KWH</t>
  </si>
  <si>
    <t>Diesel Consumption</t>
  </si>
  <si>
    <t>Leasable Area Energy Consumption (Units)</t>
  </si>
  <si>
    <t>Occupied Area (SFT)</t>
  </si>
  <si>
    <t>Built-up Area Consumption (KVAH/SFT)</t>
  </si>
  <si>
    <t>Energy Consumption (Units)</t>
  </si>
  <si>
    <t xml:space="preserve">Built- Up Area  (SFT) </t>
  </si>
  <si>
    <t>Consumption (KL)</t>
  </si>
  <si>
    <t>Net Pay Rs</t>
  </si>
  <si>
    <t>Trips</t>
  </si>
  <si>
    <t>Consumed KL</t>
  </si>
  <si>
    <t>Vol/Trip</t>
  </si>
  <si>
    <t>Rate</t>
  </si>
  <si>
    <t>Total Cost</t>
  </si>
  <si>
    <t>Vendor</t>
  </si>
  <si>
    <t>Sai Sagar Water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</si>
</sst>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2"/>
      <color indexed="8"/>
      <name val="Calibri"/>
      <family val="2"/>
    </font>
    <font>
      <b/>
      <sz val="14"/>
      <color rgb="FF000000"/>
      <name val="Candara"/>
      <family val="2"/>
    </font>
    <font>
      <b/>
      <sz val="12"/>
      <color rgb="FF000000"/>
      <name val="Candara"/>
      <family val="2"/>
    </font>
    <font>
      <sz val="10"/>
      <color rgb="FF000000"/>
      <name val="Candara"/>
      <family val="2"/>
    </font>
    <font>
      <sz val="10"/>
      <color indexed="8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E0E7FF"/>
        <bgColor rgb="FFE0E7FF"/>
      </patternFill>
    </fill>
    <fill>
      <patternFill patternType="solid">
        <fgColor rgb="FFE0E7FF"/>
        <bgColor indexed="64"/>
      </patternFill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3" fontId="3" fillId="0" borderId="2" xfId="0" applyNumberFormat="1" applyFont="1" applyBorder="1" applyAlignment="1">
      <alignment wrapText="1" readingOrder="1"/>
    </xf>
    <xf numFmtId="17" fontId="0" fillId="0" borderId="0" xfId="0" applyNumberFormat="1"/>
    <xf numFmtId="17" fontId="4" fillId="4" borderId="1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 wrapText="1" readingOrder="1"/>
    </xf>
    <xf numFmtId="3" fontId="6" fillId="0" borderId="2" xfId="0" applyNumberFormat="1" applyFont="1" applyBorder="1" applyAlignment="1">
      <alignment wrapText="1" readingOrder="1"/>
    </xf>
    <xf numFmtId="0" fontId="4" fillId="4" borderId="1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wrapText="1" readingOrder="1"/>
    </xf>
    <xf numFmtId="21" fontId="9" fillId="0" borderId="6" xfId="0" applyNumberFormat="1" applyFont="1" applyBorder="1" applyAlignment="1">
      <alignment horizontal="center" wrapText="1" readingOrder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wrapText="1" readingOrder="1"/>
    </xf>
    <xf numFmtId="3" fontId="3" fillId="0" borderId="2" xfId="0" applyNumberFormat="1" applyFont="1" applyBorder="1" applyAlignment="1">
      <alignment horizontal="center" wrapText="1" readingOrder="1"/>
    </xf>
    <xf numFmtId="0" fontId="10" fillId="0" borderId="6" xfId="0" applyFont="1" applyBorder="1" applyAlignment="1">
      <alignment horizontal="center" wrapText="1" readingOrder="1"/>
    </xf>
    <xf numFmtId="21" fontId="10" fillId="0" borderId="6" xfId="0" applyNumberFormat="1" applyFont="1" applyBorder="1" applyAlignment="1">
      <alignment horizontal="center" wrapText="1" readingOrder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7" fillId="5" borderId="4" xfId="0" applyFont="1" applyFill="1" applyBorder="1" applyAlignment="1">
      <alignment horizontal="center" vertical="center" wrapText="1" readingOrder="1"/>
    </xf>
    <xf numFmtId="0" fontId="7" fillId="5" borderId="0" xfId="0" applyFont="1" applyFill="1" applyAlignment="1">
      <alignment horizontal="center" vertical="center" wrapText="1" readingOrder="1"/>
    </xf>
  </cellXfs>
  <cellStyles count="2">
    <cellStyle name="Comma 2" xfId="1" xr:uid="{6DF0ECCE-5C03-4EDA-BB30-2FF816ABB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993C-169B-440F-8C77-EF24F503884D}">
  <dimension ref="A1:C16"/>
  <sheetViews>
    <sheetView workbookViewId="0">
      <selection activeCell="C16" sqref="C16"/>
    </sheetView>
  </sheetViews>
  <sheetFormatPr defaultRowHeight="15" x14ac:dyDescent="0.25"/>
  <cols>
    <col min="1" max="1" width="5.5703125" bestFit="1" customWidth="1"/>
    <col min="2" max="2" width="41.7109375" bestFit="1" customWidth="1"/>
    <col min="3" max="3" width="28.85546875" bestFit="1" customWidth="1"/>
    <col min="6" max="6" width="41.7109375" bestFit="1" customWidth="1"/>
    <col min="7" max="7" width="7.5703125" bestFit="1" customWidth="1"/>
    <col min="8" max="8" width="17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>
        <v>1</v>
      </c>
      <c r="B2" s="6">
        <v>45717</v>
      </c>
      <c r="C2" s="7">
        <v>798225</v>
      </c>
    </row>
    <row r="3" spans="1:3" ht="15.75" x14ac:dyDescent="0.25">
      <c r="A3" s="2">
        <v>2</v>
      </c>
      <c r="B3" s="6">
        <v>45748</v>
      </c>
      <c r="C3" s="7">
        <v>856275</v>
      </c>
    </row>
    <row r="4" spans="1:3" ht="15.75" x14ac:dyDescent="0.25">
      <c r="A4" s="2">
        <v>3</v>
      </c>
      <c r="B4" s="6">
        <v>45778</v>
      </c>
      <c r="C4" s="7">
        <v>881175</v>
      </c>
    </row>
    <row r="5" spans="1:3" ht="15.75" x14ac:dyDescent="0.25">
      <c r="A5" s="2">
        <v>4</v>
      </c>
      <c r="B5" s="6">
        <v>45809</v>
      </c>
      <c r="C5" s="7">
        <v>819975</v>
      </c>
    </row>
    <row r="6" spans="1:3" ht="15.75" x14ac:dyDescent="0.25">
      <c r="A6" s="2">
        <v>5</v>
      </c>
      <c r="B6" s="6">
        <v>45839</v>
      </c>
      <c r="C6" s="7">
        <v>815700</v>
      </c>
    </row>
    <row r="7" spans="1:3" ht="15.75" x14ac:dyDescent="0.25">
      <c r="A7" s="2">
        <v>6</v>
      </c>
      <c r="B7" s="6">
        <v>45870</v>
      </c>
      <c r="C7" s="7">
        <v>765975</v>
      </c>
    </row>
    <row r="8" spans="1:3" ht="15.75" x14ac:dyDescent="0.25">
      <c r="A8" s="2">
        <v>7</v>
      </c>
      <c r="B8" s="6">
        <v>45901</v>
      </c>
      <c r="C8" s="8">
        <v>764363</v>
      </c>
    </row>
    <row r="9" spans="1:3" ht="15.75" x14ac:dyDescent="0.25">
      <c r="A9" s="2">
        <v>8</v>
      </c>
      <c r="B9" s="6">
        <v>45931</v>
      </c>
      <c r="C9" s="8"/>
    </row>
    <row r="10" spans="1:3" ht="15.75" x14ac:dyDescent="0.25">
      <c r="A10" s="2">
        <v>9</v>
      </c>
      <c r="B10" s="6">
        <v>45962</v>
      </c>
      <c r="C10" s="8"/>
    </row>
    <row r="11" spans="1:3" ht="15.75" x14ac:dyDescent="0.25">
      <c r="A11" s="2">
        <v>10</v>
      </c>
      <c r="B11" s="6">
        <v>45992</v>
      </c>
      <c r="C11" s="4"/>
    </row>
    <row r="12" spans="1:3" ht="15.75" x14ac:dyDescent="0.25">
      <c r="A12" s="2">
        <v>11</v>
      </c>
      <c r="B12" s="6">
        <v>46023</v>
      </c>
      <c r="C12" s="4"/>
    </row>
    <row r="13" spans="1:3" ht="15.75" x14ac:dyDescent="0.25">
      <c r="A13" s="2">
        <v>12</v>
      </c>
      <c r="B13" s="6">
        <v>46054</v>
      </c>
      <c r="C13" s="4"/>
    </row>
    <row r="14" spans="1:3" x14ac:dyDescent="0.25">
      <c r="B14" s="6"/>
    </row>
    <row r="15" spans="1:3" x14ac:dyDescent="0.25">
      <c r="B15" s="5"/>
    </row>
    <row r="16" spans="1:3" x14ac:dyDescent="0.25">
      <c r="B1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F7B1-C5E8-4C6E-ABAC-D0AFF9A057B0}">
  <dimension ref="A1:G18"/>
  <sheetViews>
    <sheetView workbookViewId="0">
      <selection activeCell="B28" sqref="B28"/>
    </sheetView>
  </sheetViews>
  <sheetFormatPr defaultColWidth="28.7109375" defaultRowHeight="15" x14ac:dyDescent="0.25"/>
  <sheetData>
    <row r="1" spans="1:5" ht="19.5" thickBot="1" x14ac:dyDescent="0.3">
      <c r="A1" s="25" t="s">
        <v>3</v>
      </c>
      <c r="B1" s="26"/>
      <c r="C1" s="26"/>
      <c r="D1" s="26"/>
      <c r="E1" s="26"/>
    </row>
    <row r="2" spans="1:5" ht="16.5" thickBot="1" x14ac:dyDescent="0.3">
      <c r="A2" s="10" t="s">
        <v>4</v>
      </c>
      <c r="B2" s="10" t="s">
        <v>1</v>
      </c>
      <c r="C2" s="11" t="s">
        <v>5</v>
      </c>
      <c r="D2" s="11" t="s">
        <v>6</v>
      </c>
      <c r="E2" s="11" t="s">
        <v>7</v>
      </c>
    </row>
    <row r="3" spans="1:5" ht="15.75" thickBot="1" x14ac:dyDescent="0.3">
      <c r="A3" s="17">
        <v>1</v>
      </c>
      <c r="B3" s="6">
        <v>45717</v>
      </c>
      <c r="C3" s="18">
        <v>0.36874999999417923</v>
      </c>
      <c r="D3" s="17">
        <v>3367.1</v>
      </c>
      <c r="E3" s="17">
        <v>925</v>
      </c>
    </row>
    <row r="4" spans="1:5" ht="15.75" thickBot="1" x14ac:dyDescent="0.3">
      <c r="A4" s="17">
        <v>2</v>
      </c>
      <c r="B4" s="6">
        <v>45748</v>
      </c>
      <c r="C4" s="18">
        <v>4.5833333337213844E-2</v>
      </c>
      <c r="D4" s="17">
        <v>228.1</v>
      </c>
      <c r="E4" s="17">
        <v>20</v>
      </c>
    </row>
    <row r="5" spans="1:5" ht="15.75" thickBot="1" x14ac:dyDescent="0.3">
      <c r="A5" s="17">
        <v>3</v>
      </c>
      <c r="B5" s="6">
        <v>45778</v>
      </c>
      <c r="C5" s="18">
        <v>5.2777777775190771E-2</v>
      </c>
      <c r="D5" s="17">
        <v>73.3</v>
      </c>
      <c r="E5" s="17">
        <v>175</v>
      </c>
    </row>
    <row r="6" spans="1:5" ht="15.75" thickBot="1" x14ac:dyDescent="0.3">
      <c r="A6" s="17">
        <v>4</v>
      </c>
      <c r="B6" s="6">
        <v>45809</v>
      </c>
      <c r="C6" s="18">
        <v>9.7916666680248454E-2</v>
      </c>
      <c r="D6" s="17">
        <v>273.5</v>
      </c>
      <c r="E6" s="17">
        <v>110</v>
      </c>
    </row>
    <row r="7" spans="1:5" ht="15.75" thickBot="1" x14ac:dyDescent="0.3">
      <c r="A7" s="17">
        <v>5</v>
      </c>
      <c r="B7" s="6">
        <v>45839</v>
      </c>
      <c r="C7" s="18">
        <v>0.4972222222131677</v>
      </c>
      <c r="D7" s="17">
        <v>5544.6</v>
      </c>
      <c r="E7" s="17">
        <v>1455</v>
      </c>
    </row>
    <row r="8" spans="1:5" ht="15.75" thickBot="1" x14ac:dyDescent="0.3">
      <c r="A8" s="17">
        <v>6</v>
      </c>
      <c r="B8" s="6">
        <v>45870</v>
      </c>
      <c r="C8" s="18">
        <v>3.6805555544560775E-2</v>
      </c>
      <c r="D8" s="17">
        <v>137.1</v>
      </c>
      <c r="E8" s="17">
        <v>115</v>
      </c>
    </row>
    <row r="9" spans="1:5" ht="15.75" thickBot="1" x14ac:dyDescent="0.3">
      <c r="A9" s="17">
        <v>7</v>
      </c>
      <c r="B9" s="6">
        <v>45901</v>
      </c>
      <c r="C9" s="17">
        <v>0</v>
      </c>
      <c r="D9" s="17">
        <v>0</v>
      </c>
      <c r="E9" s="17">
        <v>0</v>
      </c>
    </row>
    <row r="10" spans="1:5" ht="15.75" thickBot="1" x14ac:dyDescent="0.3">
      <c r="A10" s="17">
        <v>8</v>
      </c>
      <c r="B10" s="6">
        <v>45931</v>
      </c>
      <c r="C10" s="18">
        <v>6.3888888893416151E-2</v>
      </c>
      <c r="D10" s="17">
        <v>316.10000000000002</v>
      </c>
      <c r="E10" s="17">
        <v>95</v>
      </c>
    </row>
    <row r="11" spans="1:5" ht="15.75" thickBot="1" x14ac:dyDescent="0.3">
      <c r="A11" s="17">
        <v>9</v>
      </c>
      <c r="B11" s="6">
        <v>45962</v>
      </c>
      <c r="C11" s="18">
        <v>0.30208333334303461</v>
      </c>
      <c r="D11" s="17">
        <v>2766.5</v>
      </c>
      <c r="E11" s="17">
        <v>765</v>
      </c>
    </row>
    <row r="12" spans="1:5" ht="15.75" thickBot="1" x14ac:dyDescent="0.3">
      <c r="A12" s="12">
        <v>10</v>
      </c>
      <c r="B12" s="3">
        <v>45901</v>
      </c>
      <c r="C12" s="12">
        <v>0</v>
      </c>
      <c r="D12" s="12">
        <v>0</v>
      </c>
      <c r="E12" s="12">
        <v>0</v>
      </c>
    </row>
    <row r="13" spans="1:5" ht="15.75" thickBot="1" x14ac:dyDescent="0.3">
      <c r="A13" s="12">
        <v>11</v>
      </c>
      <c r="B13" s="3">
        <v>45931</v>
      </c>
      <c r="C13" s="13">
        <v>6.3888888888888884E-2</v>
      </c>
      <c r="D13" s="12">
        <v>316.10000000000002</v>
      </c>
      <c r="E13" s="12">
        <v>95</v>
      </c>
    </row>
    <row r="14" spans="1:5" ht="15.75" thickBot="1" x14ac:dyDescent="0.3">
      <c r="A14" s="12">
        <v>12</v>
      </c>
      <c r="B14" s="3">
        <v>45962</v>
      </c>
      <c r="C14" s="13">
        <v>0.30208333333333331</v>
      </c>
      <c r="D14" s="12">
        <v>2766.5</v>
      </c>
      <c r="E14" s="12">
        <v>765</v>
      </c>
    </row>
    <row r="18" spans="7:7" x14ac:dyDescent="0.25">
      <c r="G18" s="1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FE91-A322-4184-938D-B0B01FF8DDAB}">
  <dimension ref="A1:B5"/>
  <sheetViews>
    <sheetView workbookViewId="0">
      <selection activeCell="B4" sqref="B4"/>
    </sheetView>
  </sheetViews>
  <sheetFormatPr defaultColWidth="94.5703125" defaultRowHeight="15" x14ac:dyDescent="0.25"/>
  <cols>
    <col min="1" max="1" width="41.7109375" bestFit="1" customWidth="1"/>
    <col min="2" max="2" width="9" bestFit="1" customWidth="1"/>
  </cols>
  <sheetData>
    <row r="1" spans="1:2" ht="15.75" x14ac:dyDescent="0.25">
      <c r="A1" s="2" t="s">
        <v>12</v>
      </c>
      <c r="B1" s="16">
        <v>921450</v>
      </c>
    </row>
    <row r="2" spans="1:2" ht="15.75" x14ac:dyDescent="0.25">
      <c r="A2" s="2" t="s">
        <v>11</v>
      </c>
      <c r="B2" s="16">
        <v>783185</v>
      </c>
    </row>
    <row r="3" spans="1:2" ht="15.75" x14ac:dyDescent="0.25">
      <c r="A3" s="2" t="s">
        <v>10</v>
      </c>
      <c r="B3" s="16">
        <v>820684</v>
      </c>
    </row>
    <row r="4" spans="1:2" ht="15.75" x14ac:dyDescent="0.25">
      <c r="A4" s="2" t="s">
        <v>9</v>
      </c>
      <c r="B4" s="16"/>
    </row>
    <row r="5" spans="1:2" ht="15.75" x14ac:dyDescent="0.25">
      <c r="A5" s="2" t="s">
        <v>8</v>
      </c>
      <c r="B5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420C-3C78-4DB7-ABAE-F18F0DF64476}">
  <dimension ref="A1:D13"/>
  <sheetViews>
    <sheetView workbookViewId="0">
      <selection activeCell="D7" sqref="D7"/>
    </sheetView>
  </sheetViews>
  <sheetFormatPr defaultRowHeight="15" x14ac:dyDescent="0.25"/>
  <cols>
    <col min="1" max="1" width="5.5703125" bestFit="1" customWidth="1"/>
    <col min="2" max="2" width="7.7109375" bestFit="1" customWidth="1"/>
    <col min="3" max="3" width="16.85546875" style="19" bestFit="1" customWidth="1"/>
    <col min="4" max="4" width="10.28515625" style="19" bestFit="1" customWidth="1"/>
  </cols>
  <sheetData>
    <row r="1" spans="1:4" x14ac:dyDescent="0.25">
      <c r="A1" s="19" t="s">
        <v>0</v>
      </c>
      <c r="B1" s="19" t="s">
        <v>1</v>
      </c>
      <c r="C1" s="19" t="s">
        <v>13</v>
      </c>
      <c r="D1" s="19" t="s">
        <v>14</v>
      </c>
    </row>
    <row r="2" spans="1:4" x14ac:dyDescent="0.25">
      <c r="A2" s="9">
        <v>1</v>
      </c>
      <c r="B2" s="6">
        <v>45717</v>
      </c>
      <c r="C2" s="19">
        <v>5240</v>
      </c>
      <c r="D2" s="19">
        <v>849030</v>
      </c>
    </row>
    <row r="3" spans="1:4" x14ac:dyDescent="0.25">
      <c r="A3" s="9">
        <v>2</v>
      </c>
      <c r="B3" s="6">
        <v>45748</v>
      </c>
      <c r="C3" s="19">
        <v>5733</v>
      </c>
      <c r="D3" s="19">
        <v>928896</v>
      </c>
    </row>
    <row r="4" spans="1:4" x14ac:dyDescent="0.25">
      <c r="A4" s="9">
        <v>3</v>
      </c>
      <c r="B4" s="6">
        <v>45778</v>
      </c>
      <c r="C4" s="19">
        <v>4381</v>
      </c>
      <c r="D4" s="19">
        <v>709872</v>
      </c>
    </row>
    <row r="5" spans="1:4" x14ac:dyDescent="0.25">
      <c r="A5" s="9">
        <v>4</v>
      </c>
      <c r="B5" s="6">
        <v>45809</v>
      </c>
      <c r="C5" s="19">
        <v>4626</v>
      </c>
      <c r="D5" s="19">
        <v>749562</v>
      </c>
    </row>
    <row r="6" spans="1:4" x14ac:dyDescent="0.25">
      <c r="A6" s="9">
        <v>5</v>
      </c>
      <c r="B6" s="6">
        <v>45839</v>
      </c>
      <c r="C6" s="19">
        <v>4082</v>
      </c>
      <c r="D6" s="19">
        <v>661434</v>
      </c>
    </row>
    <row r="7" spans="1:4" x14ac:dyDescent="0.25">
      <c r="A7" s="9">
        <v>6</v>
      </c>
      <c r="B7" s="6">
        <v>45870</v>
      </c>
      <c r="C7" s="19">
        <v>3975</v>
      </c>
      <c r="D7" s="19">
        <v>644100</v>
      </c>
    </row>
    <row r="8" spans="1:4" x14ac:dyDescent="0.25">
      <c r="A8" s="9">
        <v>7</v>
      </c>
      <c r="B8" s="6">
        <v>45901</v>
      </c>
      <c r="C8" s="19">
        <v>5054</v>
      </c>
      <c r="D8" s="19">
        <v>818898</v>
      </c>
    </row>
    <row r="9" spans="1:4" x14ac:dyDescent="0.25">
      <c r="A9" s="9">
        <v>8</v>
      </c>
      <c r="B9" s="6">
        <v>45931</v>
      </c>
      <c r="C9" s="19">
        <v>4150</v>
      </c>
      <c r="D9" s="19">
        <v>672450</v>
      </c>
    </row>
    <row r="10" spans="1:4" x14ac:dyDescent="0.25">
      <c r="A10" s="9">
        <v>9</v>
      </c>
      <c r="B10" s="6">
        <v>45962</v>
      </c>
      <c r="C10" s="19">
        <v>4201</v>
      </c>
      <c r="D10" s="19">
        <v>680712</v>
      </c>
    </row>
    <row r="11" spans="1:4" x14ac:dyDescent="0.25">
      <c r="A11" s="9">
        <v>10</v>
      </c>
      <c r="B11" s="6">
        <v>45992</v>
      </c>
      <c r="C11" s="19">
        <v>4458</v>
      </c>
      <c r="D11" s="19">
        <v>722346</v>
      </c>
    </row>
    <row r="12" spans="1:4" x14ac:dyDescent="0.25">
      <c r="A12" s="9">
        <v>11</v>
      </c>
      <c r="B12" s="6">
        <v>46023</v>
      </c>
      <c r="C12" s="19">
        <v>3866</v>
      </c>
      <c r="D12" s="19">
        <v>626442</v>
      </c>
    </row>
    <row r="13" spans="1:4" x14ac:dyDescent="0.25">
      <c r="A13" s="9">
        <v>12</v>
      </c>
      <c r="B13" s="6">
        <v>46054</v>
      </c>
      <c r="C13" s="19">
        <v>4386</v>
      </c>
      <c r="D13" s="19">
        <v>710682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3CC2-52B5-4DFE-929F-DCED6DBE63A9}">
  <dimension ref="A1:H15"/>
  <sheetViews>
    <sheetView tabSelected="1" workbookViewId="0">
      <selection activeCell="M23" sqref="M23"/>
    </sheetView>
  </sheetViews>
  <sheetFormatPr defaultRowHeight="15" x14ac:dyDescent="0.25"/>
  <cols>
    <col min="4" max="4" width="12.85546875" style="19" bestFit="1" customWidth="1"/>
  </cols>
  <sheetData>
    <row r="1" spans="1:8" x14ac:dyDescent="0.25">
      <c r="A1" s="23" t="s">
        <v>4</v>
      </c>
      <c r="B1" s="23" t="s">
        <v>1</v>
      </c>
      <c r="C1" s="23" t="s">
        <v>15</v>
      </c>
      <c r="D1" s="20" t="s">
        <v>16</v>
      </c>
      <c r="E1" s="24" t="s">
        <v>17</v>
      </c>
      <c r="F1" s="24" t="s">
        <v>18</v>
      </c>
      <c r="G1" s="24" t="s">
        <v>19</v>
      </c>
      <c r="H1" s="24" t="s">
        <v>20</v>
      </c>
    </row>
    <row r="2" spans="1:8" x14ac:dyDescent="0.25">
      <c r="A2" s="20">
        <v>1</v>
      </c>
      <c r="B2" s="21">
        <v>45689</v>
      </c>
      <c r="C2" s="22">
        <v>8</v>
      </c>
      <c r="D2" s="20">
        <v>280</v>
      </c>
      <c r="E2">
        <f>D2/C2</f>
        <v>35</v>
      </c>
      <c r="F2">
        <v>130</v>
      </c>
      <c r="G2">
        <f>F2*D2</f>
        <v>36400</v>
      </c>
      <c r="H2" t="s">
        <v>21</v>
      </c>
    </row>
    <row r="3" spans="1:8" x14ac:dyDescent="0.25">
      <c r="A3" s="20">
        <v>2</v>
      </c>
      <c r="B3" s="21">
        <v>45717</v>
      </c>
      <c r="C3" s="22">
        <v>1</v>
      </c>
      <c r="D3" s="20">
        <v>20</v>
      </c>
      <c r="E3">
        <f t="shared" ref="E3:E15" si="0">D3/C3</f>
        <v>20</v>
      </c>
      <c r="F3">
        <v>130</v>
      </c>
      <c r="G3">
        <f t="shared" ref="G3:G15" si="1">F3*D3</f>
        <v>2600</v>
      </c>
      <c r="H3" t="s">
        <v>21</v>
      </c>
    </row>
    <row r="4" spans="1:8" x14ac:dyDescent="0.25">
      <c r="A4" s="20">
        <v>3</v>
      </c>
      <c r="B4" s="21">
        <v>45748</v>
      </c>
      <c r="C4" s="22">
        <v>6</v>
      </c>
      <c r="D4" s="20">
        <v>190</v>
      </c>
      <c r="E4">
        <f t="shared" si="0"/>
        <v>31.666666666666668</v>
      </c>
      <c r="F4">
        <v>130</v>
      </c>
      <c r="G4">
        <f t="shared" si="1"/>
        <v>24700</v>
      </c>
      <c r="H4" t="s">
        <v>21</v>
      </c>
    </row>
    <row r="5" spans="1:8" x14ac:dyDescent="0.25">
      <c r="A5" s="20">
        <v>4</v>
      </c>
      <c r="B5" s="21">
        <v>45778</v>
      </c>
      <c r="C5" s="22">
        <v>21</v>
      </c>
      <c r="D5" s="20">
        <v>790</v>
      </c>
      <c r="E5">
        <f t="shared" si="0"/>
        <v>37.61904761904762</v>
      </c>
      <c r="F5">
        <v>130</v>
      </c>
      <c r="G5">
        <f t="shared" si="1"/>
        <v>102700</v>
      </c>
      <c r="H5" t="s">
        <v>21</v>
      </c>
    </row>
    <row r="6" spans="1:8" x14ac:dyDescent="0.25">
      <c r="A6" s="20">
        <v>5</v>
      </c>
      <c r="B6" s="21">
        <v>45809</v>
      </c>
      <c r="C6" s="22">
        <v>28</v>
      </c>
      <c r="D6" s="20">
        <v>1060</v>
      </c>
      <c r="E6">
        <f t="shared" si="0"/>
        <v>37.857142857142854</v>
      </c>
      <c r="F6">
        <v>130</v>
      </c>
      <c r="G6">
        <f t="shared" si="1"/>
        <v>137800</v>
      </c>
      <c r="H6" t="s">
        <v>21</v>
      </c>
    </row>
    <row r="7" spans="1:8" x14ac:dyDescent="0.25">
      <c r="A7" s="20">
        <v>6</v>
      </c>
      <c r="B7" s="21">
        <v>45839</v>
      </c>
      <c r="C7" s="22">
        <v>26</v>
      </c>
      <c r="D7" s="20">
        <v>976</v>
      </c>
      <c r="E7">
        <f t="shared" si="0"/>
        <v>37.53846153846154</v>
      </c>
      <c r="F7">
        <v>130</v>
      </c>
      <c r="G7">
        <f t="shared" si="1"/>
        <v>126880</v>
      </c>
      <c r="H7" t="s">
        <v>21</v>
      </c>
    </row>
    <row r="8" spans="1:8" x14ac:dyDescent="0.25">
      <c r="A8" s="20">
        <v>7</v>
      </c>
      <c r="B8" s="21">
        <v>45870</v>
      </c>
      <c r="C8" s="20">
        <v>15</v>
      </c>
      <c r="D8" s="20">
        <v>600</v>
      </c>
      <c r="E8">
        <f t="shared" si="0"/>
        <v>40</v>
      </c>
      <c r="F8">
        <v>130</v>
      </c>
      <c r="G8">
        <f t="shared" si="1"/>
        <v>78000</v>
      </c>
      <c r="H8" t="s">
        <v>21</v>
      </c>
    </row>
    <row r="9" spans="1:8" x14ac:dyDescent="0.25">
      <c r="A9" s="20">
        <v>8</v>
      </c>
      <c r="B9" s="21">
        <v>45901</v>
      </c>
      <c r="C9" s="20">
        <v>3</v>
      </c>
      <c r="D9" s="20">
        <v>120</v>
      </c>
      <c r="E9">
        <f t="shared" si="0"/>
        <v>40</v>
      </c>
      <c r="F9">
        <v>130</v>
      </c>
      <c r="G9">
        <f t="shared" si="1"/>
        <v>15600</v>
      </c>
      <c r="H9" t="s">
        <v>21</v>
      </c>
    </row>
    <row r="10" spans="1:8" x14ac:dyDescent="0.25">
      <c r="A10" s="20">
        <v>9</v>
      </c>
      <c r="B10" s="21">
        <v>45931</v>
      </c>
      <c r="C10" s="20">
        <v>11</v>
      </c>
      <c r="D10" s="20">
        <v>270</v>
      </c>
      <c r="E10">
        <f t="shared" si="0"/>
        <v>24.545454545454547</v>
      </c>
      <c r="F10">
        <v>130</v>
      </c>
      <c r="G10">
        <f t="shared" si="1"/>
        <v>35100</v>
      </c>
      <c r="H10" t="s">
        <v>21</v>
      </c>
    </row>
    <row r="11" spans="1:8" x14ac:dyDescent="0.25">
      <c r="A11" s="20">
        <v>10</v>
      </c>
      <c r="B11" s="21">
        <v>45962</v>
      </c>
      <c r="C11" s="20">
        <v>11</v>
      </c>
      <c r="D11" s="20">
        <v>300</v>
      </c>
      <c r="E11">
        <f t="shared" si="0"/>
        <v>27.272727272727273</v>
      </c>
      <c r="F11">
        <v>130</v>
      </c>
      <c r="G11">
        <f t="shared" si="1"/>
        <v>39000</v>
      </c>
      <c r="H11" t="s">
        <v>21</v>
      </c>
    </row>
    <row r="12" spans="1:8" x14ac:dyDescent="0.25">
      <c r="A12" s="20">
        <v>11</v>
      </c>
      <c r="B12" s="21">
        <v>45992</v>
      </c>
      <c r="C12" s="20">
        <v>13</v>
      </c>
      <c r="D12" s="20">
        <v>380</v>
      </c>
      <c r="E12">
        <f t="shared" si="0"/>
        <v>29.23076923076923</v>
      </c>
      <c r="F12">
        <v>130</v>
      </c>
      <c r="G12">
        <f t="shared" si="1"/>
        <v>49400</v>
      </c>
      <c r="H12" t="s">
        <v>21</v>
      </c>
    </row>
    <row r="13" spans="1:8" x14ac:dyDescent="0.25">
      <c r="A13" s="20">
        <v>12</v>
      </c>
      <c r="B13" s="21">
        <v>46023</v>
      </c>
      <c r="C13" s="20">
        <v>18</v>
      </c>
      <c r="D13" s="20">
        <v>610</v>
      </c>
      <c r="E13">
        <f t="shared" si="0"/>
        <v>33.888888888888886</v>
      </c>
      <c r="F13">
        <v>130</v>
      </c>
      <c r="G13">
        <f t="shared" si="1"/>
        <v>79300</v>
      </c>
      <c r="H13" t="s">
        <v>21</v>
      </c>
    </row>
    <row r="14" spans="1:8" x14ac:dyDescent="0.25">
      <c r="A14" s="20">
        <v>13</v>
      </c>
      <c r="B14" s="21">
        <v>46054</v>
      </c>
      <c r="C14" s="20">
        <v>5</v>
      </c>
      <c r="D14" s="20">
        <v>100</v>
      </c>
      <c r="E14">
        <f t="shared" si="0"/>
        <v>20</v>
      </c>
      <c r="F14">
        <v>130</v>
      </c>
      <c r="G14">
        <f t="shared" si="1"/>
        <v>13000</v>
      </c>
      <c r="H14" t="s">
        <v>21</v>
      </c>
    </row>
    <row r="15" spans="1:8" x14ac:dyDescent="0.25">
      <c r="A15" s="20">
        <v>14</v>
      </c>
      <c r="B15" s="21">
        <v>46082</v>
      </c>
      <c r="C15" s="20">
        <v>31</v>
      </c>
      <c r="D15" s="20">
        <v>846</v>
      </c>
      <c r="E15">
        <f t="shared" si="0"/>
        <v>27.29032258064516</v>
      </c>
      <c r="F15">
        <v>130</v>
      </c>
      <c r="G15">
        <f t="shared" si="1"/>
        <v>109980</v>
      </c>
      <c r="H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ele_consumption</vt:lpstr>
      <vt:lpstr>dg_consumption</vt:lpstr>
      <vt:lpstr>ele_con_sft</vt:lpstr>
      <vt:lpstr>water_consumption</vt:lpstr>
      <vt:lpstr>Tank_cons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2026-03-14T12:23:26Z</dcterms:created>
  <dcterms:modified xsi:type="dcterms:W3CDTF">2026-03-23T12:25:39Z</dcterms:modified>
</cp:coreProperties>
</file>