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enu\Desktop\"/>
    </mc:Choice>
  </mc:AlternateContent>
  <xr:revisionPtr revIDLastSave="0" documentId="13_ncr:1_{B2430449-EA1D-458F-A798-21D0D30027E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3" l="1"/>
  <c r="T54" i="1"/>
  <c r="T55" i="1" s="1"/>
  <c r="T46" i="1"/>
  <c r="G17" i="1"/>
  <c r="L17" i="1"/>
  <c r="N17" i="1"/>
  <c r="R19" i="2" l="1"/>
  <c r="E87" i="1"/>
  <c r="E94" i="1" s="1"/>
  <c r="E44" i="1"/>
  <c r="T95" i="1"/>
  <c r="T96" i="1" s="1"/>
  <c r="M94" i="1"/>
  <c r="N93" i="1"/>
  <c r="L93" i="1"/>
  <c r="I93" i="1"/>
  <c r="J93" i="1" s="1"/>
  <c r="N92" i="1"/>
  <c r="L92" i="1"/>
  <c r="I92" i="1"/>
  <c r="N91" i="1"/>
  <c r="L91" i="1"/>
  <c r="I91" i="1"/>
  <c r="J91" i="1" s="1"/>
  <c r="K91" i="1" s="1"/>
  <c r="G91" i="1"/>
  <c r="N90" i="1"/>
  <c r="L90" i="1"/>
  <c r="I90" i="1"/>
  <c r="J90" i="1" s="1"/>
  <c r="K90" i="1" s="1"/>
  <c r="G90" i="1"/>
  <c r="N89" i="1"/>
  <c r="L89" i="1"/>
  <c r="I89" i="1"/>
  <c r="N88" i="1"/>
  <c r="L88" i="1"/>
  <c r="I88" i="1"/>
  <c r="J88" i="1" s="1"/>
  <c r="G88" i="1"/>
  <c r="H87" i="1"/>
  <c r="H94" i="1" s="1"/>
  <c r="D87" i="1"/>
  <c r="N86" i="1"/>
  <c r="L86" i="1"/>
  <c r="I86" i="1"/>
  <c r="J86" i="1" s="1"/>
  <c r="K86" i="1" s="1"/>
  <c r="G86" i="1"/>
  <c r="N85" i="1"/>
  <c r="L85" i="1"/>
  <c r="I85" i="1"/>
  <c r="J85" i="1" s="1"/>
  <c r="K85" i="1" s="1"/>
  <c r="G85" i="1"/>
  <c r="N84" i="1"/>
  <c r="L84" i="1"/>
  <c r="I84" i="1"/>
  <c r="G84" i="1"/>
  <c r="N83" i="1"/>
  <c r="L83" i="1"/>
  <c r="I83" i="1"/>
  <c r="J83" i="1" s="1"/>
  <c r="N82" i="1"/>
  <c r="L82" i="1"/>
  <c r="I82" i="1"/>
  <c r="J82" i="1" s="1"/>
  <c r="K82" i="1" s="1"/>
  <c r="G82" i="1"/>
  <c r="I81" i="1"/>
  <c r="J81" i="1" s="1"/>
  <c r="I80" i="1"/>
  <c r="J80" i="1" s="1"/>
  <c r="K80" i="1" s="1"/>
  <c r="I79" i="1"/>
  <c r="J79" i="1" s="1"/>
  <c r="N78" i="1"/>
  <c r="I78" i="1"/>
  <c r="J78" i="1" s="1"/>
  <c r="G78" i="1"/>
  <c r="N77" i="1"/>
  <c r="L77" i="1"/>
  <c r="I77" i="1"/>
  <c r="J77" i="1" s="1"/>
  <c r="G77" i="1"/>
  <c r="N76" i="1"/>
  <c r="L76" i="1"/>
  <c r="I76" i="1"/>
  <c r="J76" i="1" s="1"/>
  <c r="K76" i="1" s="1"/>
  <c r="G76" i="1"/>
  <c r="N75" i="1"/>
  <c r="L75" i="1"/>
  <c r="I75" i="1"/>
  <c r="G75" i="1"/>
  <c r="N74" i="1"/>
  <c r="L74" i="1"/>
  <c r="I74" i="1"/>
  <c r="G74" i="1"/>
  <c r="N73" i="1"/>
  <c r="L73" i="1"/>
  <c r="I73" i="1"/>
  <c r="J73" i="1" s="1"/>
  <c r="G73" i="1"/>
  <c r="N72" i="1"/>
  <c r="L72" i="1"/>
  <c r="I72" i="1"/>
  <c r="J72" i="1" s="1"/>
  <c r="K72" i="1" s="1"/>
  <c r="G72" i="1"/>
  <c r="N71" i="1"/>
  <c r="L71" i="1"/>
  <c r="I71" i="1"/>
  <c r="G71" i="1"/>
  <c r="I70" i="1"/>
  <c r="J70" i="1" s="1"/>
  <c r="K70" i="1" s="1"/>
  <c r="G70" i="1"/>
  <c r="I69" i="1"/>
  <c r="J69" i="1" s="1"/>
  <c r="G69" i="1"/>
  <c r="I68" i="1"/>
  <c r="G68" i="1"/>
  <c r="I67" i="1"/>
  <c r="G67" i="1"/>
  <c r="N66" i="1"/>
  <c r="L66" i="1"/>
  <c r="I66" i="1"/>
  <c r="G66" i="1"/>
  <c r="N65" i="1"/>
  <c r="L65" i="1"/>
  <c r="I65" i="1"/>
  <c r="J65" i="1" s="1"/>
  <c r="K65" i="1" s="1"/>
  <c r="G65" i="1"/>
  <c r="N64" i="1"/>
  <c r="L64" i="1"/>
  <c r="I64" i="1"/>
  <c r="G64" i="1"/>
  <c r="I63" i="1"/>
  <c r="G63" i="1"/>
  <c r="N62" i="1"/>
  <c r="L62" i="1"/>
  <c r="I62" i="1"/>
  <c r="J62" i="1" s="1"/>
  <c r="G62" i="1"/>
  <c r="N61" i="1"/>
  <c r="L61" i="1"/>
  <c r="I61" i="1"/>
  <c r="J61" i="1" s="1"/>
  <c r="K61" i="1" s="1"/>
  <c r="N60" i="1"/>
  <c r="L60" i="1"/>
  <c r="I60" i="1"/>
  <c r="G60" i="1"/>
  <c r="N59" i="1"/>
  <c r="L59" i="1"/>
  <c r="I59" i="1"/>
  <c r="J59" i="1" s="1"/>
  <c r="G59" i="1"/>
  <c r="N58" i="1"/>
  <c r="L58" i="1"/>
  <c r="I58" i="1"/>
  <c r="J58" i="1" s="1"/>
  <c r="G58" i="1"/>
  <c r="N57" i="1"/>
  <c r="L57" i="1"/>
  <c r="I57" i="1"/>
  <c r="J57" i="1" s="1"/>
  <c r="K57" i="1" s="1"/>
  <c r="G57" i="1"/>
  <c r="N56" i="1"/>
  <c r="L56" i="1"/>
  <c r="I56" i="1"/>
  <c r="G56" i="1"/>
  <c r="N55" i="1"/>
  <c r="L55" i="1"/>
  <c r="I55" i="1"/>
  <c r="J55" i="1" s="1"/>
  <c r="G55" i="1"/>
  <c r="N54" i="1"/>
  <c r="L54" i="1"/>
  <c r="J54" i="1"/>
  <c r="K54" i="1" s="1"/>
  <c r="G54" i="1"/>
  <c r="A54" i="1"/>
  <c r="A55" i="1" s="1"/>
  <c r="A56" i="1" s="1"/>
  <c r="A57" i="1" s="1"/>
  <c r="A58" i="1" s="1"/>
  <c r="A59" i="1" s="1"/>
  <c r="A60" i="1" s="1"/>
  <c r="A61" i="1" s="1"/>
  <c r="A62" i="1" s="1"/>
  <c r="A63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N53" i="1"/>
  <c r="L53" i="1"/>
  <c r="I53" i="1"/>
  <c r="J53" i="1" s="1"/>
  <c r="G53" i="1"/>
  <c r="M44" i="1"/>
  <c r="M95" i="1" s="1"/>
  <c r="H44" i="1"/>
  <c r="D44" i="1"/>
  <c r="N43" i="1"/>
  <c r="L43" i="1"/>
  <c r="I43" i="1"/>
  <c r="J43" i="1" s="1"/>
  <c r="G43" i="1"/>
  <c r="N42" i="1"/>
  <c r="L42" i="1"/>
  <c r="I42" i="1"/>
  <c r="G42" i="1"/>
  <c r="N41" i="1"/>
  <c r="L41" i="1"/>
  <c r="I41" i="1"/>
  <c r="J41" i="1" s="1"/>
  <c r="G41" i="1"/>
  <c r="N40" i="1"/>
  <c r="L40" i="1"/>
  <c r="I40" i="1"/>
  <c r="J40" i="1" s="1"/>
  <c r="G40" i="1"/>
  <c r="N39" i="1"/>
  <c r="L39" i="1"/>
  <c r="I39" i="1"/>
  <c r="G39" i="1"/>
  <c r="N38" i="1"/>
  <c r="L38" i="1"/>
  <c r="I38" i="1"/>
  <c r="G38" i="1"/>
  <c r="N37" i="1"/>
  <c r="L37" i="1"/>
  <c r="I37" i="1"/>
  <c r="J37" i="1" s="1"/>
  <c r="G37" i="1"/>
  <c r="N36" i="1"/>
  <c r="L36" i="1"/>
  <c r="I36" i="1"/>
  <c r="J36" i="1" s="1"/>
  <c r="K36" i="1" s="1"/>
  <c r="G36" i="1"/>
  <c r="N35" i="1"/>
  <c r="L35" i="1"/>
  <c r="I35" i="1"/>
  <c r="J35" i="1" s="1"/>
  <c r="K35" i="1" s="1"/>
  <c r="N34" i="1"/>
  <c r="L34" i="1"/>
  <c r="I34" i="1"/>
  <c r="J34" i="1" s="1"/>
  <c r="N33" i="1"/>
  <c r="L33" i="1"/>
  <c r="I33" i="1"/>
  <c r="J33" i="1" s="1"/>
  <c r="N32" i="1"/>
  <c r="L32" i="1"/>
  <c r="I32" i="1"/>
  <c r="J32" i="1" s="1"/>
  <c r="G32" i="1"/>
  <c r="N31" i="1"/>
  <c r="L31" i="1"/>
  <c r="I31" i="1"/>
  <c r="J31" i="1" s="1"/>
  <c r="K31" i="1" s="1"/>
  <c r="G31" i="1"/>
  <c r="N30" i="1"/>
  <c r="L30" i="1"/>
  <c r="I30" i="1"/>
  <c r="J30" i="1" s="1"/>
  <c r="K30" i="1" s="1"/>
  <c r="G30" i="1"/>
  <c r="N29" i="1"/>
  <c r="L29" i="1"/>
  <c r="I29" i="1"/>
  <c r="J29" i="1" s="1"/>
  <c r="G29" i="1"/>
  <c r="N28" i="1"/>
  <c r="L28" i="1"/>
  <c r="I28" i="1"/>
  <c r="J28" i="1" s="1"/>
  <c r="G28" i="1"/>
  <c r="N27" i="1"/>
  <c r="L27" i="1"/>
  <c r="I27" i="1"/>
  <c r="J27" i="1" s="1"/>
  <c r="K27" i="1" s="1"/>
  <c r="G27" i="1"/>
  <c r="N26" i="1"/>
  <c r="L26" i="1"/>
  <c r="I26" i="1"/>
  <c r="G26" i="1"/>
  <c r="N25" i="1"/>
  <c r="L25" i="1"/>
  <c r="I25" i="1"/>
  <c r="J25" i="1" s="1"/>
  <c r="G25" i="1"/>
  <c r="N24" i="1"/>
  <c r="L24" i="1"/>
  <c r="I24" i="1"/>
  <c r="J24" i="1" s="1"/>
  <c r="G24" i="1"/>
  <c r="N22" i="1"/>
  <c r="L22" i="1"/>
  <c r="I22" i="1"/>
  <c r="J22" i="1" s="1"/>
  <c r="K22" i="1" s="1"/>
  <c r="G22" i="1"/>
  <c r="N21" i="1"/>
  <c r="L21" i="1"/>
  <c r="I21" i="1"/>
  <c r="J21" i="1" s="1"/>
  <c r="G21" i="1"/>
  <c r="N20" i="1"/>
  <c r="L20" i="1"/>
  <c r="I20" i="1"/>
  <c r="G20" i="1"/>
  <c r="N19" i="1"/>
  <c r="L19" i="1"/>
  <c r="I19" i="1"/>
  <c r="J19" i="1" s="1"/>
  <c r="G19" i="1"/>
  <c r="N16" i="1"/>
  <c r="L16" i="1"/>
  <c r="I16" i="1"/>
  <c r="G16" i="1"/>
  <c r="N15" i="1"/>
  <c r="L15" i="1"/>
  <c r="I15" i="1"/>
  <c r="J15" i="1" s="1"/>
  <c r="K15" i="1" s="1"/>
  <c r="G15" i="1"/>
  <c r="N14" i="1"/>
  <c r="L14" i="1"/>
  <c r="I14" i="1"/>
  <c r="G14" i="1"/>
  <c r="N13" i="1"/>
  <c r="L13" i="1"/>
  <c r="I13" i="1"/>
  <c r="J13" i="1" s="1"/>
  <c r="G13" i="1"/>
  <c r="N12" i="1"/>
  <c r="L12" i="1"/>
  <c r="I12" i="1"/>
  <c r="J12" i="1" s="1"/>
  <c r="K12" i="1" s="1"/>
  <c r="G12" i="1"/>
  <c r="N11" i="1"/>
  <c r="L11" i="1"/>
  <c r="I11" i="1"/>
  <c r="J11" i="1" s="1"/>
  <c r="K11" i="1" s="1"/>
  <c r="G11" i="1"/>
  <c r="N10" i="1"/>
  <c r="L10" i="1"/>
  <c r="I10" i="1"/>
  <c r="J10" i="1" s="1"/>
  <c r="G10" i="1"/>
  <c r="N9" i="1"/>
  <c r="L9" i="1"/>
  <c r="I9" i="1"/>
  <c r="J9" i="1" s="1"/>
  <c r="G9" i="1"/>
  <c r="N8" i="1"/>
  <c r="L8" i="1"/>
  <c r="I8" i="1"/>
  <c r="J8" i="1" s="1"/>
  <c r="K8" i="1" s="1"/>
  <c r="G8" i="1"/>
  <c r="N7" i="1"/>
  <c r="L7" i="1"/>
  <c r="I7" i="1"/>
  <c r="G7" i="1"/>
  <c r="N6" i="1"/>
  <c r="L6" i="1"/>
  <c r="I6" i="1"/>
  <c r="J6" i="1" s="1"/>
  <c r="G6" i="1"/>
  <c r="N5" i="1"/>
  <c r="L5" i="1"/>
  <c r="I5" i="1"/>
  <c r="J5" i="1" s="1"/>
  <c r="G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9" i="1" s="1"/>
  <c r="A20" i="1" s="1"/>
  <c r="A21" i="1" s="1"/>
  <c r="A22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N4" i="1"/>
  <c r="L4" i="1"/>
  <c r="I4" i="1"/>
  <c r="G4" i="1"/>
  <c r="E47" i="1" l="1"/>
  <c r="G49" i="1"/>
  <c r="K53" i="1"/>
  <c r="K28" i="1"/>
  <c r="E95" i="1"/>
  <c r="G44" i="1"/>
  <c r="E46" i="1" s="1"/>
  <c r="J39" i="1"/>
  <c r="K39" i="1" s="1"/>
  <c r="K73" i="1"/>
  <c r="K93" i="1"/>
  <c r="J16" i="1"/>
  <c r="K16" i="1" s="1"/>
  <c r="K69" i="1"/>
  <c r="J74" i="1"/>
  <c r="K74" i="1" s="1"/>
  <c r="K88" i="1"/>
  <c r="K83" i="1"/>
  <c r="I44" i="1"/>
  <c r="K13" i="1"/>
  <c r="K21" i="1"/>
  <c r="K32" i="1"/>
  <c r="K37" i="1"/>
  <c r="K40" i="1"/>
  <c r="K43" i="1"/>
  <c r="J68" i="1"/>
  <c r="K68" i="1" s="1"/>
  <c r="K81" i="1"/>
  <c r="H95" i="1"/>
  <c r="K33" i="1"/>
  <c r="K58" i="1"/>
  <c r="K62" i="1"/>
  <c r="J4" i="1"/>
  <c r="K4" i="1" s="1"/>
  <c r="K9" i="1"/>
  <c r="J66" i="1"/>
  <c r="K66" i="1" s="1"/>
  <c r="K77" i="1"/>
  <c r="K78" i="1"/>
  <c r="K79" i="1"/>
  <c r="N44" i="1"/>
  <c r="J64" i="1"/>
  <c r="K64" i="1" s="1"/>
  <c r="J67" i="1"/>
  <c r="K67" i="1" s="1"/>
  <c r="J71" i="1"/>
  <c r="K71" i="1" s="1"/>
  <c r="J75" i="1"/>
  <c r="K75" i="1" s="1"/>
  <c r="J92" i="1"/>
  <c r="K92" i="1"/>
  <c r="L44" i="1"/>
  <c r="J7" i="1"/>
  <c r="K7" i="1" s="1"/>
  <c r="J14" i="1"/>
  <c r="K14" i="1" s="1"/>
  <c r="K19" i="1"/>
  <c r="J26" i="1"/>
  <c r="K26" i="1" s="1"/>
  <c r="J38" i="1"/>
  <c r="K38" i="1" s="1"/>
  <c r="K41" i="1"/>
  <c r="J56" i="1"/>
  <c r="K56" i="1" s="1"/>
  <c r="J60" i="1"/>
  <c r="K60" i="1" s="1"/>
  <c r="G87" i="1"/>
  <c r="G94" i="1" s="1"/>
  <c r="D94" i="1"/>
  <c r="D95" i="1" s="1"/>
  <c r="N87" i="1"/>
  <c r="N94" i="1" s="1"/>
  <c r="L87" i="1"/>
  <c r="L94" i="1" s="1"/>
  <c r="K5" i="1"/>
  <c r="K6" i="1"/>
  <c r="J20" i="1"/>
  <c r="K20" i="1" s="1"/>
  <c r="K24" i="1"/>
  <c r="K25" i="1"/>
  <c r="K34" i="1"/>
  <c r="J42" i="1"/>
  <c r="K42" i="1" s="1"/>
  <c r="K55" i="1"/>
  <c r="J63" i="1"/>
  <c r="K63" i="1" s="1"/>
  <c r="J89" i="1"/>
  <c r="K89" i="1" s="1"/>
  <c r="K10" i="1"/>
  <c r="K29" i="1"/>
  <c r="K59" i="1"/>
  <c r="J84" i="1"/>
  <c r="K84" i="1" s="1"/>
  <c r="I87" i="1"/>
  <c r="E100" i="1" l="1"/>
  <c r="E101" i="1" s="1"/>
  <c r="G95" i="1"/>
  <c r="G97" i="1" s="1"/>
  <c r="D46" i="1"/>
  <c r="K44" i="1"/>
  <c r="J44" i="1"/>
  <c r="N95" i="1"/>
  <c r="D97" i="1"/>
  <c r="L95" i="1"/>
  <c r="J87" i="1"/>
  <c r="J94" i="1" s="1"/>
  <c r="I94" i="1"/>
  <c r="I95" i="1" s="1"/>
  <c r="J95" i="1" l="1"/>
  <c r="K87" i="1"/>
  <c r="K94" i="1" s="1"/>
  <c r="K95" i="1" s="1"/>
</calcChain>
</file>

<file path=xl/sharedStrings.xml><?xml version="1.0" encoding="utf-8"?>
<sst xmlns="http://schemas.openxmlformats.org/spreadsheetml/2006/main" count="214" uniqueCount="161">
  <si>
    <t>SLN TERMINUS OWNERS WELFARE ASSOCIATION</t>
  </si>
  <si>
    <t>CAM CHARGES DETAILS</t>
  </si>
  <si>
    <t>SL No</t>
  </si>
  <si>
    <t>Office Name</t>
  </si>
  <si>
    <t>Unit No</t>
  </si>
  <si>
    <t>Area</t>
  </si>
  <si>
    <t>CAM Rate</t>
  </si>
  <si>
    <t>Amount</t>
  </si>
  <si>
    <t>Amount Rs.</t>
  </si>
  <si>
    <t>GST</t>
  </si>
  <si>
    <t>Total</t>
  </si>
  <si>
    <t>June Area</t>
  </si>
  <si>
    <t xml:space="preserve">CAM rate from /Revised on </t>
  </si>
  <si>
    <t xml:space="preserve">Sai Life Sciences Ltd_x000D_
</t>
  </si>
  <si>
    <t>L4-01 &amp; 02</t>
  </si>
  <si>
    <t>L4-03-01</t>
  </si>
  <si>
    <t>DataTracks Services  Private Limited</t>
  </si>
  <si>
    <t>L4-03-03</t>
  </si>
  <si>
    <t>TROUW NUTRITION INDIA PRIVATE LIMITED_x000D_</t>
  </si>
  <si>
    <t>L4-04</t>
  </si>
  <si>
    <t>IDFC First Bharat Limited</t>
  </si>
  <si>
    <t>L4-05</t>
  </si>
  <si>
    <t xml:space="preserve">EUCLID INNOVATIONS PRIVATE LTD_x000D_
</t>
  </si>
  <si>
    <t>L4-06-01</t>
  </si>
  <si>
    <t>Blue Creative Soft Technologies Pvt Ltd</t>
  </si>
  <si>
    <t>L4-06-02</t>
  </si>
  <si>
    <t>Tata Communications Limited</t>
  </si>
  <si>
    <t>L5-01</t>
  </si>
  <si>
    <t>Syntax Systems Private Limited</t>
  </si>
  <si>
    <t>L5-02</t>
  </si>
  <si>
    <t>L5-03-01</t>
  </si>
  <si>
    <t>Veni Rao Foundation</t>
  </si>
  <si>
    <t>L5-03-02A</t>
  </si>
  <si>
    <t>MV PURUSHOTTAMA RAO</t>
  </si>
  <si>
    <t>RAMBOLL INDIA PVT. LTD.</t>
  </si>
  <si>
    <t>L5-06-01</t>
  </si>
  <si>
    <t xml:space="preserve">Dr. R.Kodandarama Rao_x000D_
</t>
  </si>
  <si>
    <t>L5-06-02</t>
  </si>
  <si>
    <t>L5-06-03</t>
  </si>
  <si>
    <t xml:space="preserve">HIL Limited_x000D_
</t>
  </si>
  <si>
    <t xml:space="preserve">L6-01 </t>
  </si>
  <si>
    <t>Fedex Trade Networks Transport &amp; Brokerage Pvt Ltd</t>
  </si>
  <si>
    <t>L6-02</t>
  </si>
  <si>
    <t>ARK Infra Developers Pvt Ltd</t>
  </si>
  <si>
    <t>L6-03-01</t>
  </si>
  <si>
    <t>CUMMINS INDIA LIMITED</t>
  </si>
  <si>
    <t>L6-03-02</t>
  </si>
  <si>
    <t xml:space="preserve">Glaxo Smithkline Consumer Pvt Ltd_x000D_
</t>
  </si>
  <si>
    <t>L6-04</t>
  </si>
  <si>
    <t>L6-05</t>
  </si>
  <si>
    <t>Tekvizion Voice Solutions Pvt. Ltd</t>
  </si>
  <si>
    <t>L6-06-01</t>
  </si>
  <si>
    <t>L6-06-02</t>
  </si>
  <si>
    <t>L7-01 &amp; 02</t>
  </si>
  <si>
    <t>L7-03</t>
  </si>
  <si>
    <t>Vacant</t>
  </si>
  <si>
    <t>L7-04</t>
  </si>
  <si>
    <t>L7-05</t>
  </si>
  <si>
    <t>L7-06</t>
  </si>
  <si>
    <t xml:space="preserve">Regus Grandeur Offices Private Ltd_x000D_
</t>
  </si>
  <si>
    <t>L8-01</t>
  </si>
  <si>
    <t xml:space="preserve">Pheonix American Salesfocus Solutions India Pvt. Ltd_x000D_
</t>
  </si>
  <si>
    <t>L8-02</t>
  </si>
  <si>
    <t>Float  Technology Solutions Pvt Ltd</t>
  </si>
  <si>
    <t>L8-03</t>
  </si>
  <si>
    <t xml:space="preserve">Indus Towers Limited_x000D_
</t>
  </si>
  <si>
    <t>L8-04 &amp; 05</t>
  </si>
  <si>
    <t>SYNERGY GLOBAL TECHNOLOGIES PVT LTD</t>
  </si>
  <si>
    <t>L8-06-02</t>
  </si>
  <si>
    <t xml:space="preserve">Asian Gold Restaurants LLP _x000D_
</t>
  </si>
  <si>
    <t>L-10</t>
  </si>
  <si>
    <t>L9</t>
  </si>
  <si>
    <t xml:space="preserve">SLN TERMINUS HOTELS AND RESORTS PVT LTD_x000D_
</t>
  </si>
  <si>
    <t>L10-L12</t>
  </si>
  <si>
    <t>TOTAL</t>
  </si>
  <si>
    <t>Mall Details</t>
  </si>
  <si>
    <t>Store Name</t>
  </si>
  <si>
    <t>Avenue Super Marts Limited</t>
  </si>
  <si>
    <t>LG-04 &amp; L1-04</t>
  </si>
  <si>
    <t>Draak Espresso</t>
  </si>
  <si>
    <t>LG-02</t>
  </si>
  <si>
    <t>LG-03</t>
  </si>
  <si>
    <t xml:space="preserve">ARCHEE GARMENTS PVT LTD (IBADAT)_x000D_
</t>
  </si>
  <si>
    <t>LG-05</t>
  </si>
  <si>
    <t xml:space="preserve">Jubliant Food Works Ltd (Dunken &amp; Donuts)_x000D_
</t>
  </si>
  <si>
    <t>LG-11-02</t>
  </si>
  <si>
    <t>LG-06</t>
  </si>
  <si>
    <t>LG-07</t>
  </si>
  <si>
    <t>LG-08</t>
  </si>
  <si>
    <t>Mr Bubble</t>
  </si>
  <si>
    <t>LG-09</t>
  </si>
  <si>
    <t>LG-10</t>
  </si>
  <si>
    <t>Niggimado LLP</t>
  </si>
  <si>
    <t>LG-11-01 partA</t>
  </si>
  <si>
    <t>LG-11-01 partB</t>
  </si>
  <si>
    <t>L1-02</t>
  </si>
  <si>
    <t xml:space="preserve">LOTUS INCORPORATION (Jockey)_x000D_
</t>
  </si>
  <si>
    <t>L1-03</t>
  </si>
  <si>
    <t>Cross Breed</t>
  </si>
  <si>
    <t>L1-05</t>
  </si>
  <si>
    <t>L1-06</t>
  </si>
  <si>
    <t>L1-07</t>
  </si>
  <si>
    <t>SHINHAN BANK</t>
  </si>
  <si>
    <t>L1-08</t>
  </si>
  <si>
    <t>L2-01</t>
  </si>
  <si>
    <t xml:space="preserve">GOB SMACK FOODS ( NORFEST)_x000D_
</t>
  </si>
  <si>
    <t>L2-02</t>
  </si>
  <si>
    <t>L2-03</t>
  </si>
  <si>
    <t>Vaaraahi Hospitalities</t>
  </si>
  <si>
    <t>L2-04-03</t>
  </si>
  <si>
    <t>Movie Time Cinemas Private Ltd (L-2-04)</t>
  </si>
  <si>
    <t>L2-04-02</t>
  </si>
  <si>
    <t>Katikaneni Hotels &amp; Resorts</t>
  </si>
  <si>
    <t>RAJ INK TATTOOS STUDIO</t>
  </si>
  <si>
    <t>L2-05</t>
  </si>
  <si>
    <t>L2-06</t>
  </si>
  <si>
    <t>L2-07</t>
  </si>
  <si>
    <t>L2-08</t>
  </si>
  <si>
    <t xml:space="preserve">Surya Melange &amp; Bistro P Ltd (LAL STREET)_x000D_
</t>
  </si>
  <si>
    <t>L2-09</t>
  </si>
  <si>
    <t>L2-09-1</t>
  </si>
  <si>
    <t>L2-10</t>
  </si>
  <si>
    <t xml:space="preserve">MOVIE TIME CINEMAS PRIVATE LIMITED-L-03-01_x000D_
</t>
  </si>
  <si>
    <t>L-3-01</t>
  </si>
  <si>
    <t>L3-01 Part</t>
  </si>
  <si>
    <t>L3-02,03, C.A.</t>
  </si>
  <si>
    <t>Mili Foods (Sub Way)</t>
  </si>
  <si>
    <t>L3-04-01</t>
  </si>
  <si>
    <t>GLR Property Management Services</t>
  </si>
  <si>
    <t>L3-04-02</t>
  </si>
  <si>
    <t>L3-04-03</t>
  </si>
  <si>
    <t>SWADISHT KHATTA MEETHA CHAT</t>
  </si>
  <si>
    <t>L3-04-04</t>
  </si>
  <si>
    <t>MOBILEBITZ</t>
  </si>
  <si>
    <t>L2-Kiosk</t>
  </si>
  <si>
    <t>LG- Kiosk (Vacant)</t>
  </si>
  <si>
    <t>LG</t>
  </si>
  <si>
    <t>G.TOTAL</t>
  </si>
  <si>
    <t>Koerber India Chain software pvt ltd</t>
  </si>
  <si>
    <t>Vyom Salon</t>
  </si>
  <si>
    <t>Occupied Area</t>
  </si>
  <si>
    <t>Furnished</t>
  </si>
  <si>
    <t>L6-01</t>
  </si>
  <si>
    <t>Bareshell</t>
  </si>
  <si>
    <t>L5-04&amp;05</t>
  </si>
  <si>
    <t>L5-03</t>
  </si>
  <si>
    <t>Will be available in Dec-24</t>
  </si>
  <si>
    <t>Spaces Availability for Lease in SLN</t>
  </si>
  <si>
    <t>Will be available in Oct-24</t>
  </si>
  <si>
    <t>AKM Global</t>
  </si>
  <si>
    <t>Aeronutrix</t>
  </si>
  <si>
    <t xml:space="preserve">ET Creatives
</t>
  </si>
  <si>
    <t>Criss Financial</t>
  </si>
  <si>
    <t>Scale Global</t>
  </si>
  <si>
    <t>Emids</t>
  </si>
  <si>
    <t>Sairabh</t>
  </si>
  <si>
    <t>L1-01</t>
  </si>
  <si>
    <t>VAcant</t>
  </si>
  <si>
    <t>L5-04</t>
  </si>
  <si>
    <t>L5-05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</si>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</sst>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name val="Arial"/>
      <family val="2"/>
    </font>
    <font>
      <sz val="10"/>
      <color theme="1"/>
      <name val="Gill Sans"/>
      <family val="2"/>
    </font>
    <font>
      <sz val="9"/>
      <name val="Bookman Old Style"/>
      <family val="1"/>
    </font>
    <font>
      <sz val="11"/>
      <name val="Bookman Old Style"/>
      <family val="1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Bookman Old Style"/>
      <family val="1"/>
    </font>
    <font>
      <sz val="9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1" fontId="0" fillId="0" borderId="0" xfId="0" applyNumberFormat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4" fontId="2" fillId="0" borderId="2" xfId="1" applyNumberFormat="1" applyFont="1" applyBorder="1" applyAlignment="1">
      <alignment wrapText="1"/>
    </xf>
    <xf numFmtId="17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2" xfId="0" applyBorder="1"/>
    <xf numFmtId="49" fontId="4" fillId="0" borderId="2" xfId="0" applyNumberFormat="1" applyFont="1" applyBorder="1" applyAlignment="1">
      <alignment vertical="top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164" fontId="0" fillId="0" borderId="2" xfId="1" applyNumberFormat="1" applyFont="1" applyBorder="1"/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3" borderId="0" xfId="0" applyNumberFormat="1" applyFill="1" applyAlignment="1">
      <alignment horizontal="left"/>
    </xf>
    <xf numFmtId="49" fontId="4" fillId="0" borderId="2" xfId="0" applyNumberFormat="1" applyFont="1" applyBorder="1" applyAlignment="1">
      <alignment vertical="top"/>
    </xf>
    <xf numFmtId="0" fontId="0" fillId="2" borderId="2" xfId="0" applyFill="1" applyBorder="1" applyAlignment="1">
      <alignment horizontal="left" vertical="center"/>
    </xf>
    <xf numFmtId="0" fontId="6" fillId="0" borderId="2" xfId="2" applyFont="1" applyBorder="1"/>
    <xf numFmtId="1" fontId="7" fillId="0" borderId="2" xfId="0" applyNumberFormat="1" applyFont="1" applyBorder="1" applyAlignment="1">
      <alignment horizontal="left" vertical="center"/>
    </xf>
    <xf numFmtId="1" fontId="7" fillId="2" borderId="2" xfId="0" applyNumberFormat="1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/>
    <xf numFmtId="2" fontId="0" fillId="0" borderId="2" xfId="0" applyNumberFormat="1" applyBorder="1" applyAlignment="1">
      <alignment horizontal="left" vertical="center"/>
    </xf>
    <xf numFmtId="2" fontId="0" fillId="2" borderId="2" xfId="0" applyNumberFormat="1" applyFill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49" fontId="12" fillId="0" borderId="2" xfId="3" applyNumberFormat="1" applyFont="1" applyFill="1" applyBorder="1" applyAlignment="1" applyProtection="1"/>
    <xf numFmtId="0" fontId="0" fillId="0" borderId="3" xfId="0" applyBorder="1"/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0" borderId="2" xfId="0" applyFont="1" applyBorder="1"/>
    <xf numFmtId="49" fontId="13" fillId="0" borderId="2" xfId="3" applyNumberFormat="1" applyFont="1" applyFill="1" applyBorder="1" applyAlignment="1" applyProtection="1">
      <alignment wrapText="1"/>
    </xf>
    <xf numFmtId="164" fontId="2" fillId="0" borderId="2" xfId="1" applyNumberFormat="1" applyFont="1" applyBorder="1"/>
    <xf numFmtId="164" fontId="2" fillId="0" borderId="2" xfId="1" applyNumberFormat="1" applyFont="1" applyFill="1" applyBorder="1"/>
    <xf numFmtId="1" fontId="2" fillId="0" borderId="2" xfId="1" applyNumberFormat="1" applyFont="1" applyFill="1" applyBorder="1"/>
    <xf numFmtId="1" fontId="2" fillId="0" borderId="4" xfId="1" applyNumberFormat="1" applyFont="1" applyFill="1" applyBorder="1"/>
    <xf numFmtId="0" fontId="2" fillId="0" borderId="0" xfId="0" applyFont="1"/>
    <xf numFmtId="49" fontId="0" fillId="0" borderId="0" xfId="0" applyNumberFormat="1"/>
    <xf numFmtId="164" fontId="0" fillId="0" borderId="0" xfId="1" applyNumberFormat="1" applyFont="1"/>
    <xf numFmtId="43" fontId="0" fillId="0" borderId="0" xfId="0" applyNumberFormat="1" applyAlignment="1">
      <alignment horizontal="left"/>
    </xf>
    <xf numFmtId="49" fontId="2" fillId="0" borderId="0" xfId="0" applyNumberFormat="1" applyFont="1"/>
    <xf numFmtId="49" fontId="2" fillId="0" borderId="2" xfId="0" applyNumberFormat="1" applyFont="1" applyBorder="1" applyAlignment="1">
      <alignment wrapText="1"/>
    </xf>
    <xf numFmtId="49" fontId="4" fillId="0" borderId="5" xfId="0" applyNumberFormat="1" applyFont="1" applyBorder="1" applyAlignment="1">
      <alignment vertical="top"/>
    </xf>
    <xf numFmtId="0" fontId="14" fillId="0" borderId="2" xfId="0" applyFont="1" applyBorder="1"/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49" fontId="12" fillId="0" borderId="2" xfId="3" applyNumberFormat="1" applyFont="1" applyFill="1" applyBorder="1" applyAlignment="1" applyProtection="1">
      <alignment vertical="top"/>
    </xf>
    <xf numFmtId="49" fontId="4" fillId="0" borderId="5" xfId="0" applyNumberFormat="1" applyFont="1" applyBorder="1" applyAlignment="1">
      <alignment vertical="top" wrapText="1"/>
    </xf>
    <xf numFmtId="2" fontId="0" fillId="0" borderId="2" xfId="0" applyNumberFormat="1" applyBorder="1"/>
    <xf numFmtId="49" fontId="12" fillId="0" borderId="2" xfId="3" applyNumberFormat="1" applyFont="1" applyFill="1" applyBorder="1" applyAlignment="1" applyProtection="1">
      <alignment horizontal="left" wrapText="1"/>
    </xf>
    <xf numFmtId="2" fontId="0" fillId="0" borderId="2" xfId="0" applyNumberFormat="1" applyBorder="1" applyAlignment="1">
      <alignment horizontal="left"/>
    </xf>
    <xf numFmtId="2" fontId="0" fillId="2" borderId="2" xfId="0" applyNumberFormat="1" applyFill="1" applyBorder="1" applyAlignment="1">
      <alignment horizontal="left"/>
    </xf>
    <xf numFmtId="0" fontId="15" fillId="0" borderId="2" xfId="0" applyFont="1" applyBorder="1"/>
    <xf numFmtId="164" fontId="0" fillId="0" borderId="2" xfId="1" applyNumberFormat="1" applyFont="1" applyFill="1" applyBorder="1"/>
    <xf numFmtId="49" fontId="2" fillId="0" borderId="2" xfId="0" applyNumberFormat="1" applyFont="1" applyBorder="1"/>
    <xf numFmtId="0" fontId="0" fillId="0" borderId="6" xfId="0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2" borderId="2" xfId="0" applyFill="1" applyBorder="1"/>
    <xf numFmtId="49" fontId="4" fillId="2" borderId="2" xfId="0" applyNumberFormat="1" applyFont="1" applyFill="1" applyBorder="1" applyAlignment="1">
      <alignment vertical="top" wrapText="1"/>
    </xf>
    <xf numFmtId="0" fontId="9" fillId="2" borderId="2" xfId="0" applyFont="1" applyFill="1" applyBorder="1"/>
    <xf numFmtId="164" fontId="0" fillId="2" borderId="2" xfId="1" applyNumberFormat="1" applyFont="1" applyFill="1" applyBorder="1"/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left"/>
    </xf>
    <xf numFmtId="0" fontId="0" fillId="2" borderId="0" xfId="0" applyFill="1"/>
    <xf numFmtId="1" fontId="0" fillId="2" borderId="2" xfId="0" applyNumberFormat="1" applyFill="1" applyBorder="1" applyAlignment="1">
      <alignment horizontal="left"/>
    </xf>
    <xf numFmtId="49" fontId="4" fillId="2" borderId="5" xfId="0" applyNumberFormat="1" applyFont="1" applyFill="1" applyBorder="1" applyAlignment="1">
      <alignment vertical="top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Normal 2" xfId="2" xr:uid="{C1CD2B54-B4F2-4818-A788-F187D40E9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8"/>
  <sheetViews>
    <sheetView workbookViewId="0">
      <selection sqref="A1:O23"/>
    </sheetView>
  </sheetViews>
  <sheetFormatPr defaultRowHeight="15"/>
  <cols>
    <col min="1" max="1" width="6.28515625" customWidth="1"/>
    <col min="2" max="2" width="48" customWidth="1"/>
    <col min="3" max="3" width="14.7109375" bestFit="1" customWidth="1"/>
    <col min="4" max="5" width="10.28515625" style="14" customWidth="1"/>
    <col min="6" max="6" width="6.28515625" customWidth="1"/>
    <col min="7" max="7" width="11.28515625" style="39" customWidth="1"/>
    <col min="8" max="9" width="11.28515625" hidden="1" customWidth="1"/>
    <col min="10" max="11" width="11.28515625" style="1" hidden="1" customWidth="1"/>
    <col min="12" max="13" width="0" hidden="1" customWidth="1"/>
    <col min="14" max="14" width="11" hidden="1" customWidth="1"/>
    <col min="15" max="15" width="13.42578125" customWidth="1"/>
  </cols>
  <sheetData>
    <row r="1" spans="1:18" ht="21">
      <c r="A1" s="68" t="s">
        <v>0</v>
      </c>
      <c r="B1" s="68"/>
      <c r="C1" s="68"/>
      <c r="D1" s="68"/>
      <c r="E1" s="68"/>
      <c r="F1" s="68"/>
      <c r="G1" s="68"/>
    </row>
    <row r="2" spans="1:18">
      <c r="A2" s="69" t="s">
        <v>1</v>
      </c>
      <c r="B2" s="69"/>
      <c r="C2" s="69"/>
      <c r="D2" s="69"/>
      <c r="E2" s="69"/>
      <c r="F2" s="69"/>
      <c r="G2" s="69"/>
    </row>
    <row r="3" spans="1:18" s="7" customFormat="1" ht="26.45" customHeight="1">
      <c r="A3" s="2" t="s">
        <v>2</v>
      </c>
      <c r="B3" s="2" t="s">
        <v>3</v>
      </c>
      <c r="C3" s="2" t="s">
        <v>4</v>
      </c>
      <c r="D3" s="3" t="s">
        <v>140</v>
      </c>
      <c r="E3" s="3" t="s">
        <v>5</v>
      </c>
      <c r="F3" s="2" t="s">
        <v>6</v>
      </c>
      <c r="G3" s="4" t="s">
        <v>7</v>
      </c>
      <c r="H3" s="5">
        <v>45017</v>
      </c>
      <c r="I3" s="5" t="s">
        <v>8</v>
      </c>
      <c r="J3" s="6" t="s">
        <v>9</v>
      </c>
      <c r="K3" s="6" t="s">
        <v>10</v>
      </c>
      <c r="L3" s="5">
        <v>45047</v>
      </c>
      <c r="M3" s="5" t="s">
        <v>11</v>
      </c>
      <c r="N3" s="5" t="s">
        <v>7</v>
      </c>
      <c r="O3" s="2" t="s">
        <v>12</v>
      </c>
    </row>
    <row r="4" spans="1:18" ht="18" hidden="1" customHeight="1">
      <c r="A4" s="8">
        <v>1</v>
      </c>
      <c r="B4" s="9" t="s">
        <v>13</v>
      </c>
      <c r="C4" s="10" t="s">
        <v>14</v>
      </c>
      <c r="D4" s="11">
        <v>25150.560000000001</v>
      </c>
      <c r="E4" s="11">
        <v>25150.560000000001</v>
      </c>
      <c r="F4" s="8">
        <v>10</v>
      </c>
      <c r="G4" s="12">
        <f>+D4*F4</f>
        <v>251505.6</v>
      </c>
      <c r="H4" s="13">
        <v>25150.560000000001</v>
      </c>
      <c r="I4" s="14">
        <f>+H4*F4</f>
        <v>251505.6</v>
      </c>
      <c r="J4" s="15">
        <f>+I4*18%</f>
        <v>45271.008000000002</v>
      </c>
      <c r="K4" s="16">
        <f>+I4+J4</f>
        <v>296776.60800000001</v>
      </c>
      <c r="L4" s="16">
        <f>+D4*F4</f>
        <v>251505.6</v>
      </c>
      <c r="N4">
        <f>+D4*F4</f>
        <v>251505.6</v>
      </c>
      <c r="O4" s="8"/>
    </row>
    <row r="5" spans="1:18" ht="24" hidden="1">
      <c r="A5" s="8">
        <f>+A4+1</f>
        <v>2</v>
      </c>
      <c r="B5" s="9" t="s">
        <v>47</v>
      </c>
      <c r="C5" s="10" t="s">
        <v>15</v>
      </c>
      <c r="D5" s="11">
        <v>5592</v>
      </c>
      <c r="E5" s="11">
        <v>5592</v>
      </c>
      <c r="F5" s="8">
        <v>12</v>
      </c>
      <c r="G5" s="12">
        <f t="shared" ref="G5:G43" si="0">+D5*F5</f>
        <v>67104</v>
      </c>
      <c r="H5" s="13">
        <v>5592</v>
      </c>
      <c r="I5" s="14">
        <f t="shared" ref="I5:I43" si="1">+H5*F5</f>
        <v>67104</v>
      </c>
      <c r="J5" s="15">
        <f t="shared" ref="J5:J43" si="2">+I5*18%</f>
        <v>12078.72</v>
      </c>
      <c r="K5" s="16">
        <f t="shared" ref="K5:K43" si="3">+I5+J5</f>
        <v>79182.720000000001</v>
      </c>
      <c r="L5" s="16">
        <f t="shared" ref="L5:L43" si="4">+D5*F5</f>
        <v>67104</v>
      </c>
      <c r="N5">
        <f t="shared" ref="N5:N43" si="5">+D5*F5</f>
        <v>67104</v>
      </c>
      <c r="O5" s="8"/>
    </row>
    <row r="6" spans="1:18" hidden="1">
      <c r="A6" s="8">
        <f t="shared" ref="A6:A43" si="6">+A5+1</f>
        <v>3</v>
      </c>
      <c r="B6" s="9" t="s">
        <v>16</v>
      </c>
      <c r="C6" s="8" t="s">
        <v>17</v>
      </c>
      <c r="D6" s="11">
        <v>1600</v>
      </c>
      <c r="E6" s="11">
        <v>1600</v>
      </c>
      <c r="F6" s="8">
        <v>12</v>
      </c>
      <c r="G6" s="12">
        <f t="shared" si="0"/>
        <v>19200</v>
      </c>
      <c r="H6" s="13">
        <v>1600</v>
      </c>
      <c r="I6" s="14">
        <f t="shared" si="1"/>
        <v>19200</v>
      </c>
      <c r="J6" s="15">
        <f t="shared" si="2"/>
        <v>3456</v>
      </c>
      <c r="K6" s="16">
        <f t="shared" si="3"/>
        <v>22656</v>
      </c>
      <c r="L6" s="16">
        <f t="shared" si="4"/>
        <v>19200</v>
      </c>
      <c r="N6">
        <f t="shared" si="5"/>
        <v>19200</v>
      </c>
      <c r="O6" s="8"/>
    </row>
    <row r="7" spans="1:18" hidden="1">
      <c r="A7" s="8">
        <f t="shared" si="6"/>
        <v>4</v>
      </c>
      <c r="B7" s="17" t="s">
        <v>18</v>
      </c>
      <c r="C7" s="10" t="s">
        <v>19</v>
      </c>
      <c r="D7" s="11">
        <v>10585</v>
      </c>
      <c r="E7" s="11">
        <v>10585</v>
      </c>
      <c r="F7" s="8">
        <v>12</v>
      </c>
      <c r="G7" s="12">
        <f t="shared" si="0"/>
        <v>127020</v>
      </c>
      <c r="H7" s="13">
        <v>10585</v>
      </c>
      <c r="I7" s="14">
        <f t="shared" si="1"/>
        <v>127020</v>
      </c>
      <c r="J7" s="15">
        <f t="shared" si="2"/>
        <v>22863.599999999999</v>
      </c>
      <c r="K7" s="16">
        <f t="shared" si="3"/>
        <v>149883.6</v>
      </c>
      <c r="L7" s="16">
        <f t="shared" si="4"/>
        <v>127020</v>
      </c>
      <c r="N7">
        <f t="shared" si="5"/>
        <v>127020</v>
      </c>
      <c r="O7" s="8"/>
    </row>
    <row r="8" spans="1:18" hidden="1">
      <c r="A8" s="8">
        <f t="shared" si="6"/>
        <v>5</v>
      </c>
      <c r="B8" s="17" t="s">
        <v>20</v>
      </c>
      <c r="C8" s="8" t="s">
        <v>21</v>
      </c>
      <c r="D8" s="11">
        <v>8199</v>
      </c>
      <c r="E8" s="11">
        <v>8199</v>
      </c>
      <c r="F8" s="8">
        <v>12</v>
      </c>
      <c r="G8" s="12">
        <f t="shared" si="0"/>
        <v>98388</v>
      </c>
      <c r="H8" s="13">
        <v>8199</v>
      </c>
      <c r="I8" s="14">
        <f t="shared" si="1"/>
        <v>98388</v>
      </c>
      <c r="J8" s="15">
        <f t="shared" si="2"/>
        <v>17709.84</v>
      </c>
      <c r="K8" s="16">
        <f t="shared" si="3"/>
        <v>116097.84</v>
      </c>
      <c r="L8" s="16">
        <f t="shared" si="4"/>
        <v>98388</v>
      </c>
      <c r="N8">
        <f t="shared" si="5"/>
        <v>98388</v>
      </c>
      <c r="O8" s="8"/>
    </row>
    <row r="9" spans="1:18" ht="24" hidden="1">
      <c r="A9" s="8">
        <f t="shared" si="6"/>
        <v>6</v>
      </c>
      <c r="B9" s="9" t="s">
        <v>22</v>
      </c>
      <c r="C9" s="10" t="s">
        <v>23</v>
      </c>
      <c r="D9" s="11">
        <v>4450</v>
      </c>
      <c r="E9" s="11">
        <v>4450</v>
      </c>
      <c r="F9" s="8">
        <v>12</v>
      </c>
      <c r="G9" s="12">
        <f t="shared" si="0"/>
        <v>53400</v>
      </c>
      <c r="H9" s="13">
        <v>4450</v>
      </c>
      <c r="I9" s="14">
        <f t="shared" si="1"/>
        <v>53400</v>
      </c>
      <c r="J9" s="15">
        <f t="shared" si="2"/>
        <v>9612</v>
      </c>
      <c r="K9" s="16">
        <f t="shared" si="3"/>
        <v>63012</v>
      </c>
      <c r="L9" s="16">
        <f t="shared" si="4"/>
        <v>53400</v>
      </c>
      <c r="N9">
        <f t="shared" si="5"/>
        <v>53400</v>
      </c>
      <c r="O9" s="8"/>
    </row>
    <row r="10" spans="1:18" hidden="1">
      <c r="A10" s="8">
        <f t="shared" si="6"/>
        <v>7</v>
      </c>
      <c r="B10" s="17" t="s">
        <v>24</v>
      </c>
      <c r="C10" s="10" t="s">
        <v>25</v>
      </c>
      <c r="D10" s="10">
        <v>2515</v>
      </c>
      <c r="E10" s="10">
        <v>2515</v>
      </c>
      <c r="F10" s="8">
        <v>14</v>
      </c>
      <c r="G10" s="12">
        <f t="shared" si="0"/>
        <v>35210</v>
      </c>
      <c r="H10" s="18">
        <v>2515</v>
      </c>
      <c r="I10" s="14">
        <f t="shared" si="1"/>
        <v>35210</v>
      </c>
      <c r="J10" s="15">
        <f t="shared" si="2"/>
        <v>6337.8</v>
      </c>
      <c r="K10" s="16">
        <f t="shared" si="3"/>
        <v>41547.800000000003</v>
      </c>
      <c r="L10" s="16">
        <f t="shared" si="4"/>
        <v>35210</v>
      </c>
      <c r="N10">
        <f t="shared" si="5"/>
        <v>35210</v>
      </c>
      <c r="O10" s="8"/>
    </row>
    <row r="11" spans="1:18" hidden="1">
      <c r="A11" s="8">
        <f t="shared" si="6"/>
        <v>8</v>
      </c>
      <c r="B11" s="17" t="s">
        <v>26</v>
      </c>
      <c r="C11" s="19" t="s">
        <v>27</v>
      </c>
      <c r="D11" s="20">
        <v>15115</v>
      </c>
      <c r="E11" s="20">
        <v>15115</v>
      </c>
      <c r="F11" s="8">
        <v>12</v>
      </c>
      <c r="G11" s="12">
        <f t="shared" si="0"/>
        <v>181380</v>
      </c>
      <c r="H11" s="21">
        <v>15115</v>
      </c>
      <c r="I11" s="14">
        <f t="shared" si="1"/>
        <v>181380</v>
      </c>
      <c r="J11" s="15">
        <f t="shared" si="2"/>
        <v>32648.399999999998</v>
      </c>
      <c r="K11" s="16">
        <f t="shared" si="3"/>
        <v>214028.4</v>
      </c>
      <c r="L11" s="16">
        <f t="shared" si="4"/>
        <v>181380</v>
      </c>
      <c r="N11">
        <f t="shared" si="5"/>
        <v>181380</v>
      </c>
      <c r="O11" s="8"/>
    </row>
    <row r="12" spans="1:18" hidden="1">
      <c r="A12" s="8">
        <f t="shared" si="6"/>
        <v>9</v>
      </c>
      <c r="B12" s="9" t="s">
        <v>28</v>
      </c>
      <c r="C12" s="10" t="s">
        <v>29</v>
      </c>
      <c r="D12" s="11">
        <v>7723</v>
      </c>
      <c r="E12" s="11">
        <v>7723</v>
      </c>
      <c r="F12" s="8">
        <v>10</v>
      </c>
      <c r="G12" s="12">
        <f t="shared" si="0"/>
        <v>77230</v>
      </c>
      <c r="H12" s="13">
        <v>7723</v>
      </c>
      <c r="I12" s="14">
        <f t="shared" si="1"/>
        <v>77230</v>
      </c>
      <c r="J12" s="15">
        <f t="shared" si="2"/>
        <v>13901.4</v>
      </c>
      <c r="K12" s="16">
        <f t="shared" si="3"/>
        <v>91131.4</v>
      </c>
      <c r="L12" s="16">
        <f t="shared" si="4"/>
        <v>77230</v>
      </c>
      <c r="N12">
        <f t="shared" si="5"/>
        <v>77230</v>
      </c>
      <c r="O12" s="8"/>
    </row>
    <row r="13" spans="1:18" hidden="1">
      <c r="A13" s="8">
        <f t="shared" si="6"/>
        <v>10</v>
      </c>
      <c r="B13" s="17" t="s">
        <v>28</v>
      </c>
      <c r="C13" s="10" t="s">
        <v>30</v>
      </c>
      <c r="D13" s="10">
        <v>4973</v>
      </c>
      <c r="E13" s="10">
        <v>4973</v>
      </c>
      <c r="F13" s="8">
        <v>12</v>
      </c>
      <c r="G13" s="12">
        <f t="shared" si="0"/>
        <v>59676</v>
      </c>
      <c r="H13" s="18">
        <v>4973</v>
      </c>
      <c r="I13" s="14">
        <f t="shared" si="1"/>
        <v>59676</v>
      </c>
      <c r="J13" s="15">
        <f t="shared" si="2"/>
        <v>10741.68</v>
      </c>
      <c r="K13" s="16">
        <f t="shared" si="3"/>
        <v>70417.679999999993</v>
      </c>
      <c r="L13" s="16">
        <f t="shared" si="4"/>
        <v>59676</v>
      </c>
      <c r="N13">
        <f t="shared" si="5"/>
        <v>59676</v>
      </c>
      <c r="O13" s="8"/>
      <c r="R13">
        <v>4973</v>
      </c>
    </row>
    <row r="14" spans="1:18" hidden="1">
      <c r="A14" s="8">
        <f t="shared" si="6"/>
        <v>11</v>
      </c>
      <c r="B14" s="17" t="s">
        <v>31</v>
      </c>
      <c r="C14" s="10" t="s">
        <v>32</v>
      </c>
      <c r="D14" s="10">
        <v>1000</v>
      </c>
      <c r="E14" s="10">
        <v>1000</v>
      </c>
      <c r="F14" s="8">
        <v>12</v>
      </c>
      <c r="G14" s="12">
        <f t="shared" si="0"/>
        <v>12000</v>
      </c>
      <c r="H14" s="18">
        <v>1000</v>
      </c>
      <c r="I14" s="14">
        <f t="shared" si="1"/>
        <v>12000</v>
      </c>
      <c r="J14" s="15">
        <f t="shared" si="2"/>
        <v>2160</v>
      </c>
      <c r="K14" s="16">
        <f t="shared" si="3"/>
        <v>14160</v>
      </c>
      <c r="L14" s="16">
        <f t="shared" si="4"/>
        <v>12000</v>
      </c>
      <c r="N14">
        <f t="shared" si="5"/>
        <v>12000</v>
      </c>
      <c r="O14" s="8"/>
    </row>
    <row r="15" spans="1:18" hidden="1">
      <c r="A15" s="8">
        <f t="shared" si="6"/>
        <v>12</v>
      </c>
      <c r="B15" s="17" t="s">
        <v>33</v>
      </c>
      <c r="C15" s="10" t="s">
        <v>32</v>
      </c>
      <c r="D15" s="10">
        <v>1251</v>
      </c>
      <c r="E15" s="10">
        <v>1251</v>
      </c>
      <c r="F15" s="8">
        <v>12</v>
      </c>
      <c r="G15" s="12">
        <f t="shared" si="0"/>
        <v>15012</v>
      </c>
      <c r="H15" s="18">
        <v>1251</v>
      </c>
      <c r="I15" s="14">
        <f t="shared" si="1"/>
        <v>15012</v>
      </c>
      <c r="J15" s="15">
        <f t="shared" si="2"/>
        <v>2702.16</v>
      </c>
      <c r="K15" s="16">
        <f t="shared" si="3"/>
        <v>17714.16</v>
      </c>
      <c r="L15" s="16">
        <f t="shared" si="4"/>
        <v>15012</v>
      </c>
      <c r="N15">
        <f t="shared" si="5"/>
        <v>15012</v>
      </c>
      <c r="O15" s="8"/>
    </row>
    <row r="16" spans="1:18" hidden="1">
      <c r="A16" s="8">
        <f t="shared" si="6"/>
        <v>13</v>
      </c>
      <c r="B16" s="17" t="s">
        <v>34</v>
      </c>
      <c r="C16" s="10" t="s">
        <v>158</v>
      </c>
      <c r="D16" s="10">
        <v>10554</v>
      </c>
      <c r="E16" s="10">
        <v>10554</v>
      </c>
      <c r="F16" s="8">
        <v>12</v>
      </c>
      <c r="G16" s="12">
        <f t="shared" si="0"/>
        <v>126648</v>
      </c>
      <c r="H16" s="18">
        <v>18753.62</v>
      </c>
      <c r="I16" s="14">
        <f t="shared" si="1"/>
        <v>225043.44</v>
      </c>
      <c r="J16" s="15">
        <f t="shared" si="2"/>
        <v>40507.819199999998</v>
      </c>
      <c r="K16" s="16">
        <f t="shared" si="3"/>
        <v>265551.25919999997</v>
      </c>
      <c r="L16" s="16">
        <f t="shared" si="4"/>
        <v>126648</v>
      </c>
      <c r="N16">
        <f t="shared" si="5"/>
        <v>126648</v>
      </c>
      <c r="O16" s="8"/>
    </row>
    <row r="17" spans="1:18" hidden="1">
      <c r="A17" s="8"/>
      <c r="B17" s="17" t="s">
        <v>149</v>
      </c>
      <c r="C17" s="10" t="s">
        <v>159</v>
      </c>
      <c r="D17" s="10">
        <v>8199</v>
      </c>
      <c r="E17" s="10">
        <v>8199</v>
      </c>
      <c r="F17" s="8">
        <v>14</v>
      </c>
      <c r="G17" s="12">
        <f t="shared" si="0"/>
        <v>114786</v>
      </c>
      <c r="H17" s="18"/>
      <c r="I17" s="14"/>
      <c r="J17" s="15"/>
      <c r="K17" s="16"/>
      <c r="L17" s="16">
        <f t="shared" si="4"/>
        <v>114786</v>
      </c>
      <c r="N17">
        <f t="shared" si="5"/>
        <v>114786</v>
      </c>
      <c r="O17" s="8"/>
    </row>
    <row r="18" spans="1:18" hidden="1">
      <c r="A18" s="8"/>
      <c r="B18" s="17" t="s">
        <v>55</v>
      </c>
      <c r="C18" s="10" t="s">
        <v>37</v>
      </c>
      <c r="D18" s="10">
        <v>2942</v>
      </c>
      <c r="E18" s="10">
        <v>2942</v>
      </c>
      <c r="F18" s="8"/>
      <c r="G18" s="12"/>
      <c r="H18" s="18"/>
      <c r="I18" s="14"/>
      <c r="J18" s="15"/>
      <c r="K18" s="16"/>
      <c r="L18" s="16"/>
      <c r="O18" s="8"/>
      <c r="R18">
        <v>2942</v>
      </c>
    </row>
    <row r="19" spans="1:18" hidden="1">
      <c r="A19" s="8">
        <f>+A16+1</f>
        <v>14</v>
      </c>
      <c r="B19" s="9" t="s">
        <v>150</v>
      </c>
      <c r="C19" s="10" t="s">
        <v>35</v>
      </c>
      <c r="D19" s="10">
        <v>1513</v>
      </c>
      <c r="E19" s="10">
        <v>1513</v>
      </c>
      <c r="F19" s="8">
        <v>12</v>
      </c>
      <c r="G19" s="12">
        <f t="shared" si="0"/>
        <v>18156</v>
      </c>
      <c r="H19" s="18">
        <v>4455</v>
      </c>
      <c r="I19" s="14">
        <f t="shared" si="1"/>
        <v>53460</v>
      </c>
      <c r="J19" s="15">
        <f t="shared" si="2"/>
        <v>9622.7999999999993</v>
      </c>
      <c r="K19" s="16">
        <f t="shared" si="3"/>
        <v>63082.8</v>
      </c>
      <c r="L19" s="16">
        <f t="shared" si="4"/>
        <v>18156</v>
      </c>
      <c r="N19">
        <f t="shared" si="5"/>
        <v>18156</v>
      </c>
      <c r="O19" s="8"/>
    </row>
    <row r="20" spans="1:18" ht="24" hidden="1">
      <c r="A20" s="8">
        <f t="shared" si="6"/>
        <v>15</v>
      </c>
      <c r="B20" s="9" t="s">
        <v>36</v>
      </c>
      <c r="C20" s="10" t="s">
        <v>37</v>
      </c>
      <c r="D20" s="10">
        <v>1000</v>
      </c>
      <c r="E20" s="10">
        <v>1000</v>
      </c>
      <c r="F20" s="8">
        <v>10</v>
      </c>
      <c r="G20" s="12">
        <f t="shared" si="0"/>
        <v>10000</v>
      </c>
      <c r="H20" s="18">
        <v>1000</v>
      </c>
      <c r="I20" s="14">
        <f t="shared" si="1"/>
        <v>10000</v>
      </c>
      <c r="J20" s="15">
        <f t="shared" si="2"/>
        <v>1800</v>
      </c>
      <c r="K20" s="16">
        <f t="shared" si="3"/>
        <v>11800</v>
      </c>
      <c r="L20" s="16">
        <f t="shared" si="4"/>
        <v>10000</v>
      </c>
      <c r="N20">
        <f t="shared" si="5"/>
        <v>10000</v>
      </c>
      <c r="O20" s="8"/>
    </row>
    <row r="21" spans="1:18" ht="24" hidden="1">
      <c r="A21" s="8">
        <f t="shared" si="6"/>
        <v>16</v>
      </c>
      <c r="B21" s="9" t="s">
        <v>151</v>
      </c>
      <c r="C21" s="22" t="s">
        <v>38</v>
      </c>
      <c r="D21" s="10">
        <v>1532</v>
      </c>
      <c r="E21" s="10">
        <v>1532</v>
      </c>
      <c r="F21" s="8">
        <v>12</v>
      </c>
      <c r="G21" s="12">
        <f t="shared" si="0"/>
        <v>18384</v>
      </c>
      <c r="H21" s="18">
        <v>1532</v>
      </c>
      <c r="I21" s="14">
        <f t="shared" si="1"/>
        <v>18384</v>
      </c>
      <c r="J21" s="15">
        <f t="shared" si="2"/>
        <v>3309.12</v>
      </c>
      <c r="K21" s="16">
        <f t="shared" si="3"/>
        <v>21693.119999999999</v>
      </c>
      <c r="L21" s="16">
        <f t="shared" si="4"/>
        <v>18384</v>
      </c>
      <c r="N21">
        <f t="shared" si="5"/>
        <v>18384</v>
      </c>
      <c r="O21" s="8"/>
    </row>
    <row r="22" spans="1:18" ht="24">
      <c r="A22" s="59">
        <f t="shared" si="6"/>
        <v>17</v>
      </c>
      <c r="B22" s="60" t="s">
        <v>39</v>
      </c>
      <c r="C22" s="61" t="s">
        <v>40</v>
      </c>
      <c r="D22" s="18"/>
      <c r="E22" s="18">
        <v>15114.56</v>
      </c>
      <c r="F22" s="59">
        <v>7</v>
      </c>
      <c r="G22" s="62">
        <f>+D22*F22</f>
        <v>0</v>
      </c>
      <c r="H22" s="18">
        <v>15114.56</v>
      </c>
      <c r="I22" s="14">
        <f t="shared" si="1"/>
        <v>105801.92</v>
      </c>
      <c r="J22" s="15">
        <f t="shared" si="2"/>
        <v>19044.345600000001</v>
      </c>
      <c r="K22" s="16">
        <f t="shared" si="3"/>
        <v>124846.2656</v>
      </c>
      <c r="L22" s="16">
        <f t="shared" si="4"/>
        <v>0</v>
      </c>
      <c r="N22">
        <f t="shared" si="5"/>
        <v>0</v>
      </c>
      <c r="O22" s="8"/>
      <c r="R22">
        <v>15115</v>
      </c>
    </row>
    <row r="23" spans="1:18">
      <c r="A23" s="59"/>
      <c r="B23" s="60"/>
      <c r="C23" s="61"/>
      <c r="D23" s="18"/>
      <c r="E23" s="18"/>
      <c r="F23" s="59"/>
      <c r="G23" s="62"/>
      <c r="H23" s="18"/>
      <c r="I23" s="14"/>
      <c r="J23" s="15"/>
      <c r="K23" s="16"/>
      <c r="L23" s="16"/>
      <c r="O23" s="8"/>
    </row>
    <row r="24" spans="1:18">
      <c r="A24" s="8">
        <f>+A22+1</f>
        <v>18</v>
      </c>
      <c r="B24" s="17" t="s">
        <v>41</v>
      </c>
      <c r="C24" s="8" t="s">
        <v>42</v>
      </c>
      <c r="D24" s="10">
        <v>10036</v>
      </c>
      <c r="E24" s="10">
        <v>10036</v>
      </c>
      <c r="F24" s="8">
        <v>8</v>
      </c>
      <c r="G24" s="12">
        <f>+D24*F24</f>
        <v>80288</v>
      </c>
      <c r="H24" s="18">
        <v>10036</v>
      </c>
      <c r="I24" s="14">
        <f t="shared" si="1"/>
        <v>80288</v>
      </c>
      <c r="J24" s="15">
        <f t="shared" si="2"/>
        <v>14451.84</v>
      </c>
      <c r="K24" s="16">
        <f t="shared" si="3"/>
        <v>94739.839999999997</v>
      </c>
      <c r="L24" s="16">
        <f t="shared" si="4"/>
        <v>80288</v>
      </c>
      <c r="N24">
        <f t="shared" si="5"/>
        <v>80288</v>
      </c>
      <c r="O24" s="8"/>
    </row>
    <row r="25" spans="1:18" ht="17.45" customHeight="1">
      <c r="A25" s="8">
        <f t="shared" si="6"/>
        <v>19</v>
      </c>
      <c r="B25" s="17" t="s">
        <v>43</v>
      </c>
      <c r="C25" s="10" t="s">
        <v>44</v>
      </c>
      <c r="D25" s="24">
        <v>4542</v>
      </c>
      <c r="E25" s="24">
        <v>4542</v>
      </c>
      <c r="F25" s="8">
        <v>12</v>
      </c>
      <c r="G25" s="12">
        <f t="shared" si="0"/>
        <v>54504</v>
      </c>
      <c r="H25" s="25">
        <v>5000</v>
      </c>
      <c r="I25" s="14">
        <f t="shared" si="1"/>
        <v>60000</v>
      </c>
      <c r="J25" s="15">
        <f t="shared" si="2"/>
        <v>10800</v>
      </c>
      <c r="K25" s="16">
        <f>+I25+J25</f>
        <v>70800</v>
      </c>
      <c r="L25" s="16">
        <f t="shared" si="4"/>
        <v>54504</v>
      </c>
      <c r="N25">
        <f t="shared" si="5"/>
        <v>54504</v>
      </c>
      <c r="O25" s="8"/>
    </row>
    <row r="26" spans="1:18" ht="15.6" customHeight="1">
      <c r="A26" s="8">
        <f t="shared" si="6"/>
        <v>20</v>
      </c>
      <c r="B26" s="17" t="s">
        <v>45</v>
      </c>
      <c r="C26" s="10" t="s">
        <v>46</v>
      </c>
      <c r="D26" s="24">
        <v>2650</v>
      </c>
      <c r="E26" s="24">
        <v>2650</v>
      </c>
      <c r="F26" s="8">
        <v>12</v>
      </c>
      <c r="G26" s="12">
        <f t="shared" si="0"/>
        <v>31800</v>
      </c>
      <c r="H26" s="25">
        <v>2650</v>
      </c>
      <c r="I26" s="14">
        <f t="shared" si="1"/>
        <v>31800</v>
      </c>
      <c r="J26" s="15">
        <f t="shared" si="2"/>
        <v>5724</v>
      </c>
      <c r="K26" s="16">
        <f t="shared" si="3"/>
        <v>37524</v>
      </c>
      <c r="L26" s="16">
        <f t="shared" si="4"/>
        <v>31800</v>
      </c>
      <c r="N26">
        <f t="shared" si="5"/>
        <v>31800</v>
      </c>
      <c r="O26" s="8"/>
    </row>
    <row r="27" spans="1:18" ht="16.899999999999999" customHeight="1">
      <c r="A27" s="8">
        <f t="shared" si="6"/>
        <v>21</v>
      </c>
      <c r="B27" s="9" t="s">
        <v>47</v>
      </c>
      <c r="C27" s="23" t="s">
        <v>48</v>
      </c>
      <c r="D27" s="10">
        <v>10555.8</v>
      </c>
      <c r="E27" s="10">
        <v>10555.8</v>
      </c>
      <c r="F27" s="8">
        <v>12</v>
      </c>
      <c r="G27" s="12">
        <f t="shared" si="0"/>
        <v>126669.59999999999</v>
      </c>
      <c r="H27" s="18">
        <v>10555.8</v>
      </c>
      <c r="I27" s="14">
        <f t="shared" si="1"/>
        <v>126669.59999999999</v>
      </c>
      <c r="J27" s="15">
        <f t="shared" si="2"/>
        <v>22800.527999999998</v>
      </c>
      <c r="K27" s="16">
        <f t="shared" si="3"/>
        <v>149470.128</v>
      </c>
      <c r="L27" s="16">
        <f t="shared" si="4"/>
        <v>126669.59999999999</v>
      </c>
      <c r="N27">
        <f t="shared" si="5"/>
        <v>126669.59999999999</v>
      </c>
      <c r="O27" s="8"/>
    </row>
    <row r="28" spans="1:18" ht="15.6" customHeight="1">
      <c r="A28" s="8">
        <f t="shared" si="6"/>
        <v>22</v>
      </c>
      <c r="B28" s="9" t="s">
        <v>152</v>
      </c>
      <c r="C28" s="23" t="s">
        <v>49</v>
      </c>
      <c r="D28" s="10">
        <v>8199</v>
      </c>
      <c r="E28" s="10">
        <v>8198.6200000000008</v>
      </c>
      <c r="F28" s="8">
        <v>12</v>
      </c>
      <c r="G28" s="12">
        <f t="shared" si="0"/>
        <v>98388</v>
      </c>
      <c r="H28" s="18">
        <v>8198.6200000000008</v>
      </c>
      <c r="I28" s="14">
        <f t="shared" si="1"/>
        <v>98383.44</v>
      </c>
      <c r="J28" s="15">
        <f t="shared" si="2"/>
        <v>17709.019199999999</v>
      </c>
      <c r="K28" s="16">
        <f t="shared" si="3"/>
        <v>116092.4592</v>
      </c>
      <c r="L28" s="16">
        <f t="shared" si="4"/>
        <v>98388</v>
      </c>
      <c r="N28">
        <f t="shared" si="5"/>
        <v>98388</v>
      </c>
      <c r="O28" s="8"/>
    </row>
    <row r="29" spans="1:18" ht="15.6" customHeight="1">
      <c r="A29" s="8">
        <f t="shared" si="6"/>
        <v>23</v>
      </c>
      <c r="B29" s="17" t="s">
        <v>50</v>
      </c>
      <c r="C29" s="10" t="s">
        <v>51</v>
      </c>
      <c r="D29" s="10">
        <v>4406</v>
      </c>
      <c r="E29" s="10">
        <v>4406</v>
      </c>
      <c r="F29" s="8">
        <v>12</v>
      </c>
      <c r="G29" s="12">
        <f t="shared" si="0"/>
        <v>52872</v>
      </c>
      <c r="H29" s="18">
        <v>4406</v>
      </c>
      <c r="I29" s="14">
        <f t="shared" si="1"/>
        <v>52872</v>
      </c>
      <c r="J29" s="15">
        <f t="shared" si="2"/>
        <v>9516.9599999999991</v>
      </c>
      <c r="K29" s="16">
        <f t="shared" si="3"/>
        <v>62388.959999999999</v>
      </c>
      <c r="L29" s="16">
        <f t="shared" si="4"/>
        <v>52872</v>
      </c>
      <c r="N29">
        <f t="shared" si="5"/>
        <v>52872</v>
      </c>
      <c r="O29" s="8"/>
    </row>
    <row r="30" spans="1:18" ht="15.6" customHeight="1">
      <c r="A30" s="8">
        <f t="shared" si="6"/>
        <v>24</v>
      </c>
      <c r="B30" s="17" t="s">
        <v>153</v>
      </c>
      <c r="C30" s="10" t="s">
        <v>52</v>
      </c>
      <c r="D30" s="10">
        <v>2525</v>
      </c>
      <c r="E30" s="10">
        <v>2525</v>
      </c>
      <c r="F30" s="8">
        <v>12</v>
      </c>
      <c r="G30" s="12">
        <f t="shared" si="0"/>
        <v>30300</v>
      </c>
      <c r="H30" s="18">
        <v>2525</v>
      </c>
      <c r="I30" s="14">
        <f t="shared" si="1"/>
        <v>30300</v>
      </c>
      <c r="J30" s="15">
        <f t="shared" si="2"/>
        <v>5454</v>
      </c>
      <c r="K30" s="16">
        <f t="shared" si="3"/>
        <v>35754</v>
      </c>
      <c r="L30" s="16">
        <f t="shared" si="4"/>
        <v>30300</v>
      </c>
      <c r="N30">
        <f t="shared" si="5"/>
        <v>30300</v>
      </c>
      <c r="O30" s="8"/>
    </row>
    <row r="31" spans="1:18" ht="24">
      <c r="A31" s="8">
        <f t="shared" si="6"/>
        <v>25</v>
      </c>
      <c r="B31" s="9" t="s">
        <v>39</v>
      </c>
      <c r="C31" s="23" t="s">
        <v>53</v>
      </c>
      <c r="D31" s="10">
        <v>25150.560000000001</v>
      </c>
      <c r="E31" s="10">
        <v>25150.560000000001</v>
      </c>
      <c r="F31" s="8">
        <v>10</v>
      </c>
      <c r="G31" s="12">
        <f>+D31*F31</f>
        <v>251505.6</v>
      </c>
      <c r="H31" s="18">
        <v>25150.560000000001</v>
      </c>
      <c r="I31" s="14">
        <f t="shared" si="1"/>
        <v>251505.6</v>
      </c>
      <c r="J31" s="15">
        <f t="shared" si="2"/>
        <v>45271.008000000002</v>
      </c>
      <c r="K31" s="16">
        <f t="shared" si="3"/>
        <v>296776.60800000001</v>
      </c>
      <c r="L31" s="16">
        <f t="shared" si="4"/>
        <v>251505.6</v>
      </c>
      <c r="N31">
        <f t="shared" si="5"/>
        <v>251505.6</v>
      </c>
      <c r="O31" s="8"/>
    </row>
    <row r="32" spans="1:18">
      <c r="A32" s="8">
        <f t="shared" si="6"/>
        <v>26</v>
      </c>
      <c r="B32" s="17" t="s">
        <v>41</v>
      </c>
      <c r="C32" s="8" t="s">
        <v>54</v>
      </c>
      <c r="D32" s="10">
        <v>7192</v>
      </c>
      <c r="E32" s="10">
        <v>7192</v>
      </c>
      <c r="F32" s="8">
        <v>12</v>
      </c>
      <c r="G32" s="12">
        <f t="shared" si="0"/>
        <v>86304</v>
      </c>
      <c r="H32" s="18">
        <v>7192</v>
      </c>
      <c r="I32" s="14">
        <f t="shared" si="1"/>
        <v>86304</v>
      </c>
      <c r="J32" s="15">
        <f t="shared" si="2"/>
        <v>15534.72</v>
      </c>
      <c r="K32" s="16">
        <f t="shared" si="3"/>
        <v>101838.72</v>
      </c>
      <c r="L32" s="16">
        <f t="shared" si="4"/>
        <v>86304</v>
      </c>
      <c r="N32">
        <f t="shared" si="5"/>
        <v>86304</v>
      </c>
      <c r="O32" s="8"/>
    </row>
    <row r="33" spans="1:20">
      <c r="A33" s="8">
        <f t="shared" si="6"/>
        <v>27</v>
      </c>
      <c r="B33" s="8" t="s">
        <v>138</v>
      </c>
      <c r="C33" s="8" t="s">
        <v>56</v>
      </c>
      <c r="D33" s="26">
        <v>10555</v>
      </c>
      <c r="E33" s="26">
        <v>10555</v>
      </c>
      <c r="F33" s="8"/>
      <c r="G33" s="12"/>
      <c r="H33" s="26"/>
      <c r="I33" s="14">
        <f t="shared" si="1"/>
        <v>0</v>
      </c>
      <c r="J33" s="15">
        <f t="shared" si="2"/>
        <v>0</v>
      </c>
      <c r="K33" s="15">
        <f t="shared" si="3"/>
        <v>0</v>
      </c>
      <c r="L33" s="16">
        <f t="shared" si="4"/>
        <v>0</v>
      </c>
      <c r="N33">
        <f t="shared" si="5"/>
        <v>0</v>
      </c>
      <c r="O33" s="8"/>
    </row>
    <row r="34" spans="1:20">
      <c r="A34" s="8">
        <f t="shared" si="6"/>
        <v>28</v>
      </c>
      <c r="B34" s="8" t="s">
        <v>55</v>
      </c>
      <c r="C34" s="8" t="s">
        <v>57</v>
      </c>
      <c r="D34" s="11">
        <v>8199</v>
      </c>
      <c r="E34" s="11">
        <v>8199</v>
      </c>
      <c r="F34" s="8"/>
      <c r="G34" s="12"/>
      <c r="H34" s="11"/>
      <c r="I34" s="14">
        <f t="shared" si="1"/>
        <v>0</v>
      </c>
      <c r="J34" s="15">
        <f t="shared" si="2"/>
        <v>0</v>
      </c>
      <c r="K34" s="15">
        <f t="shared" si="3"/>
        <v>0</v>
      </c>
      <c r="L34" s="16">
        <f t="shared" si="4"/>
        <v>0</v>
      </c>
      <c r="N34">
        <f t="shared" si="5"/>
        <v>0</v>
      </c>
      <c r="O34" s="8"/>
      <c r="R34">
        <v>8199</v>
      </c>
    </row>
    <row r="35" spans="1:20">
      <c r="A35" s="8">
        <f t="shared" si="6"/>
        <v>29</v>
      </c>
      <c r="B35" s="8" t="s">
        <v>154</v>
      </c>
      <c r="C35" s="8" t="s">
        <v>58</v>
      </c>
      <c r="D35" s="11">
        <v>6951</v>
      </c>
      <c r="E35" s="11">
        <v>6951</v>
      </c>
      <c r="F35" s="8"/>
      <c r="G35" s="12"/>
      <c r="H35" s="11"/>
      <c r="I35" s="14">
        <f t="shared" si="1"/>
        <v>0</v>
      </c>
      <c r="J35" s="15">
        <f t="shared" si="2"/>
        <v>0</v>
      </c>
      <c r="K35" s="15">
        <f t="shared" si="3"/>
        <v>0</v>
      </c>
      <c r="L35" s="16">
        <f t="shared" si="4"/>
        <v>0</v>
      </c>
      <c r="N35">
        <f t="shared" si="5"/>
        <v>0</v>
      </c>
      <c r="O35" s="8"/>
    </row>
    <row r="36" spans="1:20" ht="15.6" customHeight="1">
      <c r="A36" s="8">
        <f t="shared" si="6"/>
        <v>30</v>
      </c>
      <c r="B36" s="9" t="s">
        <v>59</v>
      </c>
      <c r="C36" s="8" t="s">
        <v>60</v>
      </c>
      <c r="D36" s="24">
        <v>15114.88</v>
      </c>
      <c r="E36" s="24">
        <v>15114.88</v>
      </c>
      <c r="F36" s="8">
        <v>10</v>
      </c>
      <c r="G36" s="12">
        <f t="shared" si="0"/>
        <v>151148.79999999999</v>
      </c>
      <c r="H36" s="25">
        <v>15114.88</v>
      </c>
      <c r="I36" s="14">
        <f t="shared" si="1"/>
        <v>151148.79999999999</v>
      </c>
      <c r="J36" s="15">
        <f t="shared" si="2"/>
        <v>27206.783999999996</v>
      </c>
      <c r="K36" s="16">
        <f t="shared" si="3"/>
        <v>178355.58399999997</v>
      </c>
      <c r="L36" s="16">
        <f t="shared" si="4"/>
        <v>151148.79999999999</v>
      </c>
      <c r="N36">
        <f t="shared" si="5"/>
        <v>151148.79999999999</v>
      </c>
      <c r="O36" s="8"/>
    </row>
    <row r="37" spans="1:20" ht="17.45" customHeight="1">
      <c r="A37" s="8">
        <f t="shared" si="6"/>
        <v>31</v>
      </c>
      <c r="B37" s="9" t="s">
        <v>61</v>
      </c>
      <c r="C37" s="8" t="s">
        <v>62</v>
      </c>
      <c r="D37" s="11">
        <v>10035.68</v>
      </c>
      <c r="E37" s="11">
        <v>10035.68</v>
      </c>
      <c r="F37" s="8">
        <v>10</v>
      </c>
      <c r="G37" s="12">
        <f t="shared" si="0"/>
        <v>100356.8</v>
      </c>
      <c r="H37" s="13">
        <v>10035.68</v>
      </c>
      <c r="I37" s="14">
        <f t="shared" si="1"/>
        <v>100356.8</v>
      </c>
      <c r="J37" s="15">
        <f t="shared" si="2"/>
        <v>18064.223999999998</v>
      </c>
      <c r="K37" s="16">
        <f t="shared" si="3"/>
        <v>118421.024</v>
      </c>
      <c r="L37" s="16">
        <f t="shared" si="4"/>
        <v>100356.8</v>
      </c>
      <c r="N37">
        <f t="shared" si="5"/>
        <v>100356.8</v>
      </c>
      <c r="O37" s="8"/>
    </row>
    <row r="38" spans="1:20" ht="17.45" customHeight="1">
      <c r="A38" s="8">
        <f t="shared" si="6"/>
        <v>32</v>
      </c>
      <c r="B38" s="17" t="s">
        <v>63</v>
      </c>
      <c r="C38" s="8" t="s">
        <v>64</v>
      </c>
      <c r="D38" s="10">
        <v>7192</v>
      </c>
      <c r="E38" s="10">
        <v>7192</v>
      </c>
      <c r="F38" s="8">
        <v>14</v>
      </c>
      <c r="G38" s="12">
        <f t="shared" si="0"/>
        <v>100688</v>
      </c>
      <c r="H38" s="18">
        <v>7192</v>
      </c>
      <c r="I38" s="14">
        <f t="shared" si="1"/>
        <v>100688</v>
      </c>
      <c r="J38" s="15">
        <f t="shared" si="2"/>
        <v>18123.84</v>
      </c>
      <c r="K38" s="16">
        <f t="shared" si="3"/>
        <v>118811.84</v>
      </c>
      <c r="L38" s="16">
        <f t="shared" si="4"/>
        <v>100688</v>
      </c>
      <c r="N38">
        <f t="shared" si="5"/>
        <v>100688</v>
      </c>
      <c r="O38" s="8"/>
    </row>
    <row r="39" spans="1:20" ht="17.45" customHeight="1">
      <c r="A39" s="8">
        <f t="shared" si="6"/>
        <v>33</v>
      </c>
      <c r="B39" s="9" t="s">
        <v>65</v>
      </c>
      <c r="C39" s="11" t="s">
        <v>66</v>
      </c>
      <c r="D39" s="11">
        <v>23204.42</v>
      </c>
      <c r="E39" s="11">
        <v>23204.42</v>
      </c>
      <c r="F39" s="8">
        <v>10</v>
      </c>
      <c r="G39" s="12">
        <f t="shared" si="0"/>
        <v>232044.19999999998</v>
      </c>
      <c r="H39" s="13">
        <v>23204.42</v>
      </c>
      <c r="I39" s="14">
        <f t="shared" si="1"/>
        <v>232044.19999999998</v>
      </c>
      <c r="J39" s="15">
        <f t="shared" si="2"/>
        <v>41767.955999999998</v>
      </c>
      <c r="K39" s="16">
        <f t="shared" si="3"/>
        <v>273812.15599999996</v>
      </c>
      <c r="L39" s="16">
        <f t="shared" si="4"/>
        <v>232044.19999999998</v>
      </c>
      <c r="N39">
        <f t="shared" si="5"/>
        <v>232044.19999999998</v>
      </c>
      <c r="O39" s="8"/>
    </row>
    <row r="40" spans="1:20" ht="17.45" customHeight="1">
      <c r="A40" s="8">
        <f t="shared" si="6"/>
        <v>34</v>
      </c>
      <c r="B40" s="9" t="s">
        <v>67</v>
      </c>
      <c r="C40" s="8" t="s">
        <v>68</v>
      </c>
      <c r="D40" s="10">
        <v>2500</v>
      </c>
      <c r="E40" s="10">
        <v>2500</v>
      </c>
      <c r="F40" s="8">
        <v>12</v>
      </c>
      <c r="G40" s="12">
        <f t="shared" si="0"/>
        <v>30000</v>
      </c>
      <c r="H40" s="18">
        <v>2500</v>
      </c>
      <c r="I40" s="14">
        <f t="shared" si="1"/>
        <v>30000</v>
      </c>
      <c r="J40" s="15">
        <f t="shared" si="2"/>
        <v>5400</v>
      </c>
      <c r="K40" s="16">
        <f t="shared" si="3"/>
        <v>35400</v>
      </c>
      <c r="L40" s="16">
        <f t="shared" si="4"/>
        <v>30000</v>
      </c>
      <c r="N40">
        <f t="shared" si="5"/>
        <v>30000</v>
      </c>
      <c r="O40" s="8"/>
    </row>
    <row r="41" spans="1:20" ht="17.45" customHeight="1">
      <c r="A41" s="8">
        <f t="shared" si="6"/>
        <v>35</v>
      </c>
      <c r="B41" s="9" t="s">
        <v>69</v>
      </c>
      <c r="C41" s="8" t="s">
        <v>70</v>
      </c>
      <c r="D41" s="11">
        <v>7758</v>
      </c>
      <c r="E41" s="11">
        <v>7758</v>
      </c>
      <c r="F41" s="8">
        <v>10</v>
      </c>
      <c r="G41" s="12">
        <f t="shared" si="0"/>
        <v>77580</v>
      </c>
      <c r="H41" s="13">
        <v>7758</v>
      </c>
      <c r="I41" s="14">
        <f t="shared" si="1"/>
        <v>77580</v>
      </c>
      <c r="J41" s="15">
        <f t="shared" si="2"/>
        <v>13964.4</v>
      </c>
      <c r="K41" s="16">
        <f t="shared" si="3"/>
        <v>91544.4</v>
      </c>
      <c r="L41" s="16">
        <f t="shared" si="4"/>
        <v>77580</v>
      </c>
      <c r="N41">
        <f t="shared" si="5"/>
        <v>77580</v>
      </c>
      <c r="O41" s="8"/>
    </row>
    <row r="42" spans="1:20" ht="17.45" customHeight="1">
      <c r="A42" s="8">
        <f t="shared" si="6"/>
        <v>36</v>
      </c>
      <c r="B42" s="27"/>
      <c r="C42" s="8" t="s">
        <v>71</v>
      </c>
      <c r="D42" s="11"/>
      <c r="E42" s="11"/>
      <c r="F42" s="8"/>
      <c r="G42" s="12">
        <f t="shared" si="0"/>
        <v>0</v>
      </c>
      <c r="I42" s="14">
        <f t="shared" si="1"/>
        <v>0</v>
      </c>
      <c r="J42" s="15">
        <f t="shared" si="2"/>
        <v>0</v>
      </c>
      <c r="K42" s="15">
        <f t="shared" si="3"/>
        <v>0</v>
      </c>
      <c r="L42" s="16">
        <f t="shared" si="4"/>
        <v>0</v>
      </c>
      <c r="N42">
        <f t="shared" si="5"/>
        <v>0</v>
      </c>
      <c r="O42" s="8"/>
    </row>
    <row r="43" spans="1:20" ht="17.45" customHeight="1">
      <c r="A43" s="8">
        <f t="shared" si="6"/>
        <v>37</v>
      </c>
      <c r="B43" s="9" t="s">
        <v>72</v>
      </c>
      <c r="C43" s="28" t="s">
        <v>73</v>
      </c>
      <c r="D43" s="29">
        <v>120000</v>
      </c>
      <c r="E43" s="29">
        <v>120000</v>
      </c>
      <c r="F43" s="8">
        <v>2</v>
      </c>
      <c r="G43" s="12">
        <f t="shared" si="0"/>
        <v>240000</v>
      </c>
      <c r="H43" s="30">
        <v>120000</v>
      </c>
      <c r="I43" s="14">
        <f t="shared" si="1"/>
        <v>240000</v>
      </c>
      <c r="J43" s="15">
        <f t="shared" si="2"/>
        <v>43200</v>
      </c>
      <c r="K43" s="16">
        <f t="shared" si="3"/>
        <v>283200</v>
      </c>
      <c r="L43" s="16">
        <f t="shared" si="4"/>
        <v>240000</v>
      </c>
      <c r="N43">
        <f t="shared" si="5"/>
        <v>240000</v>
      </c>
      <c r="O43" s="8"/>
      <c r="T43">
        <v>6094</v>
      </c>
    </row>
    <row r="44" spans="1:20" s="37" customFormat="1" ht="17.45" customHeight="1">
      <c r="A44" s="31"/>
      <c r="B44" s="32" t="s">
        <v>74</v>
      </c>
      <c r="C44" s="31"/>
      <c r="D44" s="33">
        <f>SUM(D4:D43)</f>
        <v>400659.89999999997</v>
      </c>
      <c r="E44" s="33">
        <f>SUM(E4:E43)</f>
        <v>415774.07999999996</v>
      </c>
      <c r="F44" s="31"/>
      <c r="G44" s="33">
        <f>SUM(G4:G43)</f>
        <v>3029548.6</v>
      </c>
      <c r="H44" s="33">
        <f>SUM(H4:H43)</f>
        <v>390527.69999999995</v>
      </c>
      <c r="I44" s="34">
        <f>SUM(I4:I43)</f>
        <v>3159755.4</v>
      </c>
      <c r="J44" s="35">
        <f t="shared" ref="J44:M44" si="7">SUM(J4:J43)</f>
        <v>568755.97199999995</v>
      </c>
      <c r="K44" s="35">
        <f t="shared" si="7"/>
        <v>3728511.372</v>
      </c>
      <c r="L44" s="35">
        <f t="shared" si="7"/>
        <v>3029548.6</v>
      </c>
      <c r="M44" s="35">
        <f t="shared" si="7"/>
        <v>0</v>
      </c>
      <c r="N44" s="36">
        <f>SUM(N4:N43)</f>
        <v>3029548.6</v>
      </c>
      <c r="O44" s="31"/>
      <c r="T44" s="37">
        <v>4973</v>
      </c>
    </row>
    <row r="45" spans="1:20">
      <c r="B45" s="38"/>
      <c r="T45">
        <v>2942</v>
      </c>
    </row>
    <row r="46" spans="1:20">
      <c r="B46" s="38"/>
      <c r="D46" s="40">
        <f>+G44/D44</f>
        <v>7.5613970851587604</v>
      </c>
      <c r="E46" s="40">
        <f>+G44/E44</f>
        <v>7.2865258940624686</v>
      </c>
      <c r="T46">
        <f>SUM(T43:T45)</f>
        <v>14009</v>
      </c>
    </row>
    <row r="47" spans="1:20">
      <c r="B47" s="38"/>
      <c r="E47" s="58">
        <f>+E44-D44</f>
        <v>15114.179999999993</v>
      </c>
      <c r="P47">
        <v>8199</v>
      </c>
      <c r="T47">
        <v>29124</v>
      </c>
    </row>
    <row r="48" spans="1:20">
      <c r="B48" s="38"/>
      <c r="P48">
        <v>15115</v>
      </c>
      <c r="T48">
        <v>558828</v>
      </c>
    </row>
    <row r="49" spans="1:20">
      <c r="B49" s="38"/>
      <c r="G49" s="39">
        <f>+E44-D44</f>
        <v>15114.179999999993</v>
      </c>
      <c r="P49">
        <v>4972</v>
      </c>
      <c r="T49">
        <v>8199</v>
      </c>
    </row>
    <row r="50" spans="1:20">
      <c r="B50" s="38"/>
      <c r="P50">
        <v>2942</v>
      </c>
    </row>
    <row r="51" spans="1:20">
      <c r="B51" s="41" t="s">
        <v>75</v>
      </c>
    </row>
    <row r="52" spans="1:20" s="7" customFormat="1" ht="25.9" customHeight="1">
      <c r="A52" s="2" t="s">
        <v>2</v>
      </c>
      <c r="B52" s="42" t="s">
        <v>76</v>
      </c>
      <c r="C52" s="2" t="s">
        <v>4</v>
      </c>
      <c r="D52" s="3" t="s">
        <v>5</v>
      </c>
      <c r="E52" s="3" t="s">
        <v>5</v>
      </c>
      <c r="F52" s="2" t="s">
        <v>6</v>
      </c>
      <c r="G52" s="4" t="s">
        <v>7</v>
      </c>
      <c r="J52" s="6"/>
      <c r="K52" s="6"/>
      <c r="O52" s="2" t="s">
        <v>12</v>
      </c>
      <c r="T52" s="7">
        <v>31229</v>
      </c>
    </row>
    <row r="53" spans="1:20" ht="15.6" customHeight="1">
      <c r="A53" s="8">
        <v>1</v>
      </c>
      <c r="B53" s="43" t="s">
        <v>77</v>
      </c>
      <c r="C53" s="44" t="s">
        <v>78</v>
      </c>
      <c r="D53" s="45">
        <v>49202</v>
      </c>
      <c r="E53" s="45">
        <v>49202</v>
      </c>
      <c r="F53" s="8">
        <v>6</v>
      </c>
      <c r="G53" s="12">
        <f t="shared" ref="G53:G91" si="8">+D53*F53</f>
        <v>295212</v>
      </c>
      <c r="H53" s="46">
        <v>49202</v>
      </c>
      <c r="I53" s="47">
        <f t="shared" ref="I53:I93" si="9">+H53*F53</f>
        <v>295212</v>
      </c>
      <c r="J53" s="15">
        <f t="shared" ref="J53:J93" si="10">+I53*18%</f>
        <v>53138.159999999996</v>
      </c>
      <c r="K53" s="16">
        <f t="shared" ref="K53:K93" si="11">+I53+J53</f>
        <v>348350.16</v>
      </c>
      <c r="L53">
        <f>+D53*F53</f>
        <v>295212</v>
      </c>
      <c r="N53">
        <f>+D53*F53</f>
        <v>295212</v>
      </c>
      <c r="O53" s="8"/>
      <c r="T53">
        <v>6094</v>
      </c>
    </row>
    <row r="54" spans="1:20">
      <c r="A54" s="8">
        <f>+A53+1</f>
        <v>2</v>
      </c>
      <c r="B54" s="48" t="s">
        <v>79</v>
      </c>
      <c r="C54" s="8" t="s">
        <v>80</v>
      </c>
      <c r="D54" s="11">
        <v>724</v>
      </c>
      <c r="E54" s="11">
        <v>724</v>
      </c>
      <c r="F54" s="8">
        <v>18</v>
      </c>
      <c r="G54" s="12">
        <f t="shared" si="8"/>
        <v>13032</v>
      </c>
      <c r="H54" s="11"/>
      <c r="I54" s="14">
        <v>13266</v>
      </c>
      <c r="J54" s="15">
        <f t="shared" si="10"/>
        <v>2387.88</v>
      </c>
      <c r="K54" s="16">
        <f t="shared" si="11"/>
        <v>15653.880000000001</v>
      </c>
      <c r="L54">
        <f t="shared" ref="L54:L93" si="12">+D54*F54</f>
        <v>13032</v>
      </c>
      <c r="N54">
        <f t="shared" ref="N54:N93" si="13">+D54*F54</f>
        <v>13032</v>
      </c>
      <c r="O54" s="8"/>
      <c r="T54">
        <f>SUM(T52:T53)</f>
        <v>37323</v>
      </c>
    </row>
    <row r="55" spans="1:20">
      <c r="A55" s="8">
        <f t="shared" ref="A55:A93" si="14">+A54+1</f>
        <v>3</v>
      </c>
      <c r="B55" s="48" t="s">
        <v>79</v>
      </c>
      <c r="C55" s="8" t="s">
        <v>81</v>
      </c>
      <c r="D55" s="11">
        <v>750</v>
      </c>
      <c r="E55" s="11">
        <v>750</v>
      </c>
      <c r="F55" s="8">
        <v>18</v>
      </c>
      <c r="G55" s="12">
        <f t="shared" si="8"/>
        <v>13500</v>
      </c>
      <c r="H55" s="11"/>
      <c r="I55" s="14">
        <f t="shared" si="9"/>
        <v>0</v>
      </c>
      <c r="J55" s="15">
        <f t="shared" si="10"/>
        <v>0</v>
      </c>
      <c r="K55" s="15">
        <f t="shared" si="11"/>
        <v>0</v>
      </c>
      <c r="L55">
        <f t="shared" si="12"/>
        <v>13500</v>
      </c>
      <c r="N55">
        <f t="shared" si="13"/>
        <v>13500</v>
      </c>
      <c r="O55" s="8"/>
      <c r="T55">
        <f>+T54-8199</f>
        <v>29124</v>
      </c>
    </row>
    <row r="56" spans="1:20" ht="24">
      <c r="A56" s="8">
        <f t="shared" si="14"/>
        <v>4</v>
      </c>
      <c r="B56" s="49" t="s">
        <v>82</v>
      </c>
      <c r="C56" s="8" t="s">
        <v>83</v>
      </c>
      <c r="D56" s="11">
        <v>704</v>
      </c>
      <c r="E56" s="11">
        <v>704</v>
      </c>
      <c r="F56" s="8">
        <v>15</v>
      </c>
      <c r="G56" s="12">
        <f t="shared" si="8"/>
        <v>10560</v>
      </c>
      <c r="H56" s="13">
        <v>704</v>
      </c>
      <c r="I56" s="14">
        <f t="shared" si="9"/>
        <v>10560</v>
      </c>
      <c r="J56" s="15">
        <f t="shared" si="10"/>
        <v>1900.8</v>
      </c>
      <c r="K56" s="16">
        <f t="shared" si="11"/>
        <v>12460.8</v>
      </c>
      <c r="L56">
        <f t="shared" si="12"/>
        <v>10560</v>
      </c>
      <c r="N56">
        <f t="shared" si="13"/>
        <v>10560</v>
      </c>
      <c r="O56" s="8"/>
    </row>
    <row r="57" spans="1:20" ht="24">
      <c r="A57" s="8">
        <f>+A56+1</f>
        <v>5</v>
      </c>
      <c r="B57" s="49" t="s">
        <v>84</v>
      </c>
      <c r="C57" s="23" t="s">
        <v>85</v>
      </c>
      <c r="D57" s="11">
        <v>2169.77</v>
      </c>
      <c r="E57" s="11">
        <v>2169.77</v>
      </c>
      <c r="F57" s="8">
        <v>15</v>
      </c>
      <c r="G57" s="12">
        <f t="shared" si="8"/>
        <v>32546.55</v>
      </c>
      <c r="H57" s="13">
        <v>2169.77</v>
      </c>
      <c r="I57" s="14">
        <f t="shared" si="9"/>
        <v>32546.55</v>
      </c>
      <c r="J57" s="15">
        <f t="shared" si="10"/>
        <v>5858.3789999999999</v>
      </c>
      <c r="K57" s="16">
        <f t="shared" si="11"/>
        <v>38404.928999999996</v>
      </c>
      <c r="L57">
        <f t="shared" si="12"/>
        <v>32546.55</v>
      </c>
      <c r="N57">
        <f t="shared" si="13"/>
        <v>32546.55</v>
      </c>
      <c r="O57" s="8"/>
    </row>
    <row r="58" spans="1:20">
      <c r="A58" s="8">
        <f t="shared" si="14"/>
        <v>6</v>
      </c>
      <c r="B58" s="8" t="s">
        <v>55</v>
      </c>
      <c r="C58" s="8" t="s">
        <v>86</v>
      </c>
      <c r="D58" s="11">
        <v>1225</v>
      </c>
      <c r="E58" s="11">
        <v>1225</v>
      </c>
      <c r="F58" s="8"/>
      <c r="G58" s="12">
        <f t="shared" si="8"/>
        <v>0</v>
      </c>
      <c r="H58" s="11"/>
      <c r="I58" s="14">
        <f t="shared" si="9"/>
        <v>0</v>
      </c>
      <c r="J58" s="15">
        <f t="shared" si="10"/>
        <v>0</v>
      </c>
      <c r="K58" s="15">
        <f t="shared" si="11"/>
        <v>0</v>
      </c>
      <c r="L58">
        <f t="shared" si="12"/>
        <v>0</v>
      </c>
      <c r="N58">
        <f t="shared" si="13"/>
        <v>0</v>
      </c>
      <c r="O58" s="8"/>
    </row>
    <row r="59" spans="1:20">
      <c r="A59" s="59">
        <f t="shared" si="14"/>
        <v>7</v>
      </c>
      <c r="B59" s="59" t="s">
        <v>55</v>
      </c>
      <c r="C59" s="59" t="s">
        <v>87</v>
      </c>
      <c r="D59" s="13"/>
      <c r="E59" s="13">
        <v>1246</v>
      </c>
      <c r="F59" s="59"/>
      <c r="G59" s="62">
        <f t="shared" si="8"/>
        <v>0</v>
      </c>
      <c r="H59" s="13"/>
      <c r="I59" s="63">
        <f t="shared" si="9"/>
        <v>0</v>
      </c>
      <c r="J59" s="64">
        <f t="shared" si="10"/>
        <v>0</v>
      </c>
      <c r="K59" s="64">
        <f t="shared" si="11"/>
        <v>0</v>
      </c>
      <c r="L59" s="65">
        <f t="shared" si="12"/>
        <v>0</v>
      </c>
      <c r="M59" s="65"/>
      <c r="N59" s="65">
        <f t="shared" si="13"/>
        <v>0</v>
      </c>
      <c r="O59" s="59"/>
    </row>
    <row r="60" spans="1:20">
      <c r="A60" s="8">
        <f t="shared" si="14"/>
        <v>8</v>
      </c>
      <c r="B60" s="8" t="s">
        <v>55</v>
      </c>
      <c r="C60" s="8" t="s">
        <v>88</v>
      </c>
      <c r="D60" s="11">
        <v>1118</v>
      </c>
      <c r="E60" s="11">
        <v>1118</v>
      </c>
      <c r="F60" s="8"/>
      <c r="G60" s="12">
        <f t="shared" si="8"/>
        <v>0</v>
      </c>
      <c r="H60" s="11"/>
      <c r="I60" s="14">
        <f t="shared" si="9"/>
        <v>0</v>
      </c>
      <c r="J60" s="15">
        <f t="shared" si="10"/>
        <v>0</v>
      </c>
      <c r="K60" s="15">
        <f t="shared" si="11"/>
        <v>0</v>
      </c>
      <c r="L60">
        <f t="shared" si="12"/>
        <v>0</v>
      </c>
      <c r="N60">
        <f t="shared" si="13"/>
        <v>0</v>
      </c>
      <c r="O60" s="8"/>
    </row>
    <row r="61" spans="1:20">
      <c r="A61" s="8">
        <f t="shared" si="14"/>
        <v>9</v>
      </c>
      <c r="B61" s="8" t="s">
        <v>89</v>
      </c>
      <c r="C61" s="8" t="s">
        <v>90</v>
      </c>
      <c r="D61" s="11">
        <v>418</v>
      </c>
      <c r="E61" s="11">
        <v>418</v>
      </c>
      <c r="F61" s="8"/>
      <c r="G61" s="12"/>
      <c r="H61" s="11"/>
      <c r="I61" s="14">
        <f t="shared" si="9"/>
        <v>0</v>
      </c>
      <c r="J61" s="15">
        <f t="shared" si="10"/>
        <v>0</v>
      </c>
      <c r="K61" s="15">
        <f t="shared" si="11"/>
        <v>0</v>
      </c>
      <c r="L61">
        <f t="shared" si="12"/>
        <v>0</v>
      </c>
      <c r="N61">
        <f t="shared" si="13"/>
        <v>0</v>
      </c>
      <c r="O61" s="8"/>
    </row>
    <row r="62" spans="1:20">
      <c r="A62" s="8">
        <f t="shared" si="14"/>
        <v>10</v>
      </c>
      <c r="B62" s="8" t="s">
        <v>55</v>
      </c>
      <c r="C62" s="8" t="s">
        <v>91</v>
      </c>
      <c r="D62" s="11">
        <v>1147</v>
      </c>
      <c r="E62" s="11">
        <v>1147</v>
      </c>
      <c r="F62" s="8"/>
      <c r="G62" s="12">
        <f t="shared" si="8"/>
        <v>0</v>
      </c>
      <c r="H62" s="11"/>
      <c r="I62" s="14">
        <f t="shared" si="9"/>
        <v>0</v>
      </c>
      <c r="J62" s="15">
        <f t="shared" si="10"/>
        <v>0</v>
      </c>
      <c r="K62" s="15">
        <f t="shared" si="11"/>
        <v>0</v>
      </c>
      <c r="L62">
        <f t="shared" si="12"/>
        <v>0</v>
      </c>
      <c r="N62">
        <f t="shared" si="13"/>
        <v>0</v>
      </c>
      <c r="O62" s="8"/>
    </row>
    <row r="63" spans="1:20">
      <c r="A63" s="8">
        <f t="shared" si="14"/>
        <v>11</v>
      </c>
      <c r="B63" s="8" t="s">
        <v>92</v>
      </c>
      <c r="C63" s="8" t="s">
        <v>93</v>
      </c>
      <c r="D63" s="11">
        <v>1325</v>
      </c>
      <c r="E63" s="11">
        <v>1325</v>
      </c>
      <c r="F63" s="8">
        <v>18</v>
      </c>
      <c r="G63" s="12">
        <f t="shared" si="8"/>
        <v>23850</v>
      </c>
      <c r="H63" s="11"/>
      <c r="I63" s="14">
        <f t="shared" si="9"/>
        <v>0</v>
      </c>
      <c r="J63" s="15">
        <f t="shared" si="10"/>
        <v>0</v>
      </c>
      <c r="K63" s="15">
        <f t="shared" si="11"/>
        <v>0</v>
      </c>
      <c r="L63">
        <v>0</v>
      </c>
      <c r="N63">
        <v>0</v>
      </c>
      <c r="O63" s="8"/>
    </row>
    <row r="64" spans="1:20">
      <c r="A64" s="8"/>
      <c r="B64" s="8" t="s">
        <v>55</v>
      </c>
      <c r="C64" s="8" t="s">
        <v>94</v>
      </c>
      <c r="D64" s="11">
        <v>1064</v>
      </c>
      <c r="E64" s="11">
        <v>1064</v>
      </c>
      <c r="F64" s="8"/>
      <c r="G64" s="12">
        <f t="shared" si="8"/>
        <v>0</v>
      </c>
      <c r="H64" s="11"/>
      <c r="I64" s="14">
        <f t="shared" si="9"/>
        <v>0</v>
      </c>
      <c r="J64" s="15">
        <f t="shared" si="10"/>
        <v>0</v>
      </c>
      <c r="K64" s="15">
        <f t="shared" si="11"/>
        <v>0</v>
      </c>
      <c r="L64">
        <f t="shared" si="12"/>
        <v>0</v>
      </c>
      <c r="N64">
        <f t="shared" si="13"/>
        <v>0</v>
      </c>
      <c r="O64" s="8"/>
    </row>
    <row r="65" spans="1:18">
      <c r="A65" s="8">
        <f>+A63+1</f>
        <v>12</v>
      </c>
      <c r="B65" s="8" t="s">
        <v>155</v>
      </c>
      <c r="C65" s="8" t="s">
        <v>156</v>
      </c>
      <c r="D65" s="11">
        <v>2669</v>
      </c>
      <c r="E65" s="11">
        <v>2669</v>
      </c>
      <c r="F65" s="8"/>
      <c r="G65" s="12">
        <f t="shared" si="8"/>
        <v>0</v>
      </c>
      <c r="H65" s="11"/>
      <c r="I65" s="14">
        <f t="shared" si="9"/>
        <v>0</v>
      </c>
      <c r="J65" s="15">
        <f t="shared" si="10"/>
        <v>0</v>
      </c>
      <c r="K65" s="15">
        <f t="shared" si="11"/>
        <v>0</v>
      </c>
      <c r="L65">
        <f t="shared" si="12"/>
        <v>0</v>
      </c>
      <c r="N65">
        <f t="shared" si="13"/>
        <v>0</v>
      </c>
      <c r="O65" s="8"/>
    </row>
    <row r="66" spans="1:18">
      <c r="A66" s="8" t="e">
        <f>+#REF!+1</f>
        <v>#REF!</v>
      </c>
      <c r="B66" s="8" t="s">
        <v>139</v>
      </c>
      <c r="C66" s="8" t="s">
        <v>95</v>
      </c>
      <c r="D66" s="11">
        <v>1414</v>
      </c>
      <c r="E66" s="11">
        <v>1414</v>
      </c>
      <c r="F66" s="8"/>
      <c r="G66" s="12">
        <f t="shared" si="8"/>
        <v>0</v>
      </c>
      <c r="H66" s="11"/>
      <c r="I66" s="14">
        <f t="shared" si="9"/>
        <v>0</v>
      </c>
      <c r="J66" s="15">
        <f t="shared" si="10"/>
        <v>0</v>
      </c>
      <c r="K66" s="15">
        <f t="shared" si="11"/>
        <v>0</v>
      </c>
      <c r="L66">
        <f t="shared" si="12"/>
        <v>0</v>
      </c>
      <c r="N66">
        <f t="shared" si="13"/>
        <v>0</v>
      </c>
      <c r="O66" s="8"/>
    </row>
    <row r="67" spans="1:18">
      <c r="A67" s="8" t="e">
        <f t="shared" si="14"/>
        <v>#REF!</v>
      </c>
      <c r="B67" s="8" t="s">
        <v>96</v>
      </c>
      <c r="C67" s="8" t="s">
        <v>97</v>
      </c>
      <c r="D67" s="11">
        <v>551.86</v>
      </c>
      <c r="E67" s="11">
        <v>551.86</v>
      </c>
      <c r="F67" s="8">
        <v>15</v>
      </c>
      <c r="G67" s="12">
        <f t="shared" si="8"/>
        <v>8277.9</v>
      </c>
      <c r="H67" s="11"/>
      <c r="I67" s="14">
        <f t="shared" si="9"/>
        <v>0</v>
      </c>
      <c r="J67" s="15">
        <f t="shared" si="10"/>
        <v>0</v>
      </c>
      <c r="K67" s="15">
        <f t="shared" si="11"/>
        <v>0</v>
      </c>
      <c r="N67">
        <v>0</v>
      </c>
      <c r="O67" s="8"/>
    </row>
    <row r="68" spans="1:18">
      <c r="A68" s="8" t="e">
        <f t="shared" si="14"/>
        <v>#REF!</v>
      </c>
      <c r="B68" s="8" t="s">
        <v>98</v>
      </c>
      <c r="C68" s="8" t="s">
        <v>99</v>
      </c>
      <c r="D68" s="11">
        <v>1500.77</v>
      </c>
      <c r="E68" s="11">
        <v>1500.77</v>
      </c>
      <c r="F68" s="8">
        <v>18</v>
      </c>
      <c r="G68" s="12">
        <f t="shared" si="8"/>
        <v>27013.86</v>
      </c>
      <c r="H68" s="11"/>
      <c r="I68" s="14">
        <f t="shared" si="9"/>
        <v>0</v>
      </c>
      <c r="J68" s="15">
        <f t="shared" si="10"/>
        <v>0</v>
      </c>
      <c r="K68" s="15">
        <f t="shared" si="11"/>
        <v>0</v>
      </c>
      <c r="N68">
        <v>0</v>
      </c>
      <c r="O68" s="8"/>
    </row>
    <row r="69" spans="1:18">
      <c r="A69" s="8" t="e">
        <f t="shared" si="14"/>
        <v>#REF!</v>
      </c>
      <c r="B69" s="8" t="s">
        <v>98</v>
      </c>
      <c r="C69" s="8" t="s">
        <v>100</v>
      </c>
      <c r="D69" s="11">
        <v>1705</v>
      </c>
      <c r="E69" s="11">
        <v>1705</v>
      </c>
      <c r="F69" s="8">
        <v>18</v>
      </c>
      <c r="G69" s="12">
        <f t="shared" si="8"/>
        <v>30690</v>
      </c>
      <c r="H69" s="11"/>
      <c r="I69" s="14">
        <f t="shared" si="9"/>
        <v>0</v>
      </c>
      <c r="J69" s="15">
        <f t="shared" si="10"/>
        <v>0</v>
      </c>
      <c r="K69" s="15">
        <f t="shared" si="11"/>
        <v>0</v>
      </c>
      <c r="O69" s="8"/>
    </row>
    <row r="70" spans="1:18">
      <c r="A70" s="8" t="e">
        <f t="shared" si="14"/>
        <v>#REF!</v>
      </c>
      <c r="B70" s="8" t="s">
        <v>98</v>
      </c>
      <c r="C70" s="8" t="s">
        <v>101</v>
      </c>
      <c r="D70" s="11">
        <v>1005</v>
      </c>
      <c r="E70" s="11">
        <v>1005</v>
      </c>
      <c r="F70" s="8">
        <v>18</v>
      </c>
      <c r="G70" s="12">
        <f t="shared" si="8"/>
        <v>18090</v>
      </c>
      <c r="H70" s="11"/>
      <c r="I70" s="14">
        <f t="shared" si="9"/>
        <v>0</v>
      </c>
      <c r="J70" s="15">
        <f t="shared" si="10"/>
        <v>0</v>
      </c>
      <c r="K70" s="15">
        <f t="shared" si="11"/>
        <v>0</v>
      </c>
      <c r="O70" s="8"/>
    </row>
    <row r="71" spans="1:18">
      <c r="A71" s="8" t="e">
        <f t="shared" si="14"/>
        <v>#REF!</v>
      </c>
      <c r="B71" s="43" t="s">
        <v>102</v>
      </c>
      <c r="C71" s="8" t="s">
        <v>103</v>
      </c>
      <c r="D71" s="11">
        <v>5717</v>
      </c>
      <c r="E71" s="11">
        <v>5717</v>
      </c>
      <c r="F71" s="8">
        <v>15</v>
      </c>
      <c r="G71" s="12">
        <f t="shared" si="8"/>
        <v>85755</v>
      </c>
      <c r="H71" s="13">
        <v>5717</v>
      </c>
      <c r="I71" s="14">
        <f t="shared" si="9"/>
        <v>85755</v>
      </c>
      <c r="J71" s="15">
        <f t="shared" si="10"/>
        <v>15435.9</v>
      </c>
      <c r="K71" s="16">
        <f t="shared" si="11"/>
        <v>101190.9</v>
      </c>
      <c r="L71">
        <f t="shared" si="12"/>
        <v>85755</v>
      </c>
      <c r="N71">
        <f t="shared" si="13"/>
        <v>85755</v>
      </c>
      <c r="O71" s="8"/>
    </row>
    <row r="72" spans="1:18">
      <c r="A72" s="8" t="e">
        <f t="shared" si="14"/>
        <v>#REF!</v>
      </c>
      <c r="B72" s="49" t="s">
        <v>157</v>
      </c>
      <c r="C72" s="8" t="s">
        <v>104</v>
      </c>
      <c r="D72" s="11">
        <v>1290</v>
      </c>
      <c r="E72" s="11">
        <v>1290</v>
      </c>
      <c r="F72" s="8">
        <v>18</v>
      </c>
      <c r="G72" s="12">
        <f t="shared" si="8"/>
        <v>23220</v>
      </c>
      <c r="H72" s="13">
        <v>1290</v>
      </c>
      <c r="I72" s="14">
        <f t="shared" si="9"/>
        <v>23220</v>
      </c>
      <c r="J72" s="15">
        <f t="shared" si="10"/>
        <v>4179.5999999999995</v>
      </c>
      <c r="K72" s="16">
        <f t="shared" si="11"/>
        <v>27399.599999999999</v>
      </c>
      <c r="L72">
        <f t="shared" si="12"/>
        <v>23220</v>
      </c>
      <c r="N72">
        <f t="shared" si="13"/>
        <v>23220</v>
      </c>
      <c r="O72" s="8"/>
    </row>
    <row r="73" spans="1:18" ht="24">
      <c r="A73" s="8" t="e">
        <f t="shared" si="14"/>
        <v>#REF!</v>
      </c>
      <c r="B73" s="49" t="s">
        <v>105</v>
      </c>
      <c r="C73" s="8" t="s">
        <v>106</v>
      </c>
      <c r="D73" s="11">
        <v>1284</v>
      </c>
      <c r="E73" s="11">
        <v>1284</v>
      </c>
      <c r="F73" s="8">
        <v>18</v>
      </c>
      <c r="G73" s="12">
        <f t="shared" si="8"/>
        <v>23112</v>
      </c>
      <c r="H73" s="13">
        <v>1284</v>
      </c>
      <c r="I73" s="14">
        <f t="shared" si="9"/>
        <v>23112</v>
      </c>
      <c r="J73" s="15">
        <f t="shared" si="10"/>
        <v>4160.16</v>
      </c>
      <c r="K73" s="16">
        <f t="shared" si="11"/>
        <v>27272.16</v>
      </c>
      <c r="L73">
        <f t="shared" si="12"/>
        <v>23112</v>
      </c>
      <c r="N73">
        <f t="shared" si="13"/>
        <v>23112</v>
      </c>
      <c r="O73" s="8"/>
    </row>
    <row r="74" spans="1:18">
      <c r="A74" s="8" t="e">
        <f t="shared" si="14"/>
        <v>#REF!</v>
      </c>
      <c r="B74" s="8" t="s">
        <v>55</v>
      </c>
      <c r="C74" s="8" t="s">
        <v>107</v>
      </c>
      <c r="D74" s="11">
        <v>670</v>
      </c>
      <c r="E74" s="11">
        <v>670</v>
      </c>
      <c r="F74" s="8"/>
      <c r="G74" s="12">
        <f t="shared" si="8"/>
        <v>0</v>
      </c>
      <c r="H74" s="11"/>
      <c r="I74" s="14">
        <f t="shared" si="9"/>
        <v>0</v>
      </c>
      <c r="J74" s="15">
        <f t="shared" si="10"/>
        <v>0</v>
      </c>
      <c r="K74" s="15">
        <f t="shared" si="11"/>
        <v>0</v>
      </c>
      <c r="L74">
        <f t="shared" si="12"/>
        <v>0</v>
      </c>
      <c r="N74">
        <f t="shared" si="13"/>
        <v>0</v>
      </c>
      <c r="O74" s="8"/>
      <c r="R74">
        <v>670</v>
      </c>
    </row>
    <row r="75" spans="1:18">
      <c r="A75" s="8" t="e">
        <f t="shared" si="14"/>
        <v>#REF!</v>
      </c>
      <c r="B75" s="43" t="s">
        <v>108</v>
      </c>
      <c r="C75" s="8" t="s">
        <v>109</v>
      </c>
      <c r="D75" s="11">
        <v>2423</v>
      </c>
      <c r="E75" s="11">
        <v>2423</v>
      </c>
      <c r="F75" s="50">
        <v>10</v>
      </c>
      <c r="G75" s="12">
        <f t="shared" si="8"/>
        <v>24230</v>
      </c>
      <c r="H75" s="13">
        <v>2423</v>
      </c>
      <c r="I75" s="14">
        <f t="shared" si="9"/>
        <v>24230</v>
      </c>
      <c r="J75" s="15">
        <f t="shared" si="10"/>
        <v>4361.3999999999996</v>
      </c>
      <c r="K75" s="16">
        <f t="shared" si="11"/>
        <v>28591.4</v>
      </c>
      <c r="L75">
        <f t="shared" si="12"/>
        <v>24230</v>
      </c>
      <c r="N75">
        <f t="shared" si="13"/>
        <v>24230</v>
      </c>
      <c r="O75" s="8"/>
    </row>
    <row r="76" spans="1:18">
      <c r="A76" s="8" t="e">
        <f t="shared" si="14"/>
        <v>#REF!</v>
      </c>
      <c r="B76" s="49" t="s">
        <v>110</v>
      </c>
      <c r="C76" s="8" t="s">
        <v>111</v>
      </c>
      <c r="D76" s="11">
        <v>11738</v>
      </c>
      <c r="E76" s="11">
        <v>11738</v>
      </c>
      <c r="F76" s="8">
        <v>17</v>
      </c>
      <c r="G76" s="12">
        <f t="shared" si="8"/>
        <v>199546</v>
      </c>
      <c r="H76" s="13">
        <v>11738</v>
      </c>
      <c r="I76" s="14">
        <f t="shared" si="9"/>
        <v>199546</v>
      </c>
      <c r="J76" s="15">
        <f t="shared" si="10"/>
        <v>35918.28</v>
      </c>
      <c r="K76" s="16">
        <f t="shared" si="11"/>
        <v>235464.28</v>
      </c>
      <c r="L76">
        <f t="shared" si="12"/>
        <v>199546</v>
      </c>
      <c r="N76">
        <f t="shared" si="13"/>
        <v>199546</v>
      </c>
      <c r="O76" s="8"/>
    </row>
    <row r="77" spans="1:18">
      <c r="A77" s="8" t="e">
        <f t="shared" si="14"/>
        <v>#REF!</v>
      </c>
      <c r="B77" s="49" t="s">
        <v>112</v>
      </c>
      <c r="C77" s="8" t="s">
        <v>111</v>
      </c>
      <c r="D77" s="11">
        <v>12600</v>
      </c>
      <c r="E77" s="11">
        <v>12600</v>
      </c>
      <c r="F77" s="8">
        <v>15</v>
      </c>
      <c r="G77" s="12">
        <f t="shared" si="8"/>
        <v>189000</v>
      </c>
      <c r="H77" s="13">
        <v>12600</v>
      </c>
      <c r="I77" s="14">
        <f t="shared" si="9"/>
        <v>189000</v>
      </c>
      <c r="J77" s="15">
        <f t="shared" si="10"/>
        <v>34020</v>
      </c>
      <c r="K77" s="16">
        <f t="shared" si="11"/>
        <v>223020</v>
      </c>
      <c r="L77">
        <f t="shared" si="12"/>
        <v>189000</v>
      </c>
      <c r="N77">
        <f t="shared" si="13"/>
        <v>189000</v>
      </c>
      <c r="O77" s="8"/>
    </row>
    <row r="78" spans="1:18">
      <c r="A78" s="8" t="e">
        <f t="shared" si="14"/>
        <v>#REF!</v>
      </c>
      <c r="B78" s="51" t="s">
        <v>113</v>
      </c>
      <c r="C78" s="8" t="s">
        <v>114</v>
      </c>
      <c r="D78" s="11">
        <v>342</v>
      </c>
      <c r="E78" s="11">
        <v>342</v>
      </c>
      <c r="F78" s="8">
        <v>17</v>
      </c>
      <c r="G78" s="12">
        <f>+D78*F78</f>
        <v>5814</v>
      </c>
      <c r="H78" s="11"/>
      <c r="I78" s="14">
        <f t="shared" si="9"/>
        <v>0</v>
      </c>
      <c r="J78" s="15">
        <f t="shared" si="10"/>
        <v>0</v>
      </c>
      <c r="K78" s="15">
        <f t="shared" si="11"/>
        <v>0</v>
      </c>
      <c r="N78">
        <f t="shared" si="13"/>
        <v>5814</v>
      </c>
      <c r="O78" s="8"/>
    </row>
    <row r="79" spans="1:18">
      <c r="A79" s="8" t="e">
        <f t="shared" si="14"/>
        <v>#REF!</v>
      </c>
      <c r="B79" s="8" t="s">
        <v>98</v>
      </c>
      <c r="C79" s="8" t="s">
        <v>115</v>
      </c>
      <c r="D79" s="11">
        <v>1822</v>
      </c>
      <c r="E79" s="11">
        <v>1822</v>
      </c>
      <c r="F79" s="8">
        <v>18</v>
      </c>
      <c r="G79" s="12"/>
      <c r="H79" s="11"/>
      <c r="I79" s="14">
        <f t="shared" si="9"/>
        <v>0</v>
      </c>
      <c r="J79" s="15">
        <f t="shared" si="10"/>
        <v>0</v>
      </c>
      <c r="K79" s="15">
        <f t="shared" si="11"/>
        <v>0</v>
      </c>
      <c r="O79" s="8"/>
    </row>
    <row r="80" spans="1:18">
      <c r="A80" s="8" t="e">
        <f t="shared" si="14"/>
        <v>#REF!</v>
      </c>
      <c r="B80" s="8" t="s">
        <v>98</v>
      </c>
      <c r="C80" s="8" t="s">
        <v>116</v>
      </c>
      <c r="D80" s="11">
        <v>3906</v>
      </c>
      <c r="E80" s="11">
        <v>3906</v>
      </c>
      <c r="F80" s="8">
        <v>18</v>
      </c>
      <c r="G80" s="12"/>
      <c r="H80" s="11"/>
      <c r="I80" s="14">
        <f t="shared" si="9"/>
        <v>0</v>
      </c>
      <c r="J80" s="15">
        <f t="shared" si="10"/>
        <v>0</v>
      </c>
      <c r="K80" s="15">
        <f t="shared" si="11"/>
        <v>0</v>
      </c>
      <c r="M80">
        <v>6903</v>
      </c>
      <c r="N80">
        <v>41418</v>
      </c>
      <c r="O80" s="8"/>
    </row>
    <row r="81" spans="1:20">
      <c r="A81" s="8" t="e">
        <f t="shared" si="14"/>
        <v>#REF!</v>
      </c>
      <c r="B81" s="8" t="s">
        <v>98</v>
      </c>
      <c r="C81" s="8" t="s">
        <v>117</v>
      </c>
      <c r="D81" s="11">
        <v>1175.75</v>
      </c>
      <c r="E81" s="11">
        <v>1175.75</v>
      </c>
      <c r="F81" s="8">
        <v>18</v>
      </c>
      <c r="G81" s="12"/>
      <c r="H81" s="11"/>
      <c r="I81" s="14">
        <f t="shared" si="9"/>
        <v>0</v>
      </c>
      <c r="J81" s="15">
        <f t="shared" si="10"/>
        <v>0</v>
      </c>
      <c r="K81" s="15">
        <f t="shared" si="11"/>
        <v>0</v>
      </c>
      <c r="O81" s="8"/>
    </row>
    <row r="82" spans="1:20" ht="24">
      <c r="A82" s="8" t="e">
        <f t="shared" si="14"/>
        <v>#REF!</v>
      </c>
      <c r="B82" s="49" t="s">
        <v>118</v>
      </c>
      <c r="C82" s="8" t="s">
        <v>119</v>
      </c>
      <c r="D82" s="52">
        <v>13737.31</v>
      </c>
      <c r="E82" s="52">
        <v>13737.31</v>
      </c>
      <c r="F82" s="8">
        <v>15</v>
      </c>
      <c r="G82" s="12">
        <f t="shared" si="8"/>
        <v>206059.65</v>
      </c>
      <c r="H82" s="53">
        <v>13737.31</v>
      </c>
      <c r="I82" s="14">
        <f t="shared" si="9"/>
        <v>206059.65</v>
      </c>
      <c r="J82" s="15">
        <f t="shared" si="10"/>
        <v>37090.737000000001</v>
      </c>
      <c r="K82" s="16">
        <f t="shared" si="11"/>
        <v>243150.38699999999</v>
      </c>
      <c r="L82">
        <f t="shared" si="12"/>
        <v>206059.65</v>
      </c>
      <c r="N82">
        <f t="shared" si="13"/>
        <v>206059.65</v>
      </c>
      <c r="O82" s="8"/>
    </row>
    <row r="83" spans="1:20">
      <c r="A83" s="59" t="e">
        <f t="shared" si="14"/>
        <v>#REF!</v>
      </c>
      <c r="B83" s="59" t="s">
        <v>55</v>
      </c>
      <c r="C83" s="59" t="s">
        <v>120</v>
      </c>
      <c r="D83" s="66"/>
      <c r="E83" s="66">
        <v>1724</v>
      </c>
      <c r="F83" s="59"/>
      <c r="G83" s="62"/>
      <c r="H83" s="66"/>
      <c r="I83" s="63">
        <f t="shared" si="9"/>
        <v>0</v>
      </c>
      <c r="J83" s="64">
        <f t="shared" si="10"/>
        <v>0</v>
      </c>
      <c r="K83" s="64">
        <f t="shared" si="11"/>
        <v>0</v>
      </c>
      <c r="L83" s="65">
        <f t="shared" si="12"/>
        <v>0</v>
      </c>
      <c r="M83" s="65"/>
      <c r="N83" s="65">
        <f t="shared" si="13"/>
        <v>0</v>
      </c>
      <c r="O83" s="59"/>
    </row>
    <row r="84" spans="1:20">
      <c r="A84" s="8" t="e">
        <f t="shared" si="14"/>
        <v>#REF!</v>
      </c>
      <c r="B84" s="8" t="s">
        <v>55</v>
      </c>
      <c r="C84" s="8" t="s">
        <v>121</v>
      </c>
      <c r="D84" s="11">
        <v>671</v>
      </c>
      <c r="E84" s="11">
        <v>671</v>
      </c>
      <c r="F84" s="8"/>
      <c r="G84" s="12">
        <f t="shared" si="8"/>
        <v>0</v>
      </c>
      <c r="H84" s="11"/>
      <c r="I84" s="14">
        <f t="shared" si="9"/>
        <v>0</v>
      </c>
      <c r="J84" s="15">
        <f t="shared" si="10"/>
        <v>0</v>
      </c>
      <c r="K84" s="15">
        <f t="shared" si="11"/>
        <v>0</v>
      </c>
      <c r="L84">
        <f t="shared" si="12"/>
        <v>0</v>
      </c>
      <c r="N84">
        <f t="shared" si="13"/>
        <v>0</v>
      </c>
      <c r="O84" s="8"/>
    </row>
    <row r="85" spans="1:20" ht="17.45" customHeight="1">
      <c r="A85" s="8" t="e">
        <f t="shared" si="14"/>
        <v>#REF!</v>
      </c>
      <c r="B85" s="49" t="s">
        <v>122</v>
      </c>
      <c r="C85" s="54" t="s">
        <v>123</v>
      </c>
      <c r="D85" s="11">
        <v>26157</v>
      </c>
      <c r="E85" s="11">
        <v>26157</v>
      </c>
      <c r="F85" s="8">
        <v>15</v>
      </c>
      <c r="G85" s="12">
        <f t="shared" si="8"/>
        <v>392355</v>
      </c>
      <c r="H85" s="13">
        <v>26157</v>
      </c>
      <c r="I85" s="14">
        <f t="shared" si="9"/>
        <v>392355</v>
      </c>
      <c r="J85" s="15">
        <f t="shared" si="10"/>
        <v>70623.899999999994</v>
      </c>
      <c r="K85" s="16">
        <f t="shared" si="11"/>
        <v>462978.9</v>
      </c>
      <c r="L85">
        <f t="shared" si="12"/>
        <v>392355</v>
      </c>
      <c r="N85">
        <f t="shared" si="13"/>
        <v>392355</v>
      </c>
      <c r="O85" s="8"/>
    </row>
    <row r="86" spans="1:20">
      <c r="A86" s="8" t="e">
        <f t="shared" si="14"/>
        <v>#REF!</v>
      </c>
      <c r="B86" s="43" t="s">
        <v>108</v>
      </c>
      <c r="C86" s="8" t="s">
        <v>124</v>
      </c>
      <c r="D86" s="11">
        <v>3850</v>
      </c>
      <c r="E86" s="11">
        <v>3850</v>
      </c>
      <c r="F86" s="8">
        <v>17</v>
      </c>
      <c r="G86" s="55">
        <f>+D86*F86</f>
        <v>65450</v>
      </c>
      <c r="H86" s="13">
        <v>3850</v>
      </c>
      <c r="I86" s="14">
        <f t="shared" si="9"/>
        <v>65450</v>
      </c>
      <c r="J86" s="15">
        <f t="shared" si="10"/>
        <v>11781</v>
      </c>
      <c r="K86" s="16">
        <f t="shared" si="11"/>
        <v>77231</v>
      </c>
      <c r="L86">
        <f t="shared" si="12"/>
        <v>65450</v>
      </c>
      <c r="N86">
        <f t="shared" si="13"/>
        <v>65450</v>
      </c>
      <c r="O86" s="8"/>
      <c r="T86">
        <v>2669</v>
      </c>
    </row>
    <row r="87" spans="1:20">
      <c r="A87" s="8" t="e">
        <f t="shared" si="14"/>
        <v>#REF!</v>
      </c>
      <c r="B87" s="43" t="s">
        <v>108</v>
      </c>
      <c r="C87" s="8" t="s">
        <v>125</v>
      </c>
      <c r="D87" s="11">
        <f>4694+6400+3201</f>
        <v>14295</v>
      </c>
      <c r="E87" s="11">
        <f>4694+6400+3201</f>
        <v>14295</v>
      </c>
      <c r="F87" s="8">
        <v>17</v>
      </c>
      <c r="G87" s="55">
        <f t="shared" si="8"/>
        <v>243015</v>
      </c>
      <c r="H87" s="13">
        <f>4694+6400+3201</f>
        <v>14295</v>
      </c>
      <c r="I87" s="14">
        <f t="shared" si="9"/>
        <v>243015</v>
      </c>
      <c r="J87" s="15">
        <f t="shared" si="10"/>
        <v>43742.7</v>
      </c>
      <c r="K87" s="16">
        <f t="shared" si="11"/>
        <v>286757.7</v>
      </c>
      <c r="L87">
        <f t="shared" si="12"/>
        <v>243015</v>
      </c>
      <c r="N87">
        <f t="shared" si="13"/>
        <v>243015</v>
      </c>
      <c r="O87" s="8"/>
      <c r="T87">
        <v>670</v>
      </c>
    </row>
    <row r="88" spans="1:20">
      <c r="A88" s="8" t="e">
        <f t="shared" si="14"/>
        <v>#REF!</v>
      </c>
      <c r="B88" s="49" t="s">
        <v>126</v>
      </c>
      <c r="C88" s="8" t="s">
        <v>127</v>
      </c>
      <c r="D88" s="11">
        <v>1056</v>
      </c>
      <c r="E88" s="11">
        <v>1056</v>
      </c>
      <c r="F88" s="8">
        <v>15</v>
      </c>
      <c r="G88" s="12">
        <f t="shared" si="8"/>
        <v>15840</v>
      </c>
      <c r="H88" s="13">
        <v>1056</v>
      </c>
      <c r="I88" s="14">
        <f t="shared" si="9"/>
        <v>15840</v>
      </c>
      <c r="J88" s="15">
        <f t="shared" si="10"/>
        <v>2851.2</v>
      </c>
      <c r="K88" s="16">
        <f t="shared" si="11"/>
        <v>18691.2</v>
      </c>
      <c r="L88">
        <f t="shared" si="12"/>
        <v>15840</v>
      </c>
      <c r="N88">
        <f t="shared" si="13"/>
        <v>15840</v>
      </c>
      <c r="O88" s="8"/>
      <c r="Q88">
        <v>1724</v>
      </c>
      <c r="T88">
        <v>8199</v>
      </c>
    </row>
    <row r="89" spans="1:20">
      <c r="A89" s="59" t="e">
        <f t="shared" si="14"/>
        <v>#REF!</v>
      </c>
      <c r="B89" s="67" t="s">
        <v>128</v>
      </c>
      <c r="C89" s="59" t="s">
        <v>129</v>
      </c>
      <c r="D89" s="13"/>
      <c r="E89" s="13">
        <v>1006</v>
      </c>
      <c r="F89" s="59">
        <v>18</v>
      </c>
      <c r="G89" s="62"/>
      <c r="H89" s="13">
        <v>1006</v>
      </c>
      <c r="I89" s="14">
        <f t="shared" si="9"/>
        <v>18108</v>
      </c>
      <c r="J89" s="15">
        <f t="shared" si="10"/>
        <v>3259.44</v>
      </c>
      <c r="K89" s="16">
        <f t="shared" si="11"/>
        <v>21367.439999999999</v>
      </c>
      <c r="L89">
        <f>+D89*F89</f>
        <v>0</v>
      </c>
      <c r="N89">
        <f t="shared" si="13"/>
        <v>0</v>
      </c>
      <c r="O89" s="8"/>
      <c r="Q89">
        <v>5800</v>
      </c>
    </row>
    <row r="90" spans="1:20">
      <c r="A90" s="8" t="e">
        <f t="shared" si="14"/>
        <v>#REF!</v>
      </c>
      <c r="B90" s="43" t="s">
        <v>108</v>
      </c>
      <c r="C90" s="8" t="s">
        <v>130</v>
      </c>
      <c r="D90" s="11"/>
      <c r="E90" s="11">
        <v>1000</v>
      </c>
      <c r="F90" s="8">
        <v>17</v>
      </c>
      <c r="G90" s="55">
        <f t="shared" si="8"/>
        <v>0</v>
      </c>
      <c r="H90" s="13">
        <v>1000</v>
      </c>
      <c r="I90" s="14">
        <f t="shared" si="9"/>
        <v>17000</v>
      </c>
      <c r="J90" s="15">
        <f t="shared" si="10"/>
        <v>3060</v>
      </c>
      <c r="K90" s="16">
        <f t="shared" si="11"/>
        <v>20060</v>
      </c>
      <c r="L90">
        <f t="shared" si="12"/>
        <v>0</v>
      </c>
      <c r="N90">
        <f t="shared" si="13"/>
        <v>0</v>
      </c>
      <c r="O90" s="8"/>
      <c r="Q90">
        <v>18754</v>
      </c>
    </row>
    <row r="91" spans="1:20">
      <c r="A91" s="8" t="e">
        <f t="shared" si="14"/>
        <v>#REF!</v>
      </c>
      <c r="B91" s="43" t="s">
        <v>131</v>
      </c>
      <c r="C91" s="8" t="s">
        <v>132</v>
      </c>
      <c r="D91" s="11">
        <v>1032</v>
      </c>
      <c r="E91" s="11">
        <v>1032</v>
      </c>
      <c r="F91" s="8">
        <v>18</v>
      </c>
      <c r="G91" s="12">
        <f t="shared" si="8"/>
        <v>18576</v>
      </c>
      <c r="H91" s="13">
        <v>1032</v>
      </c>
      <c r="I91" s="14">
        <f t="shared" si="9"/>
        <v>18576</v>
      </c>
      <c r="J91" s="15">
        <f t="shared" si="10"/>
        <v>3343.68</v>
      </c>
      <c r="K91" s="16">
        <f t="shared" si="11"/>
        <v>21919.68</v>
      </c>
      <c r="L91">
        <f t="shared" si="12"/>
        <v>18576</v>
      </c>
      <c r="N91">
        <f t="shared" si="13"/>
        <v>18576</v>
      </c>
      <c r="O91" s="8"/>
      <c r="Q91">
        <v>8199</v>
      </c>
    </row>
    <row r="92" spans="1:20">
      <c r="A92" s="8" t="e">
        <f t="shared" si="14"/>
        <v>#REF!</v>
      </c>
      <c r="B92" s="8" t="s">
        <v>133</v>
      </c>
      <c r="C92" s="8" t="s">
        <v>134</v>
      </c>
      <c r="D92" s="11"/>
      <c r="E92" s="11"/>
      <c r="F92" s="8"/>
      <c r="G92" s="12">
        <v>10000</v>
      </c>
      <c r="H92" s="11"/>
      <c r="I92" s="14">
        <f t="shared" si="9"/>
        <v>0</v>
      </c>
      <c r="J92" s="15">
        <f t="shared" si="10"/>
        <v>0</v>
      </c>
      <c r="K92" s="15">
        <f t="shared" si="11"/>
        <v>0</v>
      </c>
      <c r="L92">
        <f t="shared" si="12"/>
        <v>0</v>
      </c>
      <c r="N92">
        <f t="shared" si="13"/>
        <v>0</v>
      </c>
      <c r="O92" s="8"/>
      <c r="Q92">
        <v>6951</v>
      </c>
    </row>
    <row r="93" spans="1:20">
      <c r="A93" s="8" t="e">
        <f t="shared" si="14"/>
        <v>#REF!</v>
      </c>
      <c r="B93" s="8" t="s">
        <v>135</v>
      </c>
      <c r="C93" s="8" t="s">
        <v>136</v>
      </c>
      <c r="D93" s="11"/>
      <c r="E93" s="11"/>
      <c r="F93" s="8"/>
      <c r="G93" s="12"/>
      <c r="H93" s="11"/>
      <c r="I93" s="14">
        <f t="shared" si="9"/>
        <v>0</v>
      </c>
      <c r="J93" s="15">
        <f t="shared" si="10"/>
        <v>0</v>
      </c>
      <c r="K93" s="15">
        <f t="shared" si="11"/>
        <v>0</v>
      </c>
      <c r="L93">
        <f t="shared" si="12"/>
        <v>0</v>
      </c>
      <c r="N93">
        <f t="shared" si="13"/>
        <v>0</v>
      </c>
      <c r="O93" s="8"/>
      <c r="Q93">
        <v>5592</v>
      </c>
      <c r="T93">
        <v>593209</v>
      </c>
    </row>
    <row r="94" spans="1:20" s="37" customFormat="1">
      <c r="A94" s="31"/>
      <c r="B94" s="56" t="s">
        <v>74</v>
      </c>
      <c r="C94" s="31"/>
      <c r="D94" s="33">
        <f>SUM(D53:D92)</f>
        <v>172458.46</v>
      </c>
      <c r="E94" s="33">
        <f>SUM(E53:E92)</f>
        <v>177434.46</v>
      </c>
      <c r="F94" s="31"/>
      <c r="G94" s="33">
        <f>SUM(G53:G92)</f>
        <v>1974744.96</v>
      </c>
      <c r="H94" s="33">
        <f>SUM(H53:H92)</f>
        <v>149261.07999999999</v>
      </c>
      <c r="I94" s="34">
        <f>SUM(I53:I92)</f>
        <v>1872851.2</v>
      </c>
      <c r="J94" s="35">
        <f>SUM(J53:J92)</f>
        <v>337113.21600000001</v>
      </c>
      <c r="K94" s="35">
        <f>SUM(K53:K92)</f>
        <v>2209964.4160000007</v>
      </c>
      <c r="L94" s="35">
        <f>SUM(L53:L93)</f>
        <v>1851009.2</v>
      </c>
      <c r="M94" s="35">
        <f>SUM(M53:M93)</f>
        <v>6903</v>
      </c>
      <c r="N94" s="36">
        <f>SUM(N53:N93)</f>
        <v>1898241.2</v>
      </c>
      <c r="O94" s="31"/>
      <c r="Q94" s="37">
        <v>15115</v>
      </c>
      <c r="T94" s="37">
        <v>518212</v>
      </c>
    </row>
    <row r="95" spans="1:20" s="37" customFormat="1">
      <c r="A95" s="31"/>
      <c r="B95" s="56" t="s">
        <v>137</v>
      </c>
      <c r="C95" s="31"/>
      <c r="D95" s="33">
        <f>+D44+D94</f>
        <v>573118.36</v>
      </c>
      <c r="E95" s="33">
        <f>+E44+E94</f>
        <v>593208.53999999992</v>
      </c>
      <c r="F95" s="31"/>
      <c r="G95" s="33">
        <f t="shared" ref="G95:N95" si="15">+G44+G94</f>
        <v>5004293.5600000005</v>
      </c>
      <c r="H95" s="33">
        <f t="shared" si="15"/>
        <v>539788.77999999991</v>
      </c>
      <c r="I95" s="34">
        <f t="shared" si="15"/>
        <v>5032606.5999999996</v>
      </c>
      <c r="J95" s="35">
        <f t="shared" si="15"/>
        <v>905869.18799999997</v>
      </c>
      <c r="K95" s="35">
        <f t="shared" si="15"/>
        <v>5938475.7880000006</v>
      </c>
      <c r="L95" s="35">
        <f t="shared" si="15"/>
        <v>4880557.8</v>
      </c>
      <c r="M95" s="35">
        <f t="shared" si="15"/>
        <v>6903</v>
      </c>
      <c r="N95" s="36">
        <f t="shared" si="15"/>
        <v>4927789.8</v>
      </c>
      <c r="O95" s="31"/>
      <c r="Q95" s="11"/>
      <c r="T95" s="37">
        <f>+T93-T94</f>
        <v>74997</v>
      </c>
    </row>
    <row r="96" spans="1:20">
      <c r="B96" s="38"/>
      <c r="G96" s="39">
        <v>12</v>
      </c>
      <c r="Q96" s="11"/>
      <c r="T96">
        <f>+T95-11538</f>
        <v>63459</v>
      </c>
    </row>
    <row r="97" spans="2:20">
      <c r="B97" s="38"/>
      <c r="D97" s="40">
        <f>+G95/D95</f>
        <v>8.7316929787417745</v>
      </c>
      <c r="E97" s="40"/>
      <c r="G97" s="39">
        <f>+G95*G96</f>
        <v>60051522.720000006</v>
      </c>
      <c r="Q97" s="11"/>
      <c r="R97">
        <v>11538</v>
      </c>
    </row>
    <row r="98" spans="2:20">
      <c r="B98" s="38"/>
      <c r="Q98" s="11"/>
      <c r="R98">
        <v>62135</v>
      </c>
    </row>
    <row r="99" spans="2:20">
      <c r="B99" s="38"/>
      <c r="Q99" s="11"/>
      <c r="R99">
        <v>519537</v>
      </c>
    </row>
    <row r="100" spans="2:20">
      <c r="B100" s="38"/>
      <c r="E100" s="58">
        <f>+E95-D95</f>
        <v>20090.179999999935</v>
      </c>
      <c r="Q100" s="11"/>
    </row>
    <row r="101" spans="2:20">
      <c r="B101" s="38"/>
      <c r="D101" s="14">
        <v>2211</v>
      </c>
      <c r="E101" s="58">
        <f>+E100-18754</f>
        <v>1336.1799999999348</v>
      </c>
      <c r="Q101" s="11"/>
      <c r="T101">
        <v>555886</v>
      </c>
    </row>
    <row r="102" spans="2:20">
      <c r="B102" s="38"/>
      <c r="Q102" s="57"/>
      <c r="T102">
        <v>29124</v>
      </c>
    </row>
    <row r="103" spans="2:20">
      <c r="B103" s="38"/>
      <c r="O103">
        <v>3</v>
      </c>
      <c r="T103">
        <v>8199</v>
      </c>
    </row>
    <row r="104" spans="2:20">
      <c r="B104" s="38"/>
      <c r="O104">
        <v>7</v>
      </c>
    </row>
    <row r="105" spans="2:20">
      <c r="B105" s="38"/>
      <c r="O105">
        <v>4</v>
      </c>
    </row>
    <row r="106" spans="2:20">
      <c r="B106" s="38"/>
      <c r="O106">
        <v>2</v>
      </c>
    </row>
    <row r="107" spans="2:20">
      <c r="B107" s="38"/>
      <c r="O107">
        <v>1</v>
      </c>
    </row>
    <row r="108" spans="2:20">
      <c r="B108" s="38"/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3CF5-E2E0-4B8B-890C-83331F91C722}">
  <dimension ref="A1:G5"/>
  <sheetViews>
    <sheetView tabSelected="1" workbookViewId="0">
      <selection sqref="A1:G5"/>
    </sheetView>
  </sheetViews>
  <sheetFormatPr defaultRowHeight="15"/>
  <sheetData>
    <row r="1" spans="1:7" ht="21">
      <c r="A1" s="68" t="s">
        <v>0</v>
      </c>
      <c r="B1" s="68"/>
      <c r="C1" s="68"/>
      <c r="D1" s="68"/>
      <c r="E1" s="68"/>
      <c r="F1" s="68"/>
      <c r="G1" s="68"/>
    </row>
    <row r="2" spans="1:7">
      <c r="A2" s="69" t="s">
        <v>1</v>
      </c>
      <c r="B2" s="69"/>
      <c r="C2" s="69"/>
      <c r="D2" s="69"/>
      <c r="E2" s="69"/>
      <c r="F2" s="69"/>
      <c r="G2" s="69"/>
    </row>
    <row r="3" spans="1:7" ht="30">
      <c r="A3" s="2" t="s">
        <v>2</v>
      </c>
      <c r="B3" s="2" t="s">
        <v>3</v>
      </c>
      <c r="C3" s="2" t="s">
        <v>4</v>
      </c>
      <c r="D3" s="3" t="s">
        <v>140</v>
      </c>
      <c r="E3" s="3" t="s">
        <v>5</v>
      </c>
      <c r="F3" s="2" t="s">
        <v>6</v>
      </c>
      <c r="G3" s="4" t="s">
        <v>7</v>
      </c>
    </row>
    <row r="4" spans="1:7">
      <c r="A4" s="59">
        <v>1</v>
      </c>
      <c r="B4" s="60" t="s">
        <v>160</v>
      </c>
      <c r="C4" s="61" t="s">
        <v>40</v>
      </c>
      <c r="D4" s="18"/>
      <c r="E4" s="18">
        <v>15114.56</v>
      </c>
      <c r="F4" s="59">
        <v>7</v>
      </c>
      <c r="G4" s="62">
        <f>+D4*F4</f>
        <v>0</v>
      </c>
    </row>
    <row r="5" spans="1:7">
      <c r="A5" s="59"/>
      <c r="B5" s="60"/>
      <c r="C5" s="61"/>
      <c r="D5" s="18"/>
      <c r="E5" s="18"/>
      <c r="F5" s="59"/>
      <c r="G5" s="62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C1FE-BF88-4BD7-A655-97F673FC2A74}">
  <dimension ref="I7:R19"/>
  <sheetViews>
    <sheetView workbookViewId="0">
      <selection activeCell="R20" sqref="R20"/>
    </sheetView>
  </sheetViews>
  <sheetFormatPr defaultRowHeight="15"/>
  <cols>
    <col min="12" max="12" width="22.7109375" bestFit="1" customWidth="1"/>
  </cols>
  <sheetData>
    <row r="7" spans="9:12">
      <c r="I7" s="70" t="s">
        <v>147</v>
      </c>
      <c r="J7" s="70"/>
      <c r="K7" s="70"/>
      <c r="L7" s="70"/>
    </row>
    <row r="8" spans="9:12">
      <c r="I8" s="8" t="s">
        <v>57</v>
      </c>
      <c r="J8" s="8">
        <v>8199</v>
      </c>
      <c r="K8" s="8" t="s">
        <v>141</v>
      </c>
      <c r="L8" s="8"/>
    </row>
    <row r="9" spans="9:12">
      <c r="I9" s="8" t="s">
        <v>58</v>
      </c>
      <c r="J9" s="8">
        <v>6951</v>
      </c>
      <c r="K9" s="8" t="s">
        <v>141</v>
      </c>
      <c r="L9" s="8"/>
    </row>
    <row r="10" spans="9:12">
      <c r="I10" s="8" t="s">
        <v>142</v>
      </c>
      <c r="J10" s="8">
        <v>15115</v>
      </c>
      <c r="K10" s="8" t="s">
        <v>143</v>
      </c>
      <c r="L10" s="8"/>
    </row>
    <row r="11" spans="9:12">
      <c r="I11" s="8" t="s">
        <v>52</v>
      </c>
      <c r="J11" s="8">
        <v>2515</v>
      </c>
      <c r="K11" s="8" t="s">
        <v>141</v>
      </c>
      <c r="L11" s="8" t="s">
        <v>148</v>
      </c>
    </row>
    <row r="12" spans="9:12">
      <c r="I12" s="8" t="s">
        <v>144</v>
      </c>
      <c r="J12" s="8">
        <v>18754</v>
      </c>
      <c r="K12" s="8" t="s">
        <v>141</v>
      </c>
      <c r="L12" s="8"/>
    </row>
    <row r="13" spans="9:12">
      <c r="I13" s="8" t="s">
        <v>145</v>
      </c>
      <c r="J13" s="8">
        <v>4973</v>
      </c>
      <c r="K13" s="8" t="s">
        <v>141</v>
      </c>
      <c r="L13" s="8" t="s">
        <v>146</v>
      </c>
    </row>
    <row r="14" spans="9:12">
      <c r="I14" s="8" t="s">
        <v>23</v>
      </c>
      <c r="J14" s="8">
        <v>4450</v>
      </c>
      <c r="K14" s="8" t="s">
        <v>141</v>
      </c>
      <c r="L14" s="8"/>
    </row>
    <row r="17" spans="18:18">
      <c r="R17">
        <v>98371</v>
      </c>
    </row>
    <row r="18" spans="18:18">
      <c r="R18">
        <v>13053</v>
      </c>
    </row>
    <row r="19" spans="18:18">
      <c r="R19">
        <f>+R18+R17</f>
        <v>111424</v>
      </c>
    </row>
  </sheetData>
  <mergeCells count="1"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Madhav Reddy</dc:creator>
  <cp:lastModifiedBy>Venu</cp:lastModifiedBy>
  <dcterms:created xsi:type="dcterms:W3CDTF">2015-06-05T18:17:20Z</dcterms:created>
  <dcterms:modified xsi:type="dcterms:W3CDTF">2025-11-07T14:03:43Z</dcterms:modified>
</cp:coreProperties>
</file>